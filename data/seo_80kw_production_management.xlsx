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945a04bc0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956b76e582434c56"/>
    <x:sheet xmlns:r="http://schemas.openxmlformats.org/officeDocument/2006/relationships" name="制作管理表" sheetId="2" r:id="R693b80e529fc4598"/>
    <x:sheet xmlns:r="http://schemas.openxmlformats.org/officeDocument/2006/relationships" name="設定" sheetId="3" r:id="Rf7150fa7efa84954"/>
    <x:sheet xmlns:r="http://schemas.openxmlformats.org/officeDocument/2006/relationships" name="アイキャッチ設計" sheetId="4" r:id="Rce136c160b8648db"/>
    <x:sheet xmlns:r="http://schemas.openxmlformats.org/officeDocument/2006/relationships" name="記事テンプレート" sheetId="5" r:id="Ra47d676351974b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6"/>
      <x:color rgb="FFFFFFFF"/>
      <x:name val="Noto Sans JP"/>
    </x:font>
    <x:font>
      <x:sz val="11"/>
      <x:name val="Noto Sans JP"/>
    </x:font>
    <x:font>
      <x:b/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200" fontId="6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200" fontId="6" fillId="3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5d7c9290b49df" /><Relationship Type="http://schemas.openxmlformats.org/officeDocument/2006/relationships/theme" Target="/xl/theme/theme1.xml" Id="Radc8b7f1cc3b4160" /><Relationship Type="http://schemas.openxmlformats.org/officeDocument/2006/relationships/sharedStrings" Target="/xl/sharedStrings.xml" Id="Rf5883dfac6e74276" /><Relationship Type="http://schemas.openxmlformats.org/officeDocument/2006/relationships/worksheet" Target="/xl/worksheets/sheet1.xml" Id="R956b76e582434c56" /><Relationship Type="http://schemas.openxmlformats.org/officeDocument/2006/relationships/worksheet" Target="/xl/worksheets/sheet2.xml" Id="R693b80e529fc4598" /><Relationship Type="http://schemas.openxmlformats.org/officeDocument/2006/relationships/worksheet" Target="/xl/worksheets/sheet3.xml" Id="Rf7150fa7efa84954" /><Relationship Type="http://schemas.openxmlformats.org/officeDocument/2006/relationships/worksheet" Target="/xl/worksheets/sheet4.xml" Id="Rce136c160b8648db" /><Relationship Type="http://schemas.openxmlformats.org/officeDocument/2006/relationships/worksheet" Target="/xl/worksheets/sheet5.xml" Id="Ra47d676351974b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ce5883a9a64154" /><Relationship Type="http://schemas.openxmlformats.org/officeDocument/2006/relationships/chart" Target="/xl/drawings/charts/chart2.xml" Id="R82f3557ebebc40f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記事数</c:v>
          </c:tx>
          <c:cat>
            <c:strRef>
              <c:f>'ダッシュボード'!$D$4:$D$9</c:f>
              <c:strCache>
                <c:ptCount val="0"/>
              </c:strCache>
            </c:strRef>
          </c:cat>
          <c:val>
            <c:numRef>
              <c:f>'ダッシュボード'!$E$4:$E$9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'ダッシュボード'!$E$12:$E$16</c:f>
              <c:strCache>
                <c:ptCount val="0"/>
              </c:strCache>
            </c:strRef>
          </c:cat>
          <c:val>
            <c:numRef>
              <c:f>'ダッシュボード'!$F$12:$F$16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ce5883a9a6415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f3557ebebc40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ionTable" displayName="ProductionTable" ref="A1:W81" headerRowCount="1">
  <x:tableColumns count="23">
    <x:tableColumn id="1" name="No"/>
    <x:tableColumn id="2" name="指定KW"/>
    <x:tableColumn id="3" name="管理KW"/>
    <x:tableColumn id="4" name="記事タイトル案"/>
    <x:tableColumn id="5" name="記事カテゴリ"/>
    <x:tableColumn id="6" name="記事タイプ"/>
    <x:tableColumn id="7" name="文字数目安"/>
    <x:tableColumn id="8" name="優先度"/>
    <x:tableColumn id="9" name="ロット"/>
    <x:tableColumn id="10" name="アイキャッチ型"/>
    <x:tableColumn id="11" name="画像内テキスト"/>
    <x:tableColumn id="12" name="スラッグ"/>
    <x:tableColumn id="13" name="画像ファイル名"/>
    <x:tableColumn id="14" name="メタディスクリプション案"/>
    <x:tableColumn id="15" name="WPカテゴリ"/>
    <x:tableColumn id="16" name="タグ案"/>
    <x:tableColumn id="17" name="制作ステータス"/>
    <x:tableColumn id="18" name="構成ステータス"/>
    <x:tableColumn id="19" name="本文ステータス"/>
    <x:tableColumn id="20" name="アイキャッチステータス"/>
    <x:tableColumn id="21" name="記事URL"/>
    <x:tableColumn id="22" name="内部リンク方針"/>
    <x:tableColumn id="23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SettingsTable" displayName="SettingsTable" ref="A1:B30" headerRowCount="1">
  <x:tableColumns count="2">
    <x:tableColumn id="1" name="区分"/>
    <x:tableColumn id="2" name="値"/>
  </x:tableColumns>
  <x:tableStyleInfo name="TableStyleMedium2" showRowStripes="1"/>
</x:table>
</file>

<file path=xl/tables/table3.xml><?xml version="1.0" encoding="utf-8"?>
<x:table xmlns:x="http://schemas.openxmlformats.org/spreadsheetml/2006/main" id="3" name="EyecatchTable" displayName="EyecatchTable" ref="A1:F6" headerRowCount="1">
  <x:tableColumns count="6">
    <x:tableColumn id="1" name="アイキャッチ型"/>
    <x:tableColumn id="2" name="主な対象記事"/>
    <x:tableColumn id="3" name="デザイン方向性"/>
    <x:tableColumn id="4" name="画像内テキスト例"/>
    <x:tableColumn id="5" name="色味"/>
    <x:tableColumn id="6" name="運用メモ"/>
  </x:tableColumns>
  <x:tableStyleInfo name="TableStyleMedium2" showRowStripes="1"/>
</x:table>
</file>

<file path=xl/tables/table4.xml><?xml version="1.0" encoding="utf-8"?>
<x:table xmlns:x="http://schemas.openxmlformats.org/spreadsheetml/2006/main" id="4" name="TemplatesTable" displayName="TemplatesTable" ref="A1:E8" headerRowCount="1">
  <x:tableColumns count="5">
    <x:tableColumn id="1" name="記事タイプ"/>
    <x:tableColumn id="2" name="対象KW例"/>
    <x:tableColumn id="3" name="基本構成"/>
    <x:tableColumn id="4" name="CTA方針"/>
    <x:tableColumn id="5" name="注意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6ffd7dc65841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f8a49cfa824b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1af6326efd48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25f63f2e848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70abb55f29449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30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</x:cols>
  <x:sheetData>
    <x:row r="1" ht="34" customHeight="1">
      <x:c r="A1" s="42" t="str">
        <x:v>80KW SEO記事制作 管理ダッシュボード</x:v>
      </x:c>
      <x:c r="B1" s="43"/>
      <x:c r="C1" s="43"/>
      <x:c r="D1" s="43"/>
      <x:c r="E1" s="43"/>
      <x:c r="F1" s="43"/>
      <x:c r="G1" s="43"/>
      <x:c r="H1" s="43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/>
      <x:c r="B2" s="43"/>
      <x:c r="C2" s="43"/>
      <x:c r="D2" s="43"/>
      <x:c r="E2" s="43"/>
      <x:c r="F2" s="43"/>
      <x:c r="G2" s="43"/>
      <x:c r="H2" s="43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5" t="str">
        <x:v>総KW数</x:v>
      </x:c>
      <x:c r="B3" s="45" t="n">
        <x:f>COUNTA('制作管理表'!$B$2:$B$81)</x:f>
        <x:v>80</x:v>
      </x:c>
      <x:c r="C3" s="43"/>
      <x:c r="D3" s="46" t="str">
        <x:v>カテゴリ別件数</x:v>
      </x:c>
      <x:c r="E3" s="46" t="str">
        <x:v>件数</x:v>
      </x:c>
      <x:c r="F3" s="46" t="str">
        <x:v>進捗メモ</x:v>
      </x:c>
      <x:c r="G3" s="43"/>
      <x:c r="H3" s="43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5" t="str">
        <x:v>未着手</x:v>
      </x:c>
      <x:c r="B4" s="45" t="n">
        <x:f>COUNTIF('制作管理表'!$Q$2:$Q$81,A4)</x:f>
        <x:v>80</x:v>
      </x:c>
      <x:c r="C4" s="43"/>
      <x:c r="D4" s="43" t="str">
        <x:v>雨漏り</x:v>
      </x:c>
      <x:c r="E4" s="43" t="n">
        <x:f>COUNTIF('制作管理表'!$E$2:$E$81,D4)</x:f>
        <x:v>18</x:v>
      </x:c>
      <x:c r="F4" s="43" t="str"/>
      <x:c r="G4" s="43"/>
      <x:c r="H4" s="43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5" t="str">
        <x:v>作業中</x:v>
      </x:c>
      <x:c r="B5" s="45" t="n">
        <x:f>COUNTIF('制作管理表'!$Q$2:$Q$81,"*中")+COUNTIF('制作管理表'!$Q$2:$Q$81,"校正中")</x:f>
        <x:v>0</x:v>
      </x:c>
      <x:c r="C5" s="43"/>
      <x:c r="D5" s="43" t="str">
        <x:v>屋根修理・屋根材</x:v>
      </x:c>
      <x:c r="E5" s="43" t="n">
        <x:f>COUNTIF('制作管理表'!$E$2:$E$81,D5)</x:f>
        <x:v>19</x:v>
      </x:c>
      <x:c r="F5" s="43" t="str"/>
      <x:c r="G5" s="43"/>
      <x:c r="H5" s="43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5" t="str">
        <x:v>確認待ち</x:v>
      </x:c>
      <x:c r="B6" s="45" t="n">
        <x:f>COUNTIF('制作管理表'!$Q$2:$Q$81,A6)</x:f>
        <x:v>0</x:v>
      </x:c>
      <x:c r="C6" s="43"/>
      <x:c r="D6" s="43" t="str">
        <x:v>ハウスメーカー外壁塗装</x:v>
      </x:c>
      <x:c r="E6" s="43" t="n">
        <x:f>COUNTIF('制作管理表'!$E$2:$E$81,D6)</x:f>
        <x:v>5</x:v>
      </x:c>
      <x:c r="F6" s="43" t="str"/>
      <x:c r="G6" s="43"/>
      <x:c r="H6" s="43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5" t="str">
        <x:v>完了</x:v>
      </x:c>
      <x:c r="B7" s="45" t="n">
        <x:f>COUNTIF('制作管理表'!$Q$2:$Q$81,A7)</x:f>
        <x:v>0</x:v>
      </x:c>
      <x:c r="C7" s="43"/>
      <x:c r="D7" s="43" t="str">
        <x:v>防水・シーリング</x:v>
      </x:c>
      <x:c r="E7" s="43" t="n">
        <x:f>COUNTIF('制作管理表'!$E$2:$E$81,D7)</x:f>
        <x:v>9</x:v>
      </x:c>
      <x:c r="F7" s="43" t="str"/>
      <x:c r="G7" s="43"/>
      <x:c r="H7" s="43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5" t="str">
        <x:v>完了率</x:v>
      </x:c>
      <x:c r="B8" s="47" t="n">
        <x:f>IF(B3=0,0,B7/B3)</x:f>
        <x:v>0</x:v>
      </x:c>
      <x:c r="C8" s="43"/>
      <x:c r="D8" s="43" t="str">
        <x:v>外壁塗装</x:v>
      </x:c>
      <x:c r="E8" s="43" t="n">
        <x:f>COUNTIF('制作管理表'!$E$2:$E$81,D8)</x:f>
        <x:v>9</x:v>
      </x:c>
      <x:c r="F8" s="43" t="str"/>
      <x:c r="G8" s="43"/>
      <x:c r="H8" s="43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3"/>
      <x:c r="B9" s="43"/>
      <x:c r="C9" s="43"/>
      <x:c r="D9" s="43" t="str">
        <x:v>付帯部</x:v>
      </x:c>
      <x:c r="E9" s="43" t="n">
        <x:f>COUNTIF('制作管理表'!$E$2:$E$81,D9)</x:f>
        <x:v>20</x:v>
      </x:c>
      <x:c r="F9" s="43" t="str"/>
      <x:c r="G9" s="43"/>
      <x:c r="H9" s="43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6" t="str">
        <x:v>ロット</x:v>
      </x:c>
      <x:c r="B11" s="46" t="str">
        <x:v>本数</x:v>
      </x:c>
      <x:c r="C11" s="46" t="str">
        <x:v>完了数</x:v>
      </x:c>
      <x:c r="D11" s="43"/>
      <x:c r="E11" s="46" t="str">
        <x:v>アイキャッチ型</x:v>
      </x:c>
      <x:c r="F11" s="46" t="str">
        <x:v>件数</x:v>
      </x:c>
      <x:c r="G11" s="43"/>
      <x:c r="H11" s="43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3" t="str">
        <x:v>第1ロット：雨漏り系</x:v>
      </x:c>
      <x:c r="B12" s="43" t="n">
        <x:f>COUNTIF('制作管理表'!$I$2:$I$81,A12)</x:f>
        <x:v>18</x:v>
      </x:c>
      <x:c r="C12" s="43" t="n">
        <x:f>COUNTIFS('制作管理表'!$I$2:$I$81,A12,'制作管理表'!$Q$2:$Q$81,"完了")</x:f>
        <x:v>0</x:v>
      </x:c>
      <x:c r="D12" s="43"/>
      <x:c r="E12" s="43" t="str">
        <x:v>雨漏り系</x:v>
      </x:c>
      <x:c r="F12" s="43" t="n">
        <x:f>COUNTIF('制作管理表'!$J$2:$J$81,E12)</x:f>
        <x:v>18</x:v>
      </x:c>
      <x:c r="G12" s="43"/>
      <x:c r="H12" s="43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3" t="str">
        <x:v>第2ロット：屋根修理・屋根材系</x:v>
      </x:c>
      <x:c r="B13" s="43" t="n">
        <x:f>COUNTIF('制作管理表'!$I$2:$I$81,A13)</x:f>
        <x:v>19</x:v>
      </x:c>
      <x:c r="C13" s="43" t="n">
        <x:f>COUNTIFS('制作管理表'!$I$2:$I$81,A13,'制作管理表'!$Q$2:$Q$81,"完了")</x:f>
        <x:v>0</x:v>
      </x:c>
      <x:c r="D13" s="43"/>
      <x:c r="E13" s="43" t="str">
        <x:v>屋根修理系</x:v>
      </x:c>
      <x:c r="F13" s="43" t="n">
        <x:f>COUNTIF('制作管理表'!$J$2:$J$81,E13)</x:f>
        <x:v>19</x:v>
      </x:c>
      <x:c r="G13" s="43"/>
      <x:c r="H13" s="43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3" t="str">
        <x:v>第3ロット：外壁塗装・防水系</x:v>
      </x:c>
      <x:c r="B14" s="43" t="n">
        <x:f>COUNTIF('制作管理表'!$I$2:$I$81,A14)</x:f>
        <x:v>23</x:v>
      </x:c>
      <x:c r="C14" s="43" t="n">
        <x:f>COUNTIFS('制作管理表'!$I$2:$I$81,A14,'制作管理表'!$Q$2:$Q$81,"完了")</x:f>
        <x:v>0</x:v>
      </x:c>
      <x:c r="D14" s="43"/>
      <x:c r="E14" s="43" t="str">
        <x:v>防水系</x:v>
      </x:c>
      <x:c r="F14" s="43" t="n">
        <x:f>COUNTIF('制作管理表'!$J$2:$J$81,E14)</x:f>
        <x:v>9</x:v>
      </x:c>
      <x:c r="G14" s="43"/>
      <x:c r="H14" s="43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3" t="str">
        <x:v>第4ロット：雨樋・軒天・付帯部系</x:v>
      </x:c>
      <x:c r="B15" s="43" t="n">
        <x:f>COUNTIF('制作管理表'!$I$2:$I$81,A15)</x:f>
        <x:v>20</x:v>
      </x:c>
      <x:c r="C15" s="43" t="n">
        <x:f>COUNTIFS('制作管理表'!$I$2:$I$81,A15,'制作管理表'!$Q$2:$Q$81,"完了")</x:f>
        <x:v>0</x:v>
      </x:c>
      <x:c r="D15" s="43"/>
      <x:c r="E15" s="43" t="str">
        <x:v>外壁塗装系</x:v>
      </x:c>
      <x:c r="F15" s="43" t="n">
        <x:f>COUNTIF('制作管理表'!$J$2:$J$81,E15)</x:f>
        <x:v>14</x:v>
      </x:c>
      <x:c r="G15" s="43"/>
      <x:c r="H15" s="43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3"/>
      <x:c r="B16" s="43"/>
      <x:c r="C16" s="43"/>
      <x:c r="D16" s="43"/>
      <x:c r="E16" s="43" t="str">
        <x:v>付帯部系</x:v>
      </x:c>
      <x:c r="F16" s="43" t="n">
        <x:f>COUNTIF('制作管理表'!$J$2:$J$81,E16)</x:f>
        <x:v>20</x:v>
      </x:c>
      <x:c r="G16" s="43"/>
      <x:c r="H16" s="43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d6ffd7dc658417a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6" hidden="0" customWidth="1"/>
    <x:col min="4" max="4" width="46" hidden="0" customWidth="1"/>
    <x:col min="5" max="5" width="18" hidden="0" customWidth="1"/>
    <x:col min="6" max="6" width="18" hidden="0" customWidth="1"/>
    <x:col min="7" max="7" width="15" hidden="0" customWidth="1"/>
    <x:col min="8" max="8" width="10" hidden="0" customWidth="1"/>
    <x:col min="9" max="9" width="26" hidden="0" customWidth="1"/>
    <x:col min="10" max="10" width="16" hidden="0" customWidth="1"/>
    <x:col min="11" max="11" width="30" hidden="0" customWidth="1"/>
    <x:col min="12" max="12" width="32" hidden="0" customWidth="1"/>
    <x:col min="13" max="13" width="34" hidden="0" customWidth="1"/>
    <x:col min="14" max="14" width="52" hidden="0" customWidth="1"/>
    <x:col min="15" max="15" width="18" hidden="0" customWidth="1"/>
    <x:col min="16" max="16" width="28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32" hidden="0" customWidth="1"/>
    <x:col min="22" max="22" width="42" hidden="0" customWidth="1"/>
    <x:col min="23" max="23" width="30" hidden="0" customWidth="1"/>
  </x:cols>
  <x:sheetData>
    <x:row r="1" ht="30" customHeight="1">
      <x:c r="A1" s="54" t="str">
        <x:v>No</x:v>
      </x:c>
      <x:c r="B1" s="54" t="str">
        <x:v>指定KW</x:v>
      </x:c>
      <x:c r="C1" s="54" t="str">
        <x:v>管理KW</x:v>
      </x:c>
      <x:c r="D1" s="54" t="str">
        <x:v>記事タイトル案</x:v>
      </x:c>
      <x:c r="E1" s="54" t="str">
        <x:v>記事カテゴリ</x:v>
      </x:c>
      <x:c r="F1" s="54" t="str">
        <x:v>記事タイプ</x:v>
      </x:c>
      <x:c r="G1" s="54" t="str">
        <x:v>文字数目安</x:v>
      </x:c>
      <x:c r="H1" s="54" t="str">
        <x:v>優先度</x:v>
      </x:c>
      <x:c r="I1" s="54" t="str">
        <x:v>ロット</x:v>
      </x:c>
      <x:c r="J1" s="54" t="str">
        <x:v>アイキャッチ型</x:v>
      </x:c>
      <x:c r="K1" s="54" t="str">
        <x:v>画像内テキスト</x:v>
      </x:c>
      <x:c r="L1" s="54" t="str">
        <x:v>スラッグ</x:v>
      </x:c>
      <x:c r="M1" s="54" t="str">
        <x:v>画像ファイル名</x:v>
      </x:c>
      <x:c r="N1" s="54" t="str">
        <x:v>メタディスクリプション案</x:v>
      </x:c>
      <x:c r="O1" s="54" t="str">
        <x:v>WPカテゴリ</x:v>
      </x:c>
      <x:c r="P1" s="54" t="str">
        <x:v>タグ案</x:v>
      </x:c>
      <x:c r="Q1" s="54" t="str">
        <x:v>制作ステータス</x:v>
      </x:c>
      <x:c r="R1" s="54" t="str">
        <x:v>構成ステータス</x:v>
      </x:c>
      <x:c r="S1" s="54" t="str">
        <x:v>本文ステータス</x:v>
      </x:c>
      <x:c r="T1" s="54" t="str">
        <x:v>アイキャッチステータス</x:v>
      </x:c>
      <x:c r="U1" s="54" t="str">
        <x:v>記事URL</x:v>
      </x:c>
      <x:c r="V1" s="54" t="str">
        <x:v>内部リンク方針</x:v>
      </x:c>
      <x:c r="W1" s="54" t="str">
        <x:v>備考</x:v>
      </x:c>
      <x:c r="X1" s="44"/>
      <x:c r="Y1" s="44"/>
      <x:c r="Z1" s="44"/>
    </x:row>
    <x:row r="2">
      <x:c r="A2" s="43" t="n">
        <x:v>1</x:v>
      </x:c>
      <x:c r="B2" s="43" t="str">
        <x:v>松山市 雨漏り修理</x:v>
      </x:c>
      <x:c r="C2" s="43" t="str">
        <x:v>松山市 雨漏り修理</x:v>
      </x:c>
      <x:c r="D2" s="43" t="str">
        <x:v>松山市で雨漏り修理を依頼するなら？原因調査・費用・業者選びを解説</x:v>
      </x:c>
      <x:c r="E2" s="43" t="str">
        <x:v>雨漏り</x:v>
      </x:c>
      <x:c r="F2" s="43" t="str">
        <x:v>地域サービス型</x:v>
      </x:c>
      <x:c r="G2" s="43" t="str">
        <x:v>4,500〜6,500字</x:v>
      </x:c>
      <x:c r="H2" s="43" t="str">
        <x:v>高</x:v>
      </x:c>
      <x:c r="I2" s="43" t="str">
        <x:v>第1ロット：雨漏り系</x:v>
      </x:c>
      <x:c r="J2" s="43" t="str">
        <x:v>雨漏り系</x:v>
      </x:c>
      <x:c r="K2" s="43" t="str">
        <x:v>松山市の雨漏り修理
症状・費用・注意点</x:v>
      </x:c>
      <x:c r="L2" s="43" t="str">
        <x:v>matsuyama-leak-repair</x:v>
      </x:c>
      <x:c r="M2" s="43" t="str">
        <x:v>matsuyama-leak-repair.webp</x:v>
      </x:c>
      <x:c r="N2" s="43" t="str">
        <x:v>松山市 雨漏り修理について、主な原因、放置リスク、修理方法、業者選びのポイントを松山市で検討中の方向けに解説します。</x:v>
      </x:c>
      <x:c r="O2" s="43" t="str">
        <x:v>雨漏り修理</x:v>
      </x:c>
      <x:c r="P2" s="43" t="str">
        <x:v>松山市、雨漏り、雨漏り修理</x:v>
      </x:c>
      <x:c r="Q2" s="43" t="str">
        <x:v>未着手</x:v>
      </x:c>
      <x:c r="R2" s="43" t="str">
        <x:v>未着手</x:v>
      </x:c>
      <x:c r="S2" s="43" t="str">
        <x:v>未着手</x:v>
      </x:c>
      <x:c r="T2" s="43" t="str">
        <x:v>未着手</x:v>
      </x:c>
      <x:c r="U2" s="43" t="str"/>
      <x:c r="V2" s="43" t="str">
        <x:v>中心記事「松山市の雨漏り修理」へリンク。関連：雨漏り費用・調査・屋根雨漏り。</x:v>
      </x:c>
      <x:c r="W2" s="43" t="str"/>
      <x:c r="X2" s="44"/>
      <x:c r="Y2" s="44"/>
      <x:c r="Z2" s="44"/>
    </x:row>
    <x:row r="3">
      <x:c r="A3" s="43" t="n">
        <x:v>2</x:v>
      </x:c>
      <x:c r="B3" s="43" t="str">
        <x:v>松山市 雨漏り調査</x:v>
      </x:c>
      <x:c r="C3" s="43" t="str">
        <x:v>松山市 雨漏り調査</x:v>
      </x:c>
      <x:c r="D3" s="43" t="str">
        <x:v>松山市の雨漏り調査とは？調査方法・費用・依頼前の注意点</x:v>
      </x:c>
      <x:c r="E3" s="43" t="str">
        <x:v>雨漏り</x:v>
      </x:c>
      <x:c r="F3" s="43" t="str">
        <x:v>地域サービス型</x:v>
      </x:c>
      <x:c r="G3" s="43" t="str">
        <x:v>4,500〜6,500字</x:v>
      </x:c>
      <x:c r="H3" s="43" t="str">
        <x:v>高</x:v>
      </x:c>
      <x:c r="I3" s="43" t="str">
        <x:v>第1ロット：雨漏り系</x:v>
      </x:c>
      <x:c r="J3" s="43" t="str">
        <x:v>雨漏り系</x:v>
      </x:c>
      <x:c r="K3" s="43" t="str">
        <x:v>松山市の雨漏り調査
症状・費用・注意点</x:v>
      </x:c>
      <x:c r="L3" s="43" t="str">
        <x:v>matsuyama-leak-investigation</x:v>
      </x:c>
      <x:c r="M3" s="43" t="str">
        <x:v>matsuyama-leak-investigation.webp</x:v>
      </x:c>
      <x:c r="N3" s="43" t="str">
        <x:v>松山市 雨漏り調査について、主な原因、放置リスク、修理方法、業者選びのポイントを松山市で検討中の方向けに解説します。</x:v>
      </x:c>
      <x:c r="O3" s="43" t="str">
        <x:v>雨漏り修理</x:v>
      </x:c>
      <x:c r="P3" s="43" t="str">
        <x:v>松山市、雨漏り、雨漏り修理</x:v>
      </x:c>
      <x:c r="Q3" s="43" t="str">
        <x:v>未着手</x:v>
      </x:c>
      <x:c r="R3" s="43" t="str">
        <x:v>未着手</x:v>
      </x:c>
      <x:c r="S3" s="43" t="str">
        <x:v>未着手</x:v>
      </x:c>
      <x:c r="T3" s="43" t="str">
        <x:v>未着手</x:v>
      </x:c>
      <x:c r="U3" s="43" t="str"/>
      <x:c r="V3" s="43" t="str">
        <x:v>中心記事「松山市の雨漏り修理」へリンク。関連：雨漏り費用・調査・屋根雨漏り。</x:v>
      </x:c>
      <x:c r="W3" s="43" t="str"/>
      <x:c r="X3" s="44"/>
      <x:c r="Y3" s="44"/>
      <x:c r="Z3" s="44"/>
    </x:row>
    <x:row r="4">
      <x:c r="A4" s="43" t="n">
        <x:v>3</x:v>
      </x:c>
      <x:c r="B4" s="43" t="str">
        <x:v>松山市 雨漏り診断</x:v>
      </x:c>
      <x:c r="C4" s="43" t="str">
        <x:v>松山市 雨漏り診断</x:v>
      </x:c>
      <x:c r="D4" s="43" t="str">
        <x:v>松山市の雨漏り診断でわかること｜原因特定と修理前の確認ポイント</x:v>
      </x:c>
      <x:c r="E4" s="43" t="str">
        <x:v>雨漏り</x:v>
      </x:c>
      <x:c r="F4" s="43" t="str">
        <x:v>地域サービス型</x:v>
      </x:c>
      <x:c r="G4" s="43" t="str">
        <x:v>4,500〜6,500字</x:v>
      </x:c>
      <x:c r="H4" s="43" t="str">
        <x:v>高</x:v>
      </x:c>
      <x:c r="I4" s="43" t="str">
        <x:v>第1ロット：雨漏り系</x:v>
      </x:c>
      <x:c r="J4" s="43" t="str">
        <x:v>雨漏り系</x:v>
      </x:c>
      <x:c r="K4" s="43" t="str">
        <x:v>松山市の雨漏り診断
症状・費用・注意点</x:v>
      </x:c>
      <x:c r="L4" s="43" t="str">
        <x:v>matsuyama-leak-diagnosis</x:v>
      </x:c>
      <x:c r="M4" s="43" t="str">
        <x:v>matsuyama-leak-diagnosis.webp</x:v>
      </x:c>
      <x:c r="N4" s="43" t="str">
        <x:v>松山市 雨漏り診断について、主な原因、放置リスク、修理方法、業者選びのポイントを松山市で検討中の方向けに解説します。</x:v>
      </x:c>
      <x:c r="O4" s="43" t="str">
        <x:v>雨漏り修理</x:v>
      </x:c>
      <x:c r="P4" s="43" t="str">
        <x:v>松山市、雨漏り、雨漏り修理</x:v>
      </x:c>
      <x:c r="Q4" s="43" t="str">
        <x:v>未着手</x:v>
      </x:c>
      <x:c r="R4" s="43" t="str">
        <x:v>未着手</x:v>
      </x:c>
      <x:c r="S4" s="43" t="str">
        <x:v>未着手</x:v>
      </x:c>
      <x:c r="T4" s="43" t="str">
        <x:v>未着手</x:v>
      </x:c>
      <x:c r="U4" s="43" t="str"/>
      <x:c r="V4" s="43" t="str">
        <x:v>中心記事「松山市の雨漏り修理」へリンク。関連：雨漏り費用・調査・屋根雨漏り。</x:v>
      </x:c>
      <x:c r="W4" s="43" t="str"/>
      <x:c r="X4" s="44"/>
      <x:c r="Y4" s="44"/>
      <x:c r="Z4" s="44"/>
    </x:row>
    <x:row r="5">
      <x:c r="A5" s="43" t="n">
        <x:v>4</x:v>
      </x:c>
      <x:c r="B5" s="43" t="str">
        <x:v>松山市 雨漏り業者</x:v>
      </x:c>
      <x:c r="C5" s="43" t="str">
        <x:v>松山市 雨漏り業者</x:v>
      </x:c>
      <x:c r="D5" s="43" t="str">
        <x:v>松山市で雨漏り業者を選ぶポイント｜失敗しない比較方法を解説</x:v>
      </x:c>
      <x:c r="E5" s="43" t="str">
        <x:v>雨漏り</x:v>
      </x:c>
      <x:c r="F5" s="43" t="str">
        <x:v>地域サービス型</x:v>
      </x:c>
      <x:c r="G5" s="43" t="str">
        <x:v>5,000〜7,000字</x:v>
      </x:c>
      <x:c r="H5" s="43" t="str">
        <x:v>高</x:v>
      </x:c>
      <x:c r="I5" s="43" t="str">
        <x:v>第1ロット：雨漏り系</x:v>
      </x:c>
      <x:c r="J5" s="43" t="str">
        <x:v>雨漏り系</x:v>
      </x:c>
      <x:c r="K5" s="43" t="str">
        <x:v>松山市の雨漏り業者
症状・費用・注意点</x:v>
      </x:c>
      <x:c r="L5" s="43" t="str">
        <x:v>matsuyama-leak-contractor</x:v>
      </x:c>
      <x:c r="M5" s="43" t="str">
        <x:v>matsuyama-leak-contractor.webp</x:v>
      </x:c>
      <x:c r="N5" s="43" t="str">
        <x:v>松山市 雨漏り業者について、主な原因、放置リスク、修理方法、業者選びのポイントを松山市で検討中の方向けに解説します。</x:v>
      </x:c>
      <x:c r="O5" s="43" t="str">
        <x:v>雨漏り修理</x:v>
      </x:c>
      <x:c r="P5" s="43" t="str">
        <x:v>松山市、雨漏り、雨漏り修理</x:v>
      </x:c>
      <x:c r="Q5" s="43" t="str">
        <x:v>未着手</x:v>
      </x:c>
      <x:c r="R5" s="43" t="str">
        <x:v>未着手</x:v>
      </x:c>
      <x:c r="S5" s="43" t="str">
        <x:v>未着手</x:v>
      </x:c>
      <x:c r="T5" s="43" t="str">
        <x:v>未着手</x:v>
      </x:c>
      <x:c r="U5" s="43" t="str"/>
      <x:c r="V5" s="43" t="str">
        <x:v>中心記事「松山市の雨漏り修理」へリンク。関連：雨漏り費用・調査・屋根雨漏り。</x:v>
      </x:c>
      <x:c r="W5" s="43" t="str"/>
      <x:c r="X5" s="44"/>
      <x:c r="Y5" s="44"/>
      <x:c r="Z5" s="44"/>
    </x:row>
    <x:row r="6">
      <x:c r="A6" s="43" t="n">
        <x:v>5</x:v>
      </x:c>
      <x:c r="B6" s="43" t="str">
        <x:v>松山市 雨漏り修理 費用</x:v>
      </x:c>
      <x:c r="C6" s="43" t="str">
        <x:v>松山市 雨漏り修理 費用</x:v>
      </x:c>
      <x:c r="D6" s="43" t="str">
        <x:v>松山市の雨漏り修理費用はいくら？相場・内訳・業者選びを解説</x:v>
      </x:c>
      <x:c r="E6" s="43" t="str">
        <x:v>雨漏り</x:v>
      </x:c>
      <x:c r="F6" s="43" t="str">
        <x:v>地域サービス型</x:v>
      </x:c>
      <x:c r="G6" s="43" t="str">
        <x:v>5,000〜7,000字</x:v>
      </x:c>
      <x:c r="H6" s="43" t="str">
        <x:v>高</x:v>
      </x:c>
      <x:c r="I6" s="43" t="str">
        <x:v>第1ロット：雨漏り系</x:v>
      </x:c>
      <x:c r="J6" s="43" t="str">
        <x:v>雨漏り系</x:v>
      </x:c>
      <x:c r="K6" s="43" t="str">
        <x:v>雨漏り修理 費用
相場と注意点を解説</x:v>
      </x:c>
      <x:c r="L6" s="43" t="str">
        <x:v>matsuyama-leak-repair-cost</x:v>
      </x:c>
      <x:c r="M6" s="43" t="str">
        <x:v>matsuyama-leak-repair-cost.webp</x:v>
      </x:c>
      <x:c r="N6" s="43" t="str">
        <x:v>松山市 雨漏り修理 費用について、費用相場、内訳、金額が変わる要因、見積もり時の注意点をわかりやすく解説します。</x:v>
      </x:c>
      <x:c r="O6" s="43" t="str">
        <x:v>雨漏り修理</x:v>
      </x:c>
      <x:c r="P6" s="43" t="str">
        <x:v>松山市、雨漏り、費用、雨漏り修理</x:v>
      </x:c>
      <x:c r="Q6" s="43" t="str">
        <x:v>未着手</x:v>
      </x:c>
      <x:c r="R6" s="43" t="str">
        <x:v>未着手</x:v>
      </x:c>
      <x:c r="S6" s="43" t="str">
        <x:v>未着手</x:v>
      </x:c>
      <x:c r="T6" s="43" t="str">
        <x:v>未着手</x:v>
      </x:c>
      <x:c r="U6" s="43" t="str"/>
      <x:c r="V6" s="43" t="str">
        <x:v>中心記事「松山市の雨漏り修理」へリンク。関連：雨漏り費用・調査・屋根雨漏り。</x:v>
      </x:c>
      <x:c r="W6" s="43" t="str"/>
      <x:c r="X6" s="44"/>
      <x:c r="Y6" s="44"/>
      <x:c r="Z6" s="44"/>
    </x:row>
    <x:row r="7">
      <x:c r="A7" s="43" t="n">
        <x:v>6</x:v>
      </x:c>
      <x:c r="B7" s="43" t="str">
        <x:v>松山市 雨漏り 原因</x:v>
      </x:c>
      <x:c r="C7" s="43" t="str">
        <x:v>松山市 雨漏り 原因</x:v>
      </x:c>
      <x:c r="D7" s="43" t="str">
        <x:v>松山市で多い雨漏りの原因とは？屋根・外壁・ベランダ別に解説</x:v>
      </x:c>
      <x:c r="E7" s="43" t="str">
        <x:v>雨漏り</x:v>
      </x:c>
      <x:c r="F7" s="43" t="str">
        <x:v>地域サービス型</x:v>
      </x:c>
      <x:c r="G7" s="43" t="str">
        <x:v>4,500〜6,500字</x:v>
      </x:c>
      <x:c r="H7" s="43" t="str">
        <x:v>高</x:v>
      </x:c>
      <x:c r="I7" s="43" t="str">
        <x:v>第1ロット：雨漏り系</x:v>
      </x:c>
      <x:c r="J7" s="43" t="str">
        <x:v>雨漏り系</x:v>
      </x:c>
      <x:c r="K7" s="43" t="str">
        <x:v>雨漏り 原因
放置リスクと対処法</x:v>
      </x:c>
      <x:c r="L7" s="43" t="str">
        <x:v>matsuyama-leak-cause</x:v>
      </x:c>
      <x:c r="M7" s="43" t="str">
        <x:v>matsuyama-leak-cause.webp</x:v>
      </x:c>
      <x:c r="N7" s="43" t="str">
        <x:v>松山市 雨漏り 原因について、主な原因、放置リスク、修理方法、業者選びのポイントを松山市で検討中の方向けに解説します。</x:v>
      </x:c>
      <x:c r="O7" s="43" t="str">
        <x:v>雨漏り修理</x:v>
      </x:c>
      <x:c r="P7" s="43" t="str">
        <x:v>松山市、雨漏り、雨漏り修理</x:v>
      </x:c>
      <x:c r="Q7" s="43" t="str">
        <x:v>未着手</x:v>
      </x:c>
      <x:c r="R7" s="43" t="str">
        <x:v>未着手</x:v>
      </x:c>
      <x:c r="S7" s="43" t="str">
        <x:v>未着手</x:v>
      </x:c>
      <x:c r="T7" s="43" t="str">
        <x:v>未着手</x:v>
      </x:c>
      <x:c r="U7" s="43" t="str"/>
      <x:c r="V7" s="43" t="str">
        <x:v>中心記事「松山市の雨漏り修理」へリンク。関連：雨漏り費用・調査・屋根雨漏り。</x:v>
      </x:c>
      <x:c r="W7" s="43" t="str"/>
      <x:c r="X7" s="44"/>
      <x:c r="Y7" s="44"/>
      <x:c r="Z7" s="44"/>
    </x:row>
    <x:row r="8">
      <x:c r="A8" s="43" t="n">
        <x:v>7</x:v>
      </x:c>
      <x:c r="B8" s="43" t="str">
        <x:v>松山市 ベランダ雨漏り</x:v>
      </x:c>
      <x:c r="C8" s="43" t="str">
        <x:v>松山市 ベランダ雨漏り</x:v>
      </x:c>
      <x:c r="D8" s="43" t="str">
        <x:v>松山市のベランダ雨漏りはなぜ起こる？原因・修理費用・防水対策</x:v>
      </x:c>
      <x:c r="E8" s="43" t="str">
        <x:v>雨漏り</x:v>
      </x:c>
      <x:c r="F8" s="43" t="str">
        <x:v>地域サービス型</x:v>
      </x:c>
      <x:c r="G8" s="43" t="str">
        <x:v>4,500〜6,500字</x:v>
      </x:c>
      <x:c r="H8" s="43" t="str">
        <x:v>高</x:v>
      </x:c>
      <x:c r="I8" s="43" t="str">
        <x:v>第1ロット：雨漏り系</x:v>
      </x:c>
      <x:c r="J8" s="43" t="str">
        <x:v>雨漏り系</x:v>
      </x:c>
      <x:c r="K8" s="43" t="str">
        <x:v>松山市のベランダ雨漏り
症状・費用・注意点</x:v>
      </x:c>
      <x:c r="L8" s="43" t="str">
        <x:v>matsuyama-balcony-leak</x:v>
      </x:c>
      <x:c r="M8" s="43" t="str">
        <x:v>matsuyama-balcony-leak.webp</x:v>
      </x:c>
      <x:c r="N8" s="43" t="str">
        <x:v>松山市 ベランダ雨漏りについて、主な原因、放置リスク、修理方法、業者選びのポイントを松山市で検討中の方向けに解説します。</x:v>
      </x:c>
      <x:c r="O8" s="43" t="str">
        <x:v>雨漏り修理</x:v>
      </x:c>
      <x:c r="P8" s="43" t="str">
        <x:v>松山市、雨漏り、雨漏り修理</x:v>
      </x:c>
      <x:c r="Q8" s="43" t="str">
        <x:v>未着手</x:v>
      </x:c>
      <x:c r="R8" s="43" t="str">
        <x:v>未着手</x:v>
      </x:c>
      <x:c r="S8" s="43" t="str">
        <x:v>未着手</x:v>
      </x:c>
      <x:c r="T8" s="43" t="str">
        <x:v>未着手</x:v>
      </x:c>
      <x:c r="U8" s="43" t="str"/>
      <x:c r="V8" s="43" t="str">
        <x:v>中心記事「松山市の雨漏り修理」へリンク。関連：雨漏り費用・調査・屋根雨漏り。</x:v>
      </x:c>
      <x:c r="W8" s="43" t="str"/>
      <x:c r="X8" s="44"/>
      <x:c r="Y8" s="44"/>
      <x:c r="Z8" s="44"/>
    </x:row>
    <x:row r="9">
      <x:c r="A9" s="43" t="n">
        <x:v>8</x:v>
      </x:c>
      <x:c r="B9" s="43" t="str">
        <x:v>松山市 サッシ雨漏り</x:v>
      </x:c>
      <x:c r="C9" s="43" t="str">
        <x:v>松山市 サッシ雨漏り</x:v>
      </x:c>
      <x:c r="D9" s="43" t="str">
        <x:v>松山市のサッシ雨漏りの原因とは？窓まわりの補修方法を解説</x:v>
      </x:c>
      <x:c r="E9" s="43" t="str">
        <x:v>雨漏り</x:v>
      </x:c>
      <x:c r="F9" s="43" t="str">
        <x:v>地域サービス型</x:v>
      </x:c>
      <x:c r="G9" s="43" t="str">
        <x:v>4,500〜6,500字</x:v>
      </x:c>
      <x:c r="H9" s="43" t="str">
        <x:v>高</x:v>
      </x:c>
      <x:c r="I9" s="43" t="str">
        <x:v>第1ロット：雨漏り系</x:v>
      </x:c>
      <x:c r="J9" s="43" t="str">
        <x:v>雨漏り系</x:v>
      </x:c>
      <x:c r="K9" s="43" t="str">
        <x:v>松山市のサッシ雨漏り
症状・費用・注意点</x:v>
      </x:c>
      <x:c r="L9" s="43" t="str">
        <x:v>matsuyama-sash-leak</x:v>
      </x:c>
      <x:c r="M9" s="43" t="str">
        <x:v>matsuyama-sash-leak.webp</x:v>
      </x:c>
      <x:c r="N9" s="43" t="str">
        <x:v>松山市 サッシ雨漏りについて、主な原因、放置リスク、修理方法、業者選びのポイントを松山市で検討中の方向けに解説します。</x:v>
      </x:c>
      <x:c r="O9" s="43" t="str">
        <x:v>雨漏り修理</x:v>
      </x:c>
      <x:c r="P9" s="43" t="str">
        <x:v>松山市、雨漏り、雨漏り修理</x:v>
      </x:c>
      <x:c r="Q9" s="43" t="str">
        <x:v>未着手</x:v>
      </x:c>
      <x:c r="R9" s="43" t="str">
        <x:v>未着手</x:v>
      </x:c>
      <x:c r="S9" s="43" t="str">
        <x:v>未着手</x:v>
      </x:c>
      <x:c r="T9" s="43" t="str">
        <x:v>未着手</x:v>
      </x:c>
      <x:c r="U9" s="43" t="str"/>
      <x:c r="V9" s="43" t="str">
        <x:v>中心記事「松山市の雨漏り修理」へリンク。関連：雨漏り費用・調査・屋根雨漏り。</x:v>
      </x:c>
      <x:c r="W9" s="43" t="str"/>
      <x:c r="X9" s="44"/>
      <x:c r="Y9" s="44"/>
      <x:c r="Z9" s="44"/>
    </x:row>
    <x:row r="10">
      <x:c r="A10" s="43" t="n">
        <x:v>9</x:v>
      </x:c>
      <x:c r="B10" s="43" t="str">
        <x:v>松山市 外壁雨漏り</x:v>
      </x:c>
      <x:c r="C10" s="43" t="str">
        <x:v>松山市 外壁雨漏り</x:v>
      </x:c>
      <x:c r="D10" s="43" t="str">
        <x:v>松山市の外壁雨漏りの原因と対策｜ひび割れ・シーリング劣化に注意</x:v>
      </x:c>
      <x:c r="E10" s="43" t="str">
        <x:v>雨漏り</x:v>
      </x:c>
      <x:c r="F10" s="43" t="str">
        <x:v>地域サービス型</x:v>
      </x:c>
      <x:c r="G10" s="43" t="str">
        <x:v>4,500〜6,500字</x:v>
      </x:c>
      <x:c r="H10" s="43" t="str">
        <x:v>高</x:v>
      </x:c>
      <x:c r="I10" s="43" t="str">
        <x:v>第1ロット：雨漏り系</x:v>
      </x:c>
      <x:c r="J10" s="43" t="str">
        <x:v>雨漏り系</x:v>
      </x:c>
      <x:c r="K10" s="43" t="str">
        <x:v>松山市の外壁雨漏り
症状・費用・注意点</x:v>
      </x:c>
      <x:c r="L10" s="43" t="str">
        <x:v>matsuyama-exterior-wall-leak</x:v>
      </x:c>
      <x:c r="M10" s="43" t="str">
        <x:v>matsuyama-exterior-wall-leak.webp</x:v>
      </x:c>
      <x:c r="N10" s="43" t="str">
        <x:v>松山市 外壁雨漏りについて、主な原因、放置リスク、修理方法、業者選びのポイントを松山市で検討中の方向けに解説します。</x:v>
      </x:c>
      <x:c r="O10" s="43" t="str">
        <x:v>雨漏り修理</x:v>
      </x:c>
      <x:c r="P10" s="43" t="str">
        <x:v>松山市、雨漏り、雨漏り修理</x:v>
      </x:c>
      <x:c r="Q10" s="43" t="str">
        <x:v>未着手</x:v>
      </x:c>
      <x:c r="R10" s="43" t="str">
        <x:v>未着手</x:v>
      </x:c>
      <x:c r="S10" s="43" t="str">
        <x:v>未着手</x:v>
      </x:c>
      <x:c r="T10" s="43" t="str">
        <x:v>未着手</x:v>
      </x:c>
      <x:c r="U10" s="43" t="str"/>
      <x:c r="V10" s="43" t="str">
        <x:v>中心記事「松山市の雨漏り修理」へリンク。関連：雨漏り費用・調査・屋根雨漏り。</x:v>
      </x:c>
      <x:c r="W10" s="43" t="str"/>
      <x:c r="X10" s="44"/>
      <x:c r="Y10" s="44"/>
      <x:c r="Z10" s="44"/>
    </x:row>
    <x:row r="11">
      <x:c r="A11" s="43" t="n">
        <x:v>10</x:v>
      </x:c>
      <x:c r="B11" s="43" t="str">
        <x:v>松山市 屋根雨漏り</x:v>
      </x:c>
      <x:c r="C11" s="43" t="str">
        <x:v>松山市 屋根雨漏り</x:v>
      </x:c>
      <x:c r="D11" s="43" t="str">
        <x:v>松山市の屋根雨漏りは早めの修理が重要｜原因・費用・業者選び</x:v>
      </x:c>
      <x:c r="E11" s="43" t="str">
        <x:v>雨漏り</x:v>
      </x:c>
      <x:c r="F11" s="43" t="str">
        <x:v>地域サービス型</x:v>
      </x:c>
      <x:c r="G11" s="43" t="str">
        <x:v>4,500〜6,500字</x:v>
      </x:c>
      <x:c r="H11" s="43" t="str">
        <x:v>高</x:v>
      </x:c>
      <x:c r="I11" s="43" t="str">
        <x:v>第1ロット：雨漏り系</x:v>
      </x:c>
      <x:c r="J11" s="43" t="str">
        <x:v>雨漏り系</x:v>
      </x:c>
      <x:c r="K11" s="43" t="str">
        <x:v>松山市の屋根雨漏り
症状・費用・注意点</x:v>
      </x:c>
      <x:c r="L11" s="43" t="str">
        <x:v>matsuyama-roof-leak</x:v>
      </x:c>
      <x:c r="M11" s="43" t="str">
        <x:v>matsuyama-roof-leak.webp</x:v>
      </x:c>
      <x:c r="N11" s="43" t="str">
        <x:v>松山市 屋根雨漏りについて、主な原因、放置リスク、修理方法、業者選びのポイントを松山市で検討中の方向けに解説します。</x:v>
      </x:c>
      <x:c r="O11" s="43" t="str">
        <x:v>雨漏り修理</x:v>
      </x:c>
      <x:c r="P11" s="43" t="str">
        <x:v>松山市、雨漏り、雨漏り修理</x:v>
      </x:c>
      <x:c r="Q11" s="43" t="str">
        <x:v>未着手</x:v>
      </x:c>
      <x:c r="R11" s="43" t="str">
        <x:v>未着手</x:v>
      </x:c>
      <x:c r="S11" s="43" t="str">
        <x:v>未着手</x:v>
      </x:c>
      <x:c r="T11" s="43" t="str">
        <x:v>未着手</x:v>
      </x:c>
      <x:c r="U11" s="43" t="str"/>
      <x:c r="V11" s="43" t="str">
        <x:v>中心記事「松山市の雨漏り修理」へリンク。関連：雨漏り費用・調査・屋根雨漏り。</x:v>
      </x:c>
      <x:c r="W11" s="43" t="str"/>
      <x:c r="X11" s="44"/>
      <x:c r="Y11" s="44"/>
      <x:c r="Z11" s="44"/>
    </x:row>
    <x:row r="12">
      <x:c r="A12" s="43" t="n">
        <x:v>11</x:v>
      </x:c>
      <x:c r="B12" s="43" t="str">
        <x:v>松山市 屋根修理</x:v>
      </x:c>
      <x:c r="C12" s="43" t="str">
        <x:v>松山市 屋根修理</x:v>
      </x:c>
      <x:c r="D12" s="43" t="str">
        <x:v>松山市の屋根修理はどこに頼む？症状別の対処法と費用目安</x:v>
      </x:c>
      <x:c r="E12" s="43" t="str">
        <x:v>屋根修理・屋根材</x:v>
      </x:c>
      <x:c r="F12" s="43" t="str">
        <x:v>地域サービス型</x:v>
      </x:c>
      <x:c r="G12" s="43" t="str">
        <x:v>5,000〜7,000字</x:v>
      </x:c>
      <x:c r="H12" s="43" t="str">
        <x:v>高</x:v>
      </x:c>
      <x:c r="I12" s="43" t="str">
        <x:v>第2ロット：屋根修理・屋根材系</x:v>
      </x:c>
      <x:c r="J12" s="43" t="str">
        <x:v>屋根修理系</x:v>
      </x:c>
      <x:c r="K12" s="43" t="str">
        <x:v>松山市の屋根修理
症状・費用・注意点</x:v>
      </x:c>
      <x:c r="L12" s="43" t="str">
        <x:v>matsuyama-roof-repair</x:v>
      </x:c>
      <x:c r="M12" s="43" t="str">
        <x:v>matsuyama-roof-repair.webp</x:v>
      </x:c>
      <x:c r="N12" s="43" t="str">
        <x:v>松山市 屋根修理について、劣化症状、修理方法、費用目安、依頼前に確認したいポイントをわかりやすく解説します。</x:v>
      </x:c>
      <x:c r="O12" s="43" t="str">
        <x:v>屋根修理</x:v>
      </x:c>
      <x:c r="P12" s="43" t="str">
        <x:v>松山市、屋根修理</x:v>
      </x:c>
      <x:c r="Q12" s="43" t="str">
        <x:v>未着手</x:v>
      </x:c>
      <x:c r="R12" s="43" t="str">
        <x:v>未着手</x:v>
      </x:c>
      <x:c r="S12" s="43" t="str">
        <x:v>未着手</x:v>
      </x:c>
      <x:c r="T12" s="43" t="str">
        <x:v>未着手</x:v>
      </x:c>
      <x:c r="U12" s="43" t="str"/>
      <x:c r="V12" s="43" t="str">
        <x:v>中心記事「松山市の屋根修理」へリンク。関連：屋根カバー・屋根材注意記事。</x:v>
      </x:c>
      <x:c r="W12" s="43" t="str"/>
      <x:c r="X12" s="44"/>
      <x:c r="Y12" s="44"/>
      <x:c r="Z12" s="44"/>
    </x:row>
    <x:row r="13">
      <x:c r="A13" s="43" t="n">
        <x:v>12</x:v>
      </x:c>
      <x:c r="B13" s="43" t="str">
        <x:v>松山市 棟板金修理</x:v>
      </x:c>
      <x:c r="C13" s="43" t="str">
        <x:v>松山市 棟板金修理</x:v>
      </x:c>
      <x:c r="D13" s="43" t="str">
        <x:v>松山市の棟板金修理とは？浮き・釘抜け・雨漏りリスクを解説</x:v>
      </x:c>
      <x:c r="E13" s="43" t="str">
        <x:v>屋根修理・屋根材</x:v>
      </x:c>
      <x:c r="F13" s="43" t="str">
        <x:v>地域サービス型</x:v>
      </x:c>
      <x:c r="G13" s="43" t="str">
        <x:v>5,000〜7,000字</x:v>
      </x:c>
      <x:c r="H13" s="43" t="str">
        <x:v>高</x:v>
      </x:c>
      <x:c r="I13" s="43" t="str">
        <x:v>第2ロット：屋根修理・屋根材系</x:v>
      </x:c>
      <x:c r="J13" s="43" t="str">
        <x:v>屋根修理系</x:v>
      </x:c>
      <x:c r="K13" s="43" t="str">
        <x:v>松山市の棟板金修理
症状・費用・注意点</x:v>
      </x:c>
      <x:c r="L13" s="43" t="str">
        <x:v>matsuyama-ridge-flashing-repair</x:v>
      </x:c>
      <x:c r="M13" s="43" t="str">
        <x:v>matsuyama-ridge-flashing-repair.webp</x:v>
      </x:c>
      <x:c r="N13" s="43" t="str">
        <x:v>松山市 棟板金修理について、劣化症状、修理方法、費用目安、依頼前に確認したいポイントをわかりやすく解説します。</x:v>
      </x:c>
      <x:c r="O13" s="43" t="str">
        <x:v>屋根修理</x:v>
      </x:c>
      <x:c r="P13" s="43" t="str">
        <x:v>松山市、屋根修理</x:v>
      </x:c>
      <x:c r="Q13" s="43" t="str">
        <x:v>未着手</x:v>
      </x:c>
      <x:c r="R13" s="43" t="str">
        <x:v>未着手</x:v>
      </x:c>
      <x:c r="S13" s="43" t="str">
        <x:v>未着手</x:v>
      </x:c>
      <x:c r="T13" s="43" t="str">
        <x:v>未着手</x:v>
      </x:c>
      <x:c r="U13" s="43" t="str"/>
      <x:c r="V13" s="43" t="str">
        <x:v>中心記事「松山市の屋根修理」へリンク。関連：屋根カバー・屋根材注意記事。</x:v>
      </x:c>
      <x:c r="W13" s="43" t="str"/>
      <x:c r="X13" s="44"/>
      <x:c r="Y13" s="44"/>
      <x:c r="Z13" s="44"/>
    </x:row>
    <x:row r="14">
      <x:c r="A14" s="43" t="n">
        <x:v>13</x:v>
      </x:c>
      <x:c r="B14" s="43" t="str">
        <x:v>松山市 谷板金修理</x:v>
      </x:c>
      <x:c r="C14" s="43" t="str">
        <x:v>松山市 谷板金修理</x:v>
      </x:c>
      <x:c r="D14" s="43" t="str">
        <x:v>松山市の谷板金修理が必要な症状｜雨漏り原因と費用目安</x:v>
      </x:c>
      <x:c r="E14" s="43" t="str">
        <x:v>屋根修理・屋根材</x:v>
      </x:c>
      <x:c r="F14" s="43" t="str">
        <x:v>地域サービス型</x:v>
      </x:c>
      <x:c r="G14" s="43" t="str">
        <x:v>5,000〜7,000字</x:v>
      </x:c>
      <x:c r="H14" s="43" t="str">
        <x:v>高</x:v>
      </x:c>
      <x:c r="I14" s="43" t="str">
        <x:v>第2ロット：屋根修理・屋根材系</x:v>
      </x:c>
      <x:c r="J14" s="43" t="str">
        <x:v>屋根修理系</x:v>
      </x:c>
      <x:c r="K14" s="43" t="str">
        <x:v>松山市の谷板金修理
症状・費用・注意点</x:v>
      </x:c>
      <x:c r="L14" s="43" t="str">
        <x:v>matsuyama-valley-flashing-repair</x:v>
      </x:c>
      <x:c r="M14" s="43" t="str">
        <x:v>matsuyama-valley-flashing-repair.webp</x:v>
      </x:c>
      <x:c r="N14" s="43" t="str">
        <x:v>松山市 谷板金修理について、劣化症状、修理方法、費用目安、依頼前に確認したいポイントをわかりやすく解説します。</x:v>
      </x:c>
      <x:c r="O14" s="43" t="str">
        <x:v>屋根修理</x:v>
      </x:c>
      <x:c r="P14" s="43" t="str">
        <x:v>松山市、屋根修理</x:v>
      </x:c>
      <x:c r="Q14" s="43" t="str">
        <x:v>未着手</x:v>
      </x:c>
      <x:c r="R14" s="43" t="str">
        <x:v>未着手</x:v>
      </x:c>
      <x:c r="S14" s="43" t="str">
        <x:v>未着手</x:v>
      </x:c>
      <x:c r="T14" s="43" t="str">
        <x:v>未着手</x:v>
      </x:c>
      <x:c r="U14" s="43" t="str"/>
      <x:c r="V14" s="43" t="str">
        <x:v>中心記事「松山市の屋根修理」へリンク。関連：屋根カバー・屋根材注意記事。</x:v>
      </x:c>
      <x:c r="W14" s="43" t="str"/>
      <x:c r="X14" s="44"/>
      <x:c r="Y14" s="44"/>
      <x:c r="Z14" s="44"/>
    </x:row>
    <x:row r="15">
      <x:c r="A15" s="43" t="n">
        <x:v>14</x:v>
      </x:c>
      <x:c r="B15" s="43" t="str">
        <x:v>松山市 瓦修理</x:v>
      </x:c>
      <x:c r="C15" s="43" t="str">
        <x:v>松山市 瓦修理</x:v>
      </x:c>
      <x:c r="D15" s="43" t="str">
        <x:v>松山市の瓦修理はいつ必要？割れ・ズレ・雨漏りの対処法</x:v>
      </x:c>
      <x:c r="E15" s="43" t="str">
        <x:v>屋根修理・屋根材</x:v>
      </x:c>
      <x:c r="F15" s="43" t="str">
        <x:v>地域サービス型</x:v>
      </x:c>
      <x:c r="G15" s="43" t="str">
        <x:v>5,000〜7,000字</x:v>
      </x:c>
      <x:c r="H15" s="43" t="str">
        <x:v>高</x:v>
      </x:c>
      <x:c r="I15" s="43" t="str">
        <x:v>第2ロット：屋根修理・屋根材系</x:v>
      </x:c>
      <x:c r="J15" s="43" t="str">
        <x:v>屋根修理系</x:v>
      </x:c>
      <x:c r="K15" s="43" t="str">
        <x:v>松山市の瓦修理
症状・費用・注意点</x:v>
      </x:c>
      <x:c r="L15" s="43" t="str">
        <x:v>matsuyama-tile-roof-repair</x:v>
      </x:c>
      <x:c r="M15" s="43" t="str">
        <x:v>matsuyama-tile-roof-repair.webp</x:v>
      </x:c>
      <x:c r="N15" s="43" t="str">
        <x:v>松山市 瓦修理について、劣化症状、修理方法、費用目安、依頼前に確認したいポイントをわかりやすく解説します。</x:v>
      </x:c>
      <x:c r="O15" s="43" t="str">
        <x:v>屋根修理</x:v>
      </x:c>
      <x:c r="P15" s="43" t="str">
        <x:v>松山市、屋根修理</x:v>
      </x:c>
      <x:c r="Q15" s="43" t="str">
        <x:v>未着手</x:v>
      </x:c>
      <x:c r="R15" s="43" t="str">
        <x:v>未着手</x:v>
      </x:c>
      <x:c r="S15" s="43" t="str">
        <x:v>未着手</x:v>
      </x:c>
      <x:c r="T15" s="43" t="str">
        <x:v>未着手</x:v>
      </x:c>
      <x:c r="U15" s="43" t="str"/>
      <x:c r="V15" s="43" t="str">
        <x:v>中心記事「松山市の屋根修理」へリンク。関連：屋根カバー・屋根材注意記事。</x:v>
      </x:c>
      <x:c r="W15" s="43" t="str"/>
      <x:c r="X15" s="44"/>
      <x:c r="Y15" s="44"/>
      <x:c r="Z15" s="44"/>
    </x:row>
    <x:row r="16">
      <x:c r="A16" s="43" t="n">
        <x:v>15</x:v>
      </x:c>
      <x:c r="B16" s="43" t="str">
        <x:v>松山市 漆喰補修</x:v>
      </x:c>
      <x:c r="C16" s="43" t="str">
        <x:v>松山市 漆喰補修</x:v>
      </x:c>
      <x:c r="D16" s="43" t="str">
        <x:v>松山市の漆喰補修とは？劣化症状・費用・雨漏り予防を解説</x:v>
      </x:c>
      <x:c r="E16" s="43" t="str">
        <x:v>屋根修理・屋根材</x:v>
      </x:c>
      <x:c r="F16" s="43" t="str">
        <x:v>地域サービス型</x:v>
      </x:c>
      <x:c r="G16" s="43" t="str">
        <x:v>5,000〜7,000字</x:v>
      </x:c>
      <x:c r="H16" s="43" t="str">
        <x:v>高</x:v>
      </x:c>
      <x:c r="I16" s="43" t="str">
        <x:v>第2ロット：屋根修理・屋根材系</x:v>
      </x:c>
      <x:c r="J16" s="43" t="str">
        <x:v>屋根修理系</x:v>
      </x:c>
      <x:c r="K16" s="43" t="str">
        <x:v>松山市の漆喰補修
症状・費用・注意点</x:v>
      </x:c>
      <x:c r="L16" s="43" t="str">
        <x:v>matsuyama-plaster-repair</x:v>
      </x:c>
      <x:c r="M16" s="43" t="str">
        <x:v>matsuyama-plaster-repair.webp</x:v>
      </x:c>
      <x:c r="N16" s="43" t="str">
        <x:v>松山市 漆喰補修について、劣化症状、修理方法、費用目安、依頼前に確認したいポイントをわかりやすく解説します。</x:v>
      </x:c>
      <x:c r="O16" s="43" t="str">
        <x:v>屋根修理</x:v>
      </x:c>
      <x:c r="P16" s="43" t="str">
        <x:v>松山市、屋根修理</x:v>
      </x:c>
      <x:c r="Q16" s="43" t="str">
        <x:v>未着手</x:v>
      </x:c>
      <x:c r="R16" s="43" t="str">
        <x:v>未着手</x:v>
      </x:c>
      <x:c r="S16" s="43" t="str">
        <x:v>未着手</x:v>
      </x:c>
      <x:c r="T16" s="43" t="str">
        <x:v>未着手</x:v>
      </x:c>
      <x:c r="U16" s="43" t="str"/>
      <x:c r="V16" s="43" t="str">
        <x:v>中心記事「松山市の屋根修理」へリンク。関連：屋根カバー・屋根材注意記事。</x:v>
      </x:c>
      <x:c r="W16" s="43" t="str"/>
      <x:c r="X16" s="44"/>
      <x:c r="Y16" s="44"/>
      <x:c r="Z16" s="44"/>
    </x:row>
    <x:row r="17">
      <x:c r="A17" s="43" t="n">
        <x:v>16</x:v>
      </x:c>
      <x:c r="B17" s="43" t="str">
        <x:v>松山市 屋根リフォーム</x:v>
      </x:c>
      <x:c r="C17" s="43" t="str">
        <x:v>松山市 屋根リフォーム</x:v>
      </x:c>
      <x:c r="D17" s="43" t="str">
        <x:v>松山市の屋根リフォーム方法｜カバー工法・葺き替え・修理の違い</x:v>
      </x:c>
      <x:c r="E17" s="43" t="str">
        <x:v>屋根修理・屋根材</x:v>
      </x:c>
      <x:c r="F17" s="43" t="str">
        <x:v>地域サービス型</x:v>
      </x:c>
      <x:c r="G17" s="43" t="str">
        <x:v>5,000〜7,000字</x:v>
      </x:c>
      <x:c r="H17" s="43" t="str">
        <x:v>高</x:v>
      </x:c>
      <x:c r="I17" s="43" t="str">
        <x:v>第2ロット：屋根修理・屋根材系</x:v>
      </x:c>
      <x:c r="J17" s="43" t="str">
        <x:v>屋根修理系</x:v>
      </x:c>
      <x:c r="K17" s="43" t="str">
        <x:v>松山市の屋根リフォーム
症状・費用・注意点</x:v>
      </x:c>
      <x:c r="L17" s="43" t="str">
        <x:v>matsuyama-roof-remodel</x:v>
      </x:c>
      <x:c r="M17" s="43" t="str">
        <x:v>matsuyama-roof-remodel.webp</x:v>
      </x:c>
      <x:c r="N17" s="43" t="str">
        <x:v>松山市 屋根リフォームについて、劣化症状、修理方法、費用目安、依頼前に確認したいポイントをわかりやすく解説します。</x:v>
      </x:c>
      <x:c r="O17" s="43" t="str">
        <x:v>屋根修理</x:v>
      </x:c>
      <x:c r="P17" s="43" t="str">
        <x:v>松山市、屋根修理</x:v>
      </x:c>
      <x:c r="Q17" s="43" t="str">
        <x:v>未着手</x:v>
      </x:c>
      <x:c r="R17" s="43" t="str">
        <x:v>未着手</x:v>
      </x:c>
      <x:c r="S17" s="43" t="str">
        <x:v>未着手</x:v>
      </x:c>
      <x:c r="T17" s="43" t="str">
        <x:v>未着手</x:v>
      </x:c>
      <x:c r="U17" s="43" t="str"/>
      <x:c r="V17" s="43" t="str">
        <x:v>中心記事「松山市の屋根修理」へリンク。関連：屋根カバー・屋根材注意記事。</x:v>
      </x:c>
      <x:c r="W17" s="43" t="str"/>
      <x:c r="X17" s="44"/>
      <x:c r="Y17" s="44"/>
      <x:c r="Z17" s="44"/>
    </x:row>
    <x:row r="18">
      <x:c r="A18" s="43" t="n">
        <x:v>17</x:v>
      </x:c>
      <x:c r="B18" s="43" t="str">
        <x:v>松山市 ガルテクト</x:v>
      </x:c>
      <x:c r="C18" s="43" t="str">
        <x:v>松山市 ガルテクト</x:v>
      </x:c>
      <x:c r="D18" s="43" t="str">
        <x:v>松山市でガルテクトを使う屋根工事｜特徴・費用・注意点</x:v>
      </x:c>
      <x:c r="E18" s="43" t="str">
        <x:v>屋根修理・屋根材</x:v>
      </x:c>
      <x:c r="F18" s="43" t="str">
        <x:v>屋根材注意型</x:v>
      </x:c>
      <x:c r="G18" s="43" t="str">
        <x:v>5,000〜7,000字</x:v>
      </x:c>
      <x:c r="H18" s="43" t="str">
        <x:v>高</x:v>
      </x:c>
      <x:c r="I18" s="43" t="str">
        <x:v>第2ロット：屋根修理・屋根材系</x:v>
      </x:c>
      <x:c r="J18" s="43" t="str">
        <x:v>屋根修理系</x:v>
      </x:c>
      <x:c r="K18" s="43" t="str">
        <x:v>松山市のガルテクト
症状・費用・注意点</x:v>
      </x:c>
      <x:c r="L18" s="43" t="str">
        <x:v>matsuyama-galtect</x:v>
      </x:c>
      <x:c r="M18" s="43" t="str">
        <x:v>matsuyama-galtect.webp</x:v>
      </x:c>
      <x:c r="N18" s="43" t="str">
        <x:v>松山市 ガルテクトについて、劣化症状、修理方法、費用目安、依頼前に確認したいポイントをわかりやすく解説します。</x:v>
      </x:c>
      <x:c r="O18" s="43" t="str">
        <x:v>屋根修理</x:v>
      </x:c>
      <x:c r="P18" s="43" t="str">
        <x:v>松山市、屋根修理</x:v>
      </x:c>
      <x:c r="Q18" s="43" t="str">
        <x:v>未着手</x:v>
      </x:c>
      <x:c r="R18" s="43" t="str">
        <x:v>未着手</x:v>
      </x:c>
      <x:c r="S18" s="43" t="str">
        <x:v>未着手</x:v>
      </x:c>
      <x:c r="T18" s="43" t="str">
        <x:v>未着手</x:v>
      </x:c>
      <x:c r="U18" s="43" t="str"/>
      <x:c r="V18" s="43" t="str">
        <x:v>中心記事「松山市の屋根修理」へリンク。関連：屋根カバー・屋根材注意記事。</x:v>
      </x:c>
      <x:c r="W18" s="43" t="str"/>
      <x:c r="X18" s="44"/>
      <x:c r="Y18" s="44"/>
      <x:c r="Z18" s="44"/>
    </x:row>
    <x:row r="19">
      <x:c r="A19" s="43" t="n">
        <x:v>18</x:v>
      </x:c>
      <x:c r="B19" s="43" t="str">
        <x:v>松山市 ヴェルウッド</x:v>
      </x:c>
      <x:c r="C19" s="43" t="str">
        <x:v>松山市 ヴェルウッド</x:v>
      </x:c>
      <x:c r="D19" s="43" t="str">
        <x:v>松山市でヴェルウッドを使う屋根工事｜特徴・注意点を解説</x:v>
      </x:c>
      <x:c r="E19" s="43" t="str">
        <x:v>屋根修理・屋根材</x:v>
      </x:c>
      <x:c r="F19" s="43" t="str">
        <x:v>屋根材注意型</x:v>
      </x:c>
      <x:c r="G19" s="43" t="str">
        <x:v>5,000〜7,000字</x:v>
      </x:c>
      <x:c r="H19" s="43" t="str">
        <x:v>高</x:v>
      </x:c>
      <x:c r="I19" s="43" t="str">
        <x:v>第2ロット：屋根修理・屋根材系</x:v>
      </x:c>
      <x:c r="J19" s="43" t="str">
        <x:v>屋根修理系</x:v>
      </x:c>
      <x:c r="K19" s="43" t="str">
        <x:v>松山市のヴェルウッド
症状・費用・注意点</x:v>
      </x:c>
      <x:c r="L19" s="43" t="str">
        <x:v>matsuyama-velwood</x:v>
      </x:c>
      <x:c r="M19" s="43" t="str">
        <x:v>matsuyama-velwood.webp</x:v>
      </x:c>
      <x:c r="N19" s="43" t="str">
        <x:v>松山市 ヴェルウッドについて、劣化症状、修理方法、費用目安、依頼前に確認したいポイントをわかりやすく解説します。</x:v>
      </x:c>
      <x:c r="O19" s="43" t="str">
        <x:v>屋根修理</x:v>
      </x:c>
      <x:c r="P19" s="43" t="str">
        <x:v>松山市、屋根修理</x:v>
      </x:c>
      <x:c r="Q19" s="43" t="str">
        <x:v>未着手</x:v>
      </x:c>
      <x:c r="R19" s="43" t="str">
        <x:v>未着手</x:v>
      </x:c>
      <x:c r="S19" s="43" t="str">
        <x:v>未着手</x:v>
      </x:c>
      <x:c r="T19" s="43" t="str">
        <x:v>未着手</x:v>
      </x:c>
      <x:c r="U19" s="43" t="str"/>
      <x:c r="V19" s="43" t="str">
        <x:v>中心記事「松山市の屋根修理」へリンク。関連：屋根カバー・屋根材注意記事。</x:v>
      </x:c>
      <x:c r="W19" s="43" t="str"/>
      <x:c r="X19" s="44"/>
      <x:c r="Y19" s="44"/>
      <x:c r="Z19" s="44"/>
    </x:row>
    <x:row r="20">
      <x:c r="A20" s="43" t="n">
        <x:v>19</x:v>
      </x:c>
      <x:c r="B20" s="43" t="str">
        <x:v>松山市 パミール屋根</x:v>
      </x:c>
      <x:c r="C20" s="43" t="str">
        <x:v>松山市 パミール屋根</x:v>
      </x:c>
      <x:c r="D20" s="43" t="str">
        <x:v>松山市のパミール屋根は塗装できる？劣化症状と対策を解説</x:v>
      </x:c>
      <x:c r="E20" s="43" t="str">
        <x:v>屋根修理・屋根材</x:v>
      </x:c>
      <x:c r="F20" s="43" t="str">
        <x:v>屋根材注意型</x:v>
      </x:c>
      <x:c r="G20" s="43" t="str">
        <x:v>5,000〜7,000字</x:v>
      </x:c>
      <x:c r="H20" s="43" t="str">
        <x:v>高</x:v>
      </x:c>
      <x:c r="I20" s="43" t="str">
        <x:v>第2ロット：屋根修理・屋根材系</x:v>
      </x:c>
      <x:c r="J20" s="43" t="str">
        <x:v>屋根修理系</x:v>
      </x:c>
      <x:c r="K20" s="43" t="str">
        <x:v>松山市のパミール屋根
症状・費用・注意点</x:v>
      </x:c>
      <x:c r="L20" s="43" t="str">
        <x:v>matsuyama-pamir-roof</x:v>
      </x:c>
      <x:c r="M20" s="43" t="str">
        <x:v>matsuyama-pamir-roof.webp</x:v>
      </x:c>
      <x:c r="N20" s="43" t="str">
        <x:v>松山市 パミール屋根について、劣化症状、修理方法、費用目安、依頼前に確認したいポイントをわかりやすく解説します。</x:v>
      </x:c>
      <x:c r="O20" s="43" t="str">
        <x:v>屋根修理</x:v>
      </x:c>
      <x:c r="P20" s="43" t="str">
        <x:v>松山市、屋根修理</x:v>
      </x:c>
      <x:c r="Q20" s="43" t="str">
        <x:v>未着手</x:v>
      </x:c>
      <x:c r="R20" s="43" t="str">
        <x:v>未着手</x:v>
      </x:c>
      <x:c r="S20" s="43" t="str">
        <x:v>未着手</x:v>
      </x:c>
      <x:c r="T20" s="43" t="str">
        <x:v>未着手</x:v>
      </x:c>
      <x:c r="U20" s="43" t="str"/>
      <x:c r="V20" s="43" t="str">
        <x:v>中心記事「松山市の屋根修理」へリンク。関連：屋根カバー・屋根材注意記事。</x:v>
      </x:c>
      <x:c r="W20" s="43" t="str"/>
      <x:c r="X20" s="44"/>
      <x:c r="Y20" s="44"/>
      <x:c r="Z20" s="44"/>
    </x:row>
    <x:row r="21">
      <x:c r="A21" s="43" t="n">
        <x:v>20</x:v>
      </x:c>
      <x:c r="B21" s="43" t="str">
        <x:v>パナソニックホームズ 外壁塗装 松山市</x:v>
      </x:c>
      <x:c r="C21" s="43" t="str">
        <x:v>パナソニックホームズ 外壁塗装 松山市</x:v>
      </x:c>
      <x:c r="D21" s="43" t="str">
        <x:v>パナソニックホームズの外壁塗装を松山市で行う際の注意点を解説</x:v>
      </x:c>
      <x:c r="E21" s="43" t="str">
        <x:v>ハウスメーカー外壁塗装</x:v>
      </x:c>
      <x:c r="F21" s="43" t="str">
        <x:v>ハウスメーカー型</x:v>
      </x:c>
      <x:c r="G21" s="43" t="str">
        <x:v>4,500〜6,000字</x:v>
      </x:c>
      <x:c r="H21" s="43" t="str">
        <x:v>中</x:v>
      </x:c>
      <x:c r="I21" s="43" t="str">
        <x:v>第3ロット：外壁塗装・防水系</x:v>
      </x:c>
      <x:c r="J21" s="43" t="str">
        <x:v>外壁塗装系</x:v>
      </x:c>
      <x:c r="K21" s="43" t="str">
        <x:v>パナソニックホームズ 外壁塗装 松山市
症状・費用・注意点</x:v>
      </x:c>
      <x:c r="L21" s="43" t="str">
        <x:v>panasonic-homes-exterior-paint-matsuyama</x:v>
      </x:c>
      <x:c r="M21" s="43" t="str">
        <x:v>panasonic-homes-exterior-paint-matsuyama.webp</x:v>
      </x:c>
      <x:c r="N21" s="43" t="str">
        <x:v>パナソニックホームズ 外壁塗装 松山市について、特徴、注意点、費用目安、業者選びのポイントを初心者にもわかりやすく解説します。</x:v>
      </x:c>
      <x:c r="O21" s="43" t="str">
        <x:v>外壁塗装</x:v>
      </x:c>
      <x:c r="P21" s="43" t="str">
        <x:v>松山市、外壁塗装</x:v>
      </x:c>
      <x:c r="Q21" s="43" t="str">
        <x:v>未着手</x:v>
      </x:c>
      <x:c r="R21" s="43" t="str">
        <x:v>未着手</x:v>
      </x:c>
      <x:c r="S21" s="43" t="str">
        <x:v>未着手</x:v>
      </x:c>
      <x:c r="T21" s="43" t="str">
        <x:v>未着手</x:v>
      </x:c>
      <x:c r="U21" s="43" t="str"/>
      <x:c r="V21" s="43" t="str">
        <x:v>関連：外壁塗装工期、足場代、防水工事、屋根カバーへリンク。</x:v>
      </x:c>
      <x:c r="W21" s="43" t="str"/>
      <x:c r="X21" s="44"/>
      <x:c r="Y21" s="44"/>
      <x:c r="Z21" s="44"/>
    </x:row>
    <x:row r="22">
      <x:c r="A22" s="43" t="n">
        <x:v>21</x:v>
      </x:c>
      <x:c r="B22" s="43" t="str">
        <x:v>レオハウス 外壁塗装 松山市</x:v>
      </x:c>
      <x:c r="C22" s="43" t="str">
        <x:v>レオハウス 外壁塗装 松山市</x:v>
      </x:c>
      <x:c r="D22" s="43" t="str">
        <x:v>レオハウスの外壁塗装を松山市で行う際の注意点を解説</x:v>
      </x:c>
      <x:c r="E22" s="43" t="str">
        <x:v>ハウスメーカー外壁塗装</x:v>
      </x:c>
      <x:c r="F22" s="43" t="str">
        <x:v>ハウスメーカー型</x:v>
      </x:c>
      <x:c r="G22" s="43" t="str">
        <x:v>4,500〜6,000字</x:v>
      </x:c>
      <x:c r="H22" s="43" t="str">
        <x:v>中</x:v>
      </x:c>
      <x:c r="I22" s="43" t="str">
        <x:v>第3ロット：外壁塗装・防水系</x:v>
      </x:c>
      <x:c r="J22" s="43" t="str">
        <x:v>外壁塗装系</x:v>
      </x:c>
      <x:c r="K22" s="43" t="str">
        <x:v>レオハウス 外壁塗装 松山市
症状・費用・注意点</x:v>
      </x:c>
      <x:c r="L22" s="43" t="str">
        <x:v>leo-house-exterior-paint-matsuyama</x:v>
      </x:c>
      <x:c r="M22" s="43" t="str">
        <x:v>leo-house-exterior-paint-matsuyama.webp</x:v>
      </x:c>
      <x:c r="N22" s="43" t="str">
        <x:v>レオハウス 外壁塗装 松山市について、特徴、注意点、費用目安、業者選びのポイントを初心者にもわかりやすく解説します。</x:v>
      </x:c>
      <x:c r="O22" s="43" t="str">
        <x:v>外壁塗装</x:v>
      </x:c>
      <x:c r="P22" s="43" t="str">
        <x:v>松山市、外壁塗装</x:v>
      </x:c>
      <x:c r="Q22" s="43" t="str">
        <x:v>未着手</x:v>
      </x:c>
      <x:c r="R22" s="43" t="str">
        <x:v>未着手</x:v>
      </x:c>
      <x:c r="S22" s="43" t="str">
        <x:v>未着手</x:v>
      </x:c>
      <x:c r="T22" s="43" t="str">
        <x:v>未着手</x:v>
      </x:c>
      <x:c r="U22" s="43" t="str"/>
      <x:c r="V22" s="43" t="str">
        <x:v>関連：外壁塗装工期、足場代、防水工事、屋根カバーへリンク。</x:v>
      </x:c>
      <x:c r="W22" s="43" t="str"/>
      <x:c r="X22" s="44"/>
      <x:c r="Y22" s="44"/>
      <x:c r="Z22" s="44"/>
    </x:row>
    <x:row r="23">
      <x:c r="A23" s="43" t="n">
        <x:v>22</x:v>
      </x:c>
      <x:c r="B23" s="43" t="str">
        <x:v>アットハウジング 外壁塗装 松山市</x:v>
      </x:c>
      <x:c r="C23" s="43" t="str">
        <x:v>アットハウジング 外壁塗装 松山市</x:v>
      </x:c>
      <x:c r="D23" s="43" t="str">
        <x:v>アットハウジングの外壁塗装を松山市で行う際の注意点を解説</x:v>
      </x:c>
      <x:c r="E23" s="43" t="str">
        <x:v>ハウスメーカー外壁塗装</x:v>
      </x:c>
      <x:c r="F23" s="43" t="str">
        <x:v>ハウスメーカー型</x:v>
      </x:c>
      <x:c r="G23" s="43" t="str">
        <x:v>4,500〜6,000字</x:v>
      </x:c>
      <x:c r="H23" s="43" t="str">
        <x:v>中</x:v>
      </x:c>
      <x:c r="I23" s="43" t="str">
        <x:v>第3ロット：外壁塗装・防水系</x:v>
      </x:c>
      <x:c r="J23" s="43" t="str">
        <x:v>外壁塗装系</x:v>
      </x:c>
      <x:c r="K23" s="43" t="str">
        <x:v>アットハウジング 外壁塗装 松山市
症状・費用・注意点</x:v>
      </x:c>
      <x:c r="L23" s="43" t="str">
        <x:v>at-housing-exterior-paint-matsuyama</x:v>
      </x:c>
      <x:c r="M23" s="43" t="str">
        <x:v>at-housing-exterior-paint-matsuyama.webp</x:v>
      </x:c>
      <x:c r="N23" s="43" t="str">
        <x:v>アットハウジング 外壁塗装 松山市について、特徴、注意点、費用目安、業者選びのポイントを初心者にもわかりやすく解説します。</x:v>
      </x:c>
      <x:c r="O23" s="43" t="str">
        <x:v>外壁塗装</x:v>
      </x:c>
      <x:c r="P23" s="43" t="str">
        <x:v>松山市、外壁塗装</x:v>
      </x:c>
      <x:c r="Q23" s="43" t="str">
        <x:v>未着手</x:v>
      </x:c>
      <x:c r="R23" s="43" t="str">
        <x:v>未着手</x:v>
      </x:c>
      <x:c r="S23" s="43" t="str">
        <x:v>未着手</x:v>
      </x:c>
      <x:c r="T23" s="43" t="str">
        <x:v>未着手</x:v>
      </x:c>
      <x:c r="U23" s="43" t="str"/>
      <x:c r="V23" s="43" t="str">
        <x:v>関連：外壁塗装工期、足場代、防水工事、屋根カバーへリンク。</x:v>
      </x:c>
      <x:c r="W23" s="43" t="str"/>
      <x:c r="X23" s="44"/>
      <x:c r="Y23" s="44"/>
      <x:c r="Z23" s="44"/>
    </x:row>
    <x:row r="24">
      <x:c r="A24" s="43" t="n">
        <x:v>23</x:v>
      </x:c>
      <x:c r="B24" s="43" t="str">
        <x:v>日本ハウスHD 外壁塗装 松山市</x:v>
      </x:c>
      <x:c r="C24" s="43" t="str">
        <x:v>日本ハウスHD 外壁塗装 松山市</x:v>
      </x:c>
      <x:c r="D24" s="43" t="str">
        <x:v>日本ハウスHDの外壁塗装を松山市で行う際の注意点を解説</x:v>
      </x:c>
      <x:c r="E24" s="43" t="str">
        <x:v>ハウスメーカー外壁塗装</x:v>
      </x:c>
      <x:c r="F24" s="43" t="str">
        <x:v>ハウスメーカー型</x:v>
      </x:c>
      <x:c r="G24" s="43" t="str">
        <x:v>4,500〜6,000字</x:v>
      </x:c>
      <x:c r="H24" s="43" t="str">
        <x:v>中</x:v>
      </x:c>
      <x:c r="I24" s="43" t="str">
        <x:v>第3ロット：外壁塗装・防水系</x:v>
      </x:c>
      <x:c r="J24" s="43" t="str">
        <x:v>外壁塗装系</x:v>
      </x:c>
      <x:c r="K24" s="43" t="str">
        <x:v>日本ハウスHD 外壁塗装 松山市
症状・費用・注意点</x:v>
      </x:c>
      <x:c r="L24" s="43" t="str">
        <x:v>nihon-house-hd-exterior-paint-matsuyama</x:v>
      </x:c>
      <x:c r="M24" s="43" t="str">
        <x:v>nihon-house-hd-exterior-paint-matsuyama.webp</x:v>
      </x:c>
      <x:c r="N24" s="43" t="str">
        <x:v>日本ハウスHD 外壁塗装 松山市について、特徴、注意点、費用目安、業者選びのポイントを初心者にもわかりやすく解説します。</x:v>
      </x:c>
      <x:c r="O24" s="43" t="str">
        <x:v>外壁塗装</x:v>
      </x:c>
      <x:c r="P24" s="43" t="str">
        <x:v>松山市、外壁塗装</x:v>
      </x:c>
      <x:c r="Q24" s="43" t="str">
        <x:v>未着手</x:v>
      </x:c>
      <x:c r="R24" s="43" t="str">
        <x:v>未着手</x:v>
      </x:c>
      <x:c r="S24" s="43" t="str">
        <x:v>未着手</x:v>
      </x:c>
      <x:c r="T24" s="43" t="str">
        <x:v>未着手</x:v>
      </x:c>
      <x:c r="U24" s="43" t="str"/>
      <x:c r="V24" s="43" t="str">
        <x:v>関連：外壁塗装工期、足場代、防水工事、屋根カバーへリンク。</x:v>
      </x:c>
      <x:c r="W24" s="43" t="str"/>
      <x:c r="X24" s="44"/>
      <x:c r="Y24" s="44"/>
      <x:c r="Z24" s="44"/>
    </x:row>
    <x:row r="25">
      <x:c r="A25" s="43" t="n">
        <x:v>24</x:v>
      </x:c>
      <x:c r="B25" s="43" t="str">
        <x:v>アイフルホーム 外壁塗装 松山市</x:v>
      </x:c>
      <x:c r="C25" s="43" t="str">
        <x:v>アイフルホーム 外壁塗装 松山市</x:v>
      </x:c>
      <x:c r="D25" s="43" t="str">
        <x:v>アイフルホームの外壁塗装を松山市で行う際の注意点を解説</x:v>
      </x:c>
      <x:c r="E25" s="43" t="str">
        <x:v>ハウスメーカー外壁塗装</x:v>
      </x:c>
      <x:c r="F25" s="43" t="str">
        <x:v>ハウスメーカー型</x:v>
      </x:c>
      <x:c r="G25" s="43" t="str">
        <x:v>4,500〜6,000字</x:v>
      </x:c>
      <x:c r="H25" s="43" t="str">
        <x:v>中</x:v>
      </x:c>
      <x:c r="I25" s="43" t="str">
        <x:v>第3ロット：外壁塗装・防水系</x:v>
      </x:c>
      <x:c r="J25" s="43" t="str">
        <x:v>外壁塗装系</x:v>
      </x:c>
      <x:c r="K25" s="43" t="str">
        <x:v>アイフルホーム 外壁塗装 松山市
症状・費用・注意点</x:v>
      </x:c>
      <x:c r="L25" s="43" t="str">
        <x:v>eyeful-home-exterior-paint-matsuyama</x:v>
      </x:c>
      <x:c r="M25" s="43" t="str">
        <x:v>eyeful-home-exterior-paint-matsuyama.webp</x:v>
      </x:c>
      <x:c r="N25" s="43" t="str">
        <x:v>アイフルホーム 外壁塗装 松山市について、特徴、注意点、費用目安、業者選びのポイントを初心者にもわかりやすく解説します。</x:v>
      </x:c>
      <x:c r="O25" s="43" t="str">
        <x:v>外壁塗装</x:v>
      </x:c>
      <x:c r="P25" s="43" t="str">
        <x:v>松山市、外壁塗装</x:v>
      </x:c>
      <x:c r="Q25" s="43" t="str">
        <x:v>未着手</x:v>
      </x:c>
      <x:c r="R25" s="43" t="str">
        <x:v>未着手</x:v>
      </x:c>
      <x:c r="S25" s="43" t="str">
        <x:v>未着手</x:v>
      </x:c>
      <x:c r="T25" s="43" t="str">
        <x:v>未着手</x:v>
      </x:c>
      <x:c r="U25" s="43" t="str"/>
      <x:c r="V25" s="43" t="str">
        <x:v>関連：外壁塗装工期、足場代、防水工事、屋根カバーへリンク。</x:v>
      </x:c>
      <x:c r="W25" s="43" t="str"/>
      <x:c r="X25" s="44"/>
      <x:c r="Y25" s="44"/>
      <x:c r="Z25" s="44"/>
    </x:row>
    <x:row r="26">
      <x:c r="A26" s="43" t="n">
        <x:v>25</x:v>
      </x:c>
      <x:c r="B26" s="43" t="str">
        <x:v>外壁から雨漏りする原因</x:v>
      </x:c>
      <x:c r="C26" s="43" t="str">
        <x:v>外壁から雨漏りする原因</x:v>
      </x:c>
      <x:c r="D26" s="43" t="str">
        <x:v>外壁から雨漏りする原因とは？ひび割れ・コーキング劣化の対策</x:v>
      </x:c>
      <x:c r="E26" s="43" t="str">
        <x:v>雨漏り</x:v>
      </x:c>
      <x:c r="F26" s="43" t="str">
        <x:v>原因・症状型</x:v>
      </x:c>
      <x:c r="G26" s="43" t="str">
        <x:v>4,500〜6,500字</x:v>
      </x:c>
      <x:c r="H26" s="43" t="str">
        <x:v>高</x:v>
      </x:c>
      <x:c r="I26" s="43" t="str">
        <x:v>第1ロット：雨漏り系</x:v>
      </x:c>
      <x:c r="J26" s="43" t="str">
        <x:v>雨漏り系</x:v>
      </x:c>
      <x:c r="K26" s="43" t="str">
        <x:v>外壁から雨漏りの原因
放置リスクと対処法</x:v>
      </x:c>
      <x:c r="L26" s="43" t="str">
        <x:v>exterior-wall-leak-cause</x:v>
      </x:c>
      <x:c r="M26" s="43" t="str">
        <x:v>exterior-wall-leak-cause.webp</x:v>
      </x:c>
      <x:c r="N26" s="43" t="str">
        <x:v>外壁から雨漏りする原因について、主な原因、放置リスク、修理方法、業者選びのポイントを松山市で検討中の方向けに解説します。</x:v>
      </x:c>
      <x:c r="O26" s="43" t="str">
        <x:v>雨漏り修理</x:v>
      </x:c>
      <x:c r="P26" s="43" t="str">
        <x:v>雨漏り、雨漏り修理</x:v>
      </x:c>
      <x:c r="Q26" s="43" t="str">
        <x:v>未着手</x:v>
      </x:c>
      <x:c r="R26" s="43" t="str">
        <x:v>未着手</x:v>
      </x:c>
      <x:c r="S26" s="43" t="str">
        <x:v>未着手</x:v>
      </x:c>
      <x:c r="T26" s="43" t="str">
        <x:v>未着手</x:v>
      </x:c>
      <x:c r="U26" s="43" t="str"/>
      <x:c r="V26" s="43" t="str">
        <x:v>中心記事「松山市の雨漏り修理」へリンク。関連：雨漏り費用・調査・屋根雨漏り。</x:v>
      </x:c>
      <x:c r="W26" s="43" t="str"/>
      <x:c r="X26" s="44"/>
      <x:c r="Y26" s="44"/>
      <x:c r="Z26" s="44"/>
    </x:row>
    <x:row r="27">
      <x:c r="A27" s="43" t="n">
        <x:v>26</x:v>
      </x:c>
      <x:c r="B27" s="43" t="str">
        <x:v>窓枠から雨漏りする原因</x:v>
      </x:c>
      <x:c r="C27" s="43" t="str">
        <x:v>窓枠から雨漏りする原因</x:v>
      </x:c>
      <x:c r="D27" s="43" t="str">
        <x:v>窓枠から雨漏りする原因とは？サッシまわりの劣化と修理方法</x:v>
      </x:c>
      <x:c r="E27" s="43" t="str">
        <x:v>雨漏り</x:v>
      </x:c>
      <x:c r="F27" s="43" t="str">
        <x:v>原因・症状型</x:v>
      </x:c>
      <x:c r="G27" s="43" t="str">
        <x:v>4,500〜6,500字</x:v>
      </x:c>
      <x:c r="H27" s="43" t="str">
        <x:v>高</x:v>
      </x:c>
      <x:c r="I27" s="43" t="str">
        <x:v>第1ロット：雨漏り系</x:v>
      </x:c>
      <x:c r="J27" s="43" t="str">
        <x:v>雨漏り系</x:v>
      </x:c>
      <x:c r="K27" s="43" t="str">
        <x:v>窓枠から雨漏りの原因
放置リスクと対処法</x:v>
      </x:c>
      <x:c r="L27" s="43" t="str">
        <x:v>window-frame-leak-cause</x:v>
      </x:c>
      <x:c r="M27" s="43" t="str">
        <x:v>window-frame-leak-cause.webp</x:v>
      </x:c>
      <x:c r="N27" s="43" t="str">
        <x:v>窓枠から雨漏りする原因について、主な原因、放置リスク、修理方法、業者選びのポイントを松山市で検討中の方向けに解説します。</x:v>
      </x:c>
      <x:c r="O27" s="43" t="str">
        <x:v>雨漏り修理</x:v>
      </x:c>
      <x:c r="P27" s="43" t="str">
        <x:v>雨漏り、雨漏り修理</x:v>
      </x:c>
      <x:c r="Q27" s="43" t="str">
        <x:v>未着手</x:v>
      </x:c>
      <x:c r="R27" s="43" t="str">
        <x:v>未着手</x:v>
      </x:c>
      <x:c r="S27" s="43" t="str">
        <x:v>未着手</x:v>
      </x:c>
      <x:c r="T27" s="43" t="str">
        <x:v>未着手</x:v>
      </x:c>
      <x:c r="U27" s="43" t="str"/>
      <x:c r="V27" s="43" t="str">
        <x:v>中心記事「松山市の雨漏り修理」へリンク。関連：雨漏り費用・調査・屋根雨漏り。</x:v>
      </x:c>
      <x:c r="W27" s="43" t="str"/>
      <x:c r="X27" s="44"/>
      <x:c r="Y27" s="44"/>
      <x:c r="Z27" s="44"/>
    </x:row>
    <x:row r="28">
      <x:c r="A28" s="43" t="n">
        <x:v>27</x:v>
      </x:c>
      <x:c r="B28" s="43" t="str">
        <x:v>天窓雨漏り修理</x:v>
      </x:c>
      <x:c r="C28" s="43" t="str">
        <x:v>天窓雨漏り修理</x:v>
      </x:c>
      <x:c r="D28" s="43" t="str">
        <x:v>天窓の雨漏り修理はどうする？原因・費用・放置リスクを解説</x:v>
      </x:c>
      <x:c r="E28" s="43" t="str">
        <x:v>雨漏り</x:v>
      </x:c>
      <x:c r="F28" s="43" t="str">
        <x:v>原因・症状型</x:v>
      </x:c>
      <x:c r="G28" s="43" t="str">
        <x:v>4,500〜6,500字</x:v>
      </x:c>
      <x:c r="H28" s="43" t="str">
        <x:v>高</x:v>
      </x:c>
      <x:c r="I28" s="43" t="str">
        <x:v>第1ロット：雨漏り系</x:v>
      </x:c>
      <x:c r="J28" s="43" t="str">
        <x:v>雨漏り系</x:v>
      </x:c>
      <x:c r="K28" s="43" t="str">
        <x:v>天窓雨漏り修理
原因と修理方法</x:v>
      </x:c>
      <x:c r="L28" s="43" t="str">
        <x:v>skylight-leak-repair</x:v>
      </x:c>
      <x:c r="M28" s="43" t="str">
        <x:v>skylight-leak-repair.webp</x:v>
      </x:c>
      <x:c r="N28" s="43" t="str">
        <x:v>天窓雨漏り修理について、主な原因、放置リスク、修理方法、業者選びのポイントを松山市で検討中の方向けに解説します。</x:v>
      </x:c>
      <x:c r="O28" s="43" t="str">
        <x:v>雨漏り修理</x:v>
      </x:c>
      <x:c r="P28" s="43" t="str">
        <x:v>雨漏り、雨漏り修理</x:v>
      </x:c>
      <x:c r="Q28" s="43" t="str">
        <x:v>未着手</x:v>
      </x:c>
      <x:c r="R28" s="43" t="str">
        <x:v>未着手</x:v>
      </x:c>
      <x:c r="S28" s="43" t="str">
        <x:v>未着手</x:v>
      </x:c>
      <x:c r="T28" s="43" t="str">
        <x:v>未着手</x:v>
      </x:c>
      <x:c r="U28" s="43" t="str"/>
      <x:c r="V28" s="43" t="str">
        <x:v>中心記事「松山市の雨漏り修理」へリンク。関連：雨漏り費用・調査・屋根雨漏り。</x:v>
      </x:c>
      <x:c r="W28" s="43" t="str"/>
      <x:c r="X28" s="44"/>
      <x:c r="Y28" s="44"/>
      <x:c r="Z28" s="44"/>
    </x:row>
    <x:row r="29">
      <x:c r="A29" s="43" t="n">
        <x:v>28</x:v>
      </x:c>
      <x:c r="B29" s="43" t="str">
        <x:v>笠木雨漏り</x:v>
      </x:c>
      <x:c r="C29" s="43" t="str">
        <x:v>笠木雨漏り</x:v>
      </x:c>
      <x:c r="D29" s="43" t="str">
        <x:v>笠木雨漏りの原因とは？ベランダ・外壁まわりの防水対策</x:v>
      </x:c>
      <x:c r="E29" s="43" t="str">
        <x:v>雨漏り</x:v>
      </x:c>
      <x:c r="F29" s="43" t="str">
        <x:v>原因・症状型</x:v>
      </x:c>
      <x:c r="G29" s="43" t="str">
        <x:v>4,500〜6,500字</x:v>
      </x:c>
      <x:c r="H29" s="43" t="str">
        <x:v>高</x:v>
      </x:c>
      <x:c r="I29" s="43" t="str">
        <x:v>第1ロット：雨漏り系</x:v>
      </x:c>
      <x:c r="J29" s="43" t="str">
        <x:v>雨漏り系</x:v>
      </x:c>
      <x:c r="K29" s="43" t="str">
        <x:v>笠木雨漏り
原因と修理方法</x:v>
      </x:c>
      <x:c r="L29" s="43" t="str">
        <x:v>coping-leak</x:v>
      </x:c>
      <x:c r="M29" s="43" t="str">
        <x:v>coping-leak.webp</x:v>
      </x:c>
      <x:c r="N29" s="43" t="str">
        <x:v>笠木雨漏りについて、主な原因、放置リスク、修理方法、業者選びのポイントを松山市で検討中の方向けに解説します。</x:v>
      </x:c>
      <x:c r="O29" s="43" t="str">
        <x:v>雨漏り修理</x:v>
      </x:c>
      <x:c r="P29" s="43" t="str">
        <x:v>雨漏り、雨漏り修理</x:v>
      </x:c>
      <x:c r="Q29" s="43" t="str">
        <x:v>未着手</x:v>
      </x:c>
      <x:c r="R29" s="43" t="str">
        <x:v>未着手</x:v>
      </x:c>
      <x:c r="S29" s="43" t="str">
        <x:v>未着手</x:v>
      </x:c>
      <x:c r="T29" s="43" t="str">
        <x:v>未着手</x:v>
      </x:c>
      <x:c r="U29" s="43" t="str"/>
      <x:c r="V29" s="43" t="str">
        <x:v>中心記事「松山市の雨漏り修理」へリンク。関連：雨漏り費用・調査・屋根雨漏り。</x:v>
      </x:c>
      <x:c r="W29" s="43" t="str"/>
      <x:c r="X29" s="44"/>
      <x:c r="Y29" s="44"/>
      <x:c r="Z29" s="44"/>
    </x:row>
    <x:row r="30">
      <x:c r="A30" s="43" t="n">
        <x:v>29</x:v>
      </x:c>
      <x:c r="B30" s="43" t="str">
        <x:v>幕板雨漏り</x:v>
      </x:c>
      <x:c r="C30" s="43" t="str">
        <x:v>幕板雨漏り</x:v>
      </x:c>
      <x:c r="D30" s="43" t="str">
        <x:v>幕板から雨漏りする原因とは？劣化症状と補修方法を解説</x:v>
      </x:c>
      <x:c r="E30" s="43" t="str">
        <x:v>雨漏り</x:v>
      </x:c>
      <x:c r="F30" s="43" t="str">
        <x:v>原因・症状型</x:v>
      </x:c>
      <x:c r="G30" s="43" t="str">
        <x:v>4,500〜6,500字</x:v>
      </x:c>
      <x:c r="H30" s="43" t="str">
        <x:v>高</x:v>
      </x:c>
      <x:c r="I30" s="43" t="str">
        <x:v>第1ロット：雨漏り系</x:v>
      </x:c>
      <x:c r="J30" s="43" t="str">
        <x:v>雨漏り系</x:v>
      </x:c>
      <x:c r="K30" s="43" t="str">
        <x:v>幕板雨漏り
原因と修理方法</x:v>
      </x:c>
      <x:c r="L30" s="43" t="str">
        <x:v>decorative-trim-leak</x:v>
      </x:c>
      <x:c r="M30" s="43" t="str">
        <x:v>decorative-trim-leak.webp</x:v>
      </x:c>
      <x:c r="N30" s="43" t="str">
        <x:v>幕板雨漏りについて、主な原因、放置リスク、修理方法、業者選びのポイントを松山市で検討中の方向けに解説します。</x:v>
      </x:c>
      <x:c r="O30" s="43" t="str">
        <x:v>雨漏り修理</x:v>
      </x:c>
      <x:c r="P30" s="43" t="str">
        <x:v>雨漏り、雨漏り修理</x:v>
      </x:c>
      <x:c r="Q30" s="43" t="str">
        <x:v>未着手</x:v>
      </x:c>
      <x:c r="R30" s="43" t="str">
        <x:v>未着手</x:v>
      </x:c>
      <x:c r="S30" s="43" t="str">
        <x:v>未着手</x:v>
      </x:c>
      <x:c r="T30" s="43" t="str">
        <x:v>未着手</x:v>
      </x:c>
      <x:c r="U30" s="43" t="str"/>
      <x:c r="V30" s="43" t="str">
        <x:v>中心記事「松山市の雨漏り修理」へリンク。関連：雨漏り費用・調査・屋根雨漏り。</x:v>
      </x:c>
      <x:c r="W30" s="43" t="str"/>
      <x:c r="X30" s="44"/>
      <x:c r="Y30" s="44"/>
      <x:c r="Z30" s="44"/>
    </x:row>
    <x:row r="31">
      <x:c r="A31" s="43" t="n">
        <x:v>30</x:v>
      </x:c>
      <x:c r="B31" s="43" t="str">
        <x:v>バルコニー雨漏り</x:v>
      </x:c>
      <x:c r="C31" s="43" t="str">
        <x:v>バルコニー雨漏り</x:v>
      </x:c>
      <x:c r="D31" s="43" t="str">
        <x:v>バルコニー雨漏りの原因と修理方法｜防水工事の費用目安も解説</x:v>
      </x:c>
      <x:c r="E31" s="43" t="str">
        <x:v>雨漏り</x:v>
      </x:c>
      <x:c r="F31" s="43" t="str">
        <x:v>原因・症状型</x:v>
      </x:c>
      <x:c r="G31" s="43" t="str">
        <x:v>4,500〜6,500字</x:v>
      </x:c>
      <x:c r="H31" s="43" t="str">
        <x:v>高</x:v>
      </x:c>
      <x:c r="I31" s="43" t="str">
        <x:v>第1ロット：雨漏り系</x:v>
      </x:c>
      <x:c r="J31" s="43" t="str">
        <x:v>雨漏り系</x:v>
      </x:c>
      <x:c r="K31" s="43" t="str">
        <x:v>バルコニー雨漏り
原因と修理方法</x:v>
      </x:c>
      <x:c r="L31" s="43" t="str">
        <x:v>balcony-leak</x:v>
      </x:c>
      <x:c r="M31" s="43" t="str">
        <x:v>balcony-leak.webp</x:v>
      </x:c>
      <x:c r="N31" s="43" t="str">
        <x:v>バルコニー雨漏りについて、主な原因、放置リスク、修理方法、業者選びのポイントを松山市で検討中の方向けに解説します。</x:v>
      </x:c>
      <x:c r="O31" s="43" t="str">
        <x:v>雨漏り修理</x:v>
      </x:c>
      <x:c r="P31" s="43" t="str">
        <x:v>雨漏り、雨漏り修理</x:v>
      </x:c>
      <x:c r="Q31" s="43" t="str">
        <x:v>未着手</x:v>
      </x:c>
      <x:c r="R31" s="43" t="str">
        <x:v>未着手</x:v>
      </x:c>
      <x:c r="S31" s="43" t="str">
        <x:v>未着手</x:v>
      </x:c>
      <x:c r="T31" s="43" t="str">
        <x:v>未着手</x:v>
      </x:c>
      <x:c r="U31" s="43" t="str"/>
      <x:c r="V31" s="43" t="str">
        <x:v>中心記事「松山市の雨漏り修理」へリンク。関連：雨漏り費用・調査・屋根雨漏り。</x:v>
      </x:c>
      <x:c r="W31" s="43" t="str"/>
      <x:c r="X31" s="44"/>
      <x:c r="Y31" s="44"/>
      <x:c r="Z31" s="44"/>
    </x:row>
    <x:row r="32">
      <x:c r="A32" s="43" t="n">
        <x:v>31</x:v>
      </x:c>
      <x:c r="B32" s="43" t="str">
        <x:v>軒天雨漏り</x:v>
      </x:c>
      <x:c r="C32" s="43" t="str">
        <x:v>軒天雨漏り</x:v>
      </x:c>
      <x:c r="D32" s="43" t="str">
        <x:v>軒天の雨漏りは危険？シミ・剥がれの原因と補修方法</x:v>
      </x:c>
      <x:c r="E32" s="43" t="str">
        <x:v>雨漏り</x:v>
      </x:c>
      <x:c r="F32" s="43" t="str">
        <x:v>原因・症状型</x:v>
      </x:c>
      <x:c r="G32" s="43" t="str">
        <x:v>4,500〜6,500字</x:v>
      </x:c>
      <x:c r="H32" s="43" t="str">
        <x:v>高</x:v>
      </x:c>
      <x:c r="I32" s="43" t="str">
        <x:v>第1ロット：雨漏り系</x:v>
      </x:c>
      <x:c r="J32" s="43" t="str">
        <x:v>雨漏り系</x:v>
      </x:c>
      <x:c r="K32" s="43" t="str">
        <x:v>軒天雨漏り
原因と修理方法</x:v>
      </x:c>
      <x:c r="L32" s="43" t="str">
        <x:v>soffit-leak</x:v>
      </x:c>
      <x:c r="M32" s="43" t="str">
        <x:v>soffit-leak.webp</x:v>
      </x:c>
      <x:c r="N32" s="43" t="str">
        <x:v>軒天雨漏りについて、主な原因、放置リスク、修理方法、業者選びのポイントを松山市で検討中の方向けに解説します。</x:v>
      </x:c>
      <x:c r="O32" s="43" t="str">
        <x:v>雨漏り修理</x:v>
      </x:c>
      <x:c r="P32" s="43" t="str">
        <x:v>雨漏り、軒天、雨漏り修理</x:v>
      </x:c>
      <x:c r="Q32" s="43" t="str">
        <x:v>未着手</x:v>
      </x:c>
      <x:c r="R32" s="43" t="str">
        <x:v>未着手</x:v>
      </x:c>
      <x:c r="S32" s="43" t="str">
        <x:v>未着手</x:v>
      </x:c>
      <x:c r="T32" s="43" t="str">
        <x:v>未着手</x:v>
      </x:c>
      <x:c r="U32" s="43" t="str"/>
      <x:c r="V32" s="43" t="str">
        <x:v>中心記事「松山市の雨漏り修理」へリンク。関連：雨漏り費用・調査・屋根雨漏り。</x:v>
      </x:c>
      <x:c r="W32" s="43" t="str"/>
      <x:c r="X32" s="44"/>
      <x:c r="Y32" s="44"/>
      <x:c r="Z32" s="44"/>
    </x:row>
    <x:row r="33">
      <x:c r="A33" s="43" t="n">
        <x:v>32</x:v>
      </x:c>
      <x:c r="B33" s="43" t="str">
        <x:v>雨漏り火災保険</x:v>
      </x:c>
      <x:c r="C33" s="43" t="str">
        <x:v>雨漏り火災保険</x:v>
      </x:c>
      <x:c r="D33" s="43" t="str">
        <x:v>雨漏り修理に火災保険は使える？対象条件と申請前の注意点</x:v>
      </x:c>
      <x:c r="E33" s="43" t="str">
        <x:v>雨漏り</x:v>
      </x:c>
      <x:c r="F33" s="43" t="str">
        <x:v>原因・症状型</x:v>
      </x:c>
      <x:c r="G33" s="43" t="str">
        <x:v>5,000〜7,000字</x:v>
      </x:c>
      <x:c r="H33" s="43" t="str">
        <x:v>高</x:v>
      </x:c>
      <x:c r="I33" s="43" t="str">
        <x:v>第1ロット：雨漏り系</x:v>
      </x:c>
      <x:c r="J33" s="43" t="str">
        <x:v>雨漏り系</x:v>
      </x:c>
      <x:c r="K33" s="43" t="str">
        <x:v>雨漏り火災保険
原因と修理方法</x:v>
      </x:c>
      <x:c r="L33" s="43" t="str">
        <x:v>leak-fire-insurance</x:v>
      </x:c>
      <x:c r="M33" s="43" t="str">
        <x:v>leak-fire-insurance.webp</x:v>
      </x:c>
      <x:c r="N33" s="43" t="str">
        <x:v>雨漏り火災保険について、主な原因、放置リスク、修理方法、業者選びのポイントを松山市で検討中の方向けに解説します。</x:v>
      </x:c>
      <x:c r="O33" s="43" t="str">
        <x:v>雨漏り修理</x:v>
      </x:c>
      <x:c r="P33" s="43" t="str">
        <x:v>雨漏り、雨漏り修理</x:v>
      </x:c>
      <x:c r="Q33" s="43" t="str">
        <x:v>未着手</x:v>
      </x:c>
      <x:c r="R33" s="43" t="str">
        <x:v>未着手</x:v>
      </x:c>
      <x:c r="S33" s="43" t="str">
        <x:v>未着手</x:v>
      </x:c>
      <x:c r="T33" s="43" t="str">
        <x:v>未着手</x:v>
      </x:c>
      <x:c r="U33" s="43" t="str"/>
      <x:c r="V33" s="43" t="str">
        <x:v>中心記事「松山市の雨漏り修理」へリンク。関連：雨漏り費用・調査・屋根雨漏り。</x:v>
      </x:c>
      <x:c r="W33" s="43" t="str"/>
      <x:c r="X33" s="44"/>
      <x:c r="Y33" s="44"/>
      <x:c r="Z33" s="44"/>
    </x:row>
    <x:row r="34">
      <x:c r="A34" s="43" t="n">
        <x:v>33</x:v>
      </x:c>
      <x:c r="B34" s="43" t="str">
        <x:v>コーキング劣化 雨漏り</x:v>
      </x:c>
      <x:c r="C34" s="43" t="str">
        <x:v>コーキング劣化 雨漏り</x:v>
      </x:c>
      <x:c r="D34" s="43" t="str">
        <x:v>コーキング劣化で雨漏りする原因とは？補修時期と費用を解説</x:v>
      </x:c>
      <x:c r="E34" s="43" t="str">
        <x:v>防水・シーリング</x:v>
      </x:c>
      <x:c r="F34" s="43" t="str">
        <x:v>防水・シーリング型</x:v>
      </x:c>
      <x:c r="G34" s="43" t="str">
        <x:v>4,500〜6,000字</x:v>
      </x:c>
      <x:c r="H34" s="43" t="str">
        <x:v>中</x:v>
      </x:c>
      <x:c r="I34" s="43" t="str">
        <x:v>第3ロット：外壁塗装・防水系</x:v>
      </x:c>
      <x:c r="J34" s="43" t="str">
        <x:v>防水系</x:v>
      </x:c>
      <x:c r="K34" s="43" t="str">
        <x:v>コーキング劣化 雨漏り
原因と修理方法</x:v>
      </x:c>
      <x:c r="L34" s="43" t="str">
        <x:v>caulking-deterioration-leak</x:v>
      </x:c>
      <x:c r="M34" s="43" t="str">
        <x:v>caulking-deterioration-leak.webp</x:v>
      </x:c>
      <x:c r="N34" s="43" t="str">
        <x:v>コーキング劣化 雨漏りについて、工事内容、耐用年数、費用目安、雨漏りを防ぐための注意点をわかりやすく解説します。</x:v>
      </x:c>
      <x:c r="O34" s="43" t="str">
        <x:v>防水・シーリング</x:v>
      </x:c>
      <x:c r="P34" s="43" t="str">
        <x:v>雨漏り、防水・シーリング</x:v>
      </x:c>
      <x:c r="Q34" s="43" t="str">
        <x:v>未着手</x:v>
      </x:c>
      <x:c r="R34" s="43" t="str">
        <x:v>未着手</x:v>
      </x:c>
      <x:c r="S34" s="43" t="str">
        <x:v>未着手</x:v>
      </x:c>
      <x:c r="T34" s="43" t="str">
        <x:v>未着手</x:v>
      </x:c>
      <x:c r="U34" s="43" t="str"/>
      <x:c r="V34" s="43" t="str">
        <x:v>関連：ベランダ防水費用、シーリング打ち替え費用、外壁雨漏りへリンク。</x:v>
      </x:c>
      <x:c r="W34" s="43" t="str"/>
      <x:c r="X34" s="44"/>
      <x:c r="Y34" s="44"/>
      <x:c r="Z34" s="44"/>
    </x:row>
    <x:row r="35">
      <x:c r="A35" s="43" t="n">
        <x:v>34</x:v>
      </x:c>
      <x:c r="B35" s="43" t="str">
        <x:v>外壁ひび割れ 雨漏り</x:v>
      </x:c>
      <x:c r="C35" s="43" t="str">
        <x:v>外壁ひび割れ 雨漏り</x:v>
      </x:c>
      <x:c r="D35" s="43" t="str">
        <x:v>外壁ひび割れで雨漏りする？危険な症状と補修方法を解説</x:v>
      </x:c>
      <x:c r="E35" s="43" t="str">
        <x:v>防水・シーリング</x:v>
      </x:c>
      <x:c r="F35" s="43" t="str">
        <x:v>防水・シーリング型</x:v>
      </x:c>
      <x:c r="G35" s="43" t="str">
        <x:v>4,500〜6,000字</x:v>
      </x:c>
      <x:c r="H35" s="43" t="str">
        <x:v>中</x:v>
      </x:c>
      <x:c r="I35" s="43" t="str">
        <x:v>第3ロット：外壁塗装・防水系</x:v>
      </x:c>
      <x:c r="J35" s="43" t="str">
        <x:v>防水系</x:v>
      </x:c>
      <x:c r="K35" s="43" t="str">
        <x:v>外壁ひび割れ 雨漏り
原因と修理方法</x:v>
      </x:c>
      <x:c r="L35" s="43" t="str">
        <x:v>exterior-wall-crack-leak</x:v>
      </x:c>
      <x:c r="M35" s="43" t="str">
        <x:v>exterior-wall-crack-leak.webp</x:v>
      </x:c>
      <x:c r="N35" s="43" t="str">
        <x:v>外壁ひび割れ 雨漏りについて、工事内容、耐用年数、費用目安、雨漏りを防ぐための注意点をわかりやすく解説します。</x:v>
      </x:c>
      <x:c r="O35" s="43" t="str">
        <x:v>防水・シーリング</x:v>
      </x:c>
      <x:c r="P35" s="43" t="str">
        <x:v>雨漏り、防水・シーリング</x:v>
      </x:c>
      <x:c r="Q35" s="43" t="str">
        <x:v>未着手</x:v>
      </x:c>
      <x:c r="R35" s="43" t="str">
        <x:v>未着手</x:v>
      </x:c>
      <x:c r="S35" s="43" t="str">
        <x:v>未着手</x:v>
      </x:c>
      <x:c r="T35" s="43" t="str">
        <x:v>未着手</x:v>
      </x:c>
      <x:c r="U35" s="43" t="str"/>
      <x:c r="V35" s="43" t="str">
        <x:v>関連：ベランダ防水費用、シーリング打ち替え費用、外壁雨漏りへリンク。</x:v>
      </x:c>
      <x:c r="W35" s="43" t="str"/>
      <x:c r="X35" s="44"/>
      <x:c r="Y35" s="44"/>
      <x:c r="Z35" s="44"/>
    </x:row>
    <x:row r="36">
      <x:c r="A36" s="43" t="n">
        <x:v>35</x:v>
      </x:c>
      <x:c r="B36" s="43" t="str">
        <x:v>シーリング打ち替え 費用</x:v>
      </x:c>
      <x:c r="C36" s="43" t="str">
        <x:v>シーリング打ち替え 費用</x:v>
      </x:c>
      <x:c r="D36" s="43" t="str">
        <x:v>シーリング打ち替え費用はいくら？相場・内訳・注意点を解説</x:v>
      </x:c>
      <x:c r="E36" s="43" t="str">
        <x:v>防水・シーリング</x:v>
      </x:c>
      <x:c r="F36" s="43" t="str">
        <x:v>費用・相場型</x:v>
      </x:c>
      <x:c r="G36" s="43" t="str">
        <x:v>5,000〜7,000字</x:v>
      </x:c>
      <x:c r="H36" s="43" t="str">
        <x:v>中</x:v>
      </x:c>
      <x:c r="I36" s="43" t="str">
        <x:v>第3ロット：外壁塗装・防水系</x:v>
      </x:c>
      <x:c r="J36" s="43" t="str">
        <x:v>防水系</x:v>
      </x:c>
      <x:c r="K36" s="43" t="str">
        <x:v>シーリング打ち替え 費用
相場と注意点を解説</x:v>
      </x:c>
      <x:c r="L36" s="43" t="str">
        <x:v>sealing-replacement-cost</x:v>
      </x:c>
      <x:c r="M36" s="43" t="str">
        <x:v>sealing-replacement-cost.webp</x:v>
      </x:c>
      <x:c r="N36" s="43" t="str">
        <x:v>シーリング打ち替え 費用について、費用相場、内訳、金額が変わる要因、見積もり時の注意点をわかりやすく解説します。</x:v>
      </x:c>
      <x:c r="O36" s="43" t="str">
        <x:v>防水・シーリング</x:v>
      </x:c>
      <x:c r="P36" s="43" t="str">
        <x:v>シーリング、費用、防水・シーリング</x:v>
      </x:c>
      <x:c r="Q36" s="43" t="str">
        <x:v>未着手</x:v>
      </x:c>
      <x:c r="R36" s="43" t="str">
        <x:v>未着手</x:v>
      </x:c>
      <x:c r="S36" s="43" t="str">
        <x:v>未着手</x:v>
      </x:c>
      <x:c r="T36" s="43" t="str">
        <x:v>未着手</x:v>
      </x:c>
      <x:c r="U36" s="43" t="str"/>
      <x:c r="V36" s="43" t="str">
        <x:v>関連：ベランダ防水費用、シーリング打ち替え費用、外壁雨漏りへリンク。</x:v>
      </x:c>
      <x:c r="W36" s="43" t="str"/>
      <x:c r="X36" s="44"/>
      <x:c r="Y36" s="44"/>
      <x:c r="Z36" s="44"/>
    </x:row>
    <x:row r="37">
      <x:c r="A37" s="43" t="n">
        <x:v>36</x:v>
      </x:c>
      <x:c r="B37" s="43" t="str">
        <x:v>オートンイクシード 費用</x:v>
      </x:c>
      <x:c r="C37" s="43" t="str">
        <x:v>オートンイクシード 費用</x:v>
      </x:c>
      <x:c r="D37" s="43" t="str">
        <x:v>オートンイクシードの費用は高い？特徴・相場・向いている住宅</x:v>
      </x:c>
      <x:c r="E37" s="43" t="str">
        <x:v>防水・シーリング</x:v>
      </x:c>
      <x:c r="F37" s="43" t="str">
        <x:v>費用・相場型</x:v>
      </x:c>
      <x:c r="G37" s="43" t="str">
        <x:v>5,000〜7,000字</x:v>
      </x:c>
      <x:c r="H37" s="43" t="str">
        <x:v>中</x:v>
      </x:c>
      <x:c r="I37" s="43" t="str">
        <x:v>第3ロット：外壁塗装・防水系</x:v>
      </x:c>
      <x:c r="J37" s="43" t="str">
        <x:v>防水系</x:v>
      </x:c>
      <x:c r="K37" s="43" t="str">
        <x:v>オートンイクシード 費用
相場と注意点を解説</x:v>
      </x:c>
      <x:c r="L37" s="43" t="str">
        <x:v>auton-exceed-cost</x:v>
      </x:c>
      <x:c r="M37" s="43" t="str">
        <x:v>auton-exceed-cost.webp</x:v>
      </x:c>
      <x:c r="N37" s="43" t="str">
        <x:v>オートンイクシード 費用について、費用相場、内訳、金額が変わる要因、見積もり時の注意点をわかりやすく解説します。</x:v>
      </x:c>
      <x:c r="O37" s="43" t="str">
        <x:v>防水・シーリング</x:v>
      </x:c>
      <x:c r="P37" s="43" t="str">
        <x:v>費用、防水・シーリング</x:v>
      </x:c>
      <x:c r="Q37" s="43" t="str">
        <x:v>未着手</x:v>
      </x:c>
      <x:c r="R37" s="43" t="str">
        <x:v>未着手</x:v>
      </x:c>
      <x:c r="S37" s="43" t="str">
        <x:v>未着手</x:v>
      </x:c>
      <x:c r="T37" s="43" t="str">
        <x:v>未着手</x:v>
      </x:c>
      <x:c r="U37" s="43" t="str"/>
      <x:c r="V37" s="43" t="str">
        <x:v>関連：ベランダ防水費用、シーリング打ち替え費用、外壁雨漏りへリンク。</x:v>
      </x:c>
      <x:c r="W37" s="43" t="str"/>
      <x:c r="X37" s="44"/>
      <x:c r="Y37" s="44"/>
      <x:c r="Z37" s="44"/>
    </x:row>
    <x:row r="38">
      <x:c r="A38" s="43" t="n">
        <x:v>37</x:v>
      </x:c>
      <x:c r="B38" s="43" t="str">
        <x:v>ベランダ防水 費用</x:v>
      </x:c>
      <x:c r="C38" s="43" t="str">
        <x:v>ベランダ防水 費用</x:v>
      </x:c>
      <x:c r="D38" s="43" t="str">
        <x:v>ベランダ防水の費用相場はいくら？工法別の違いと注意点</x:v>
      </x:c>
      <x:c r="E38" s="43" t="str">
        <x:v>防水・シーリング</x:v>
      </x:c>
      <x:c r="F38" s="43" t="str">
        <x:v>費用・相場型</x:v>
      </x:c>
      <x:c r="G38" s="43" t="str">
        <x:v>5,000〜7,000字</x:v>
      </x:c>
      <x:c r="H38" s="43" t="str">
        <x:v>中</x:v>
      </x:c>
      <x:c r="I38" s="43" t="str">
        <x:v>第3ロット：外壁塗装・防水系</x:v>
      </x:c>
      <x:c r="J38" s="43" t="str">
        <x:v>防水系</x:v>
      </x:c>
      <x:c r="K38" s="43" t="str">
        <x:v>ベランダ防水 費用
相場と注意点を解説</x:v>
      </x:c>
      <x:c r="L38" s="43" t="str">
        <x:v>balcony-waterproof-cost</x:v>
      </x:c>
      <x:c r="M38" s="43" t="str">
        <x:v>balcony-waterproof-cost.webp</x:v>
      </x:c>
      <x:c r="N38" s="43" t="str">
        <x:v>ベランダ防水 費用について、費用相場、内訳、金額が変わる要因、見積もり時の注意点をわかりやすく解説します。</x:v>
      </x:c>
      <x:c r="O38" s="43" t="str">
        <x:v>防水・シーリング</x:v>
      </x:c>
      <x:c r="P38" s="43" t="str">
        <x:v>防水、費用、防水・シーリング</x:v>
      </x:c>
      <x:c r="Q38" s="43" t="str">
        <x:v>未着手</x:v>
      </x:c>
      <x:c r="R38" s="43" t="str">
        <x:v>未着手</x:v>
      </x:c>
      <x:c r="S38" s="43" t="str">
        <x:v>未着手</x:v>
      </x:c>
      <x:c r="T38" s="43" t="str">
        <x:v>未着手</x:v>
      </x:c>
      <x:c r="U38" s="43" t="str"/>
      <x:c r="V38" s="43" t="str">
        <x:v>関連：ベランダ防水費用、シーリング打ち替え費用、外壁雨漏りへリンク。</x:v>
      </x:c>
      <x:c r="W38" s="43" t="str"/>
      <x:c r="X38" s="44"/>
      <x:c r="Y38" s="44"/>
      <x:c r="Z38" s="44"/>
    </x:row>
    <x:row r="39">
      <x:c r="A39" s="43" t="n">
        <x:v>38</x:v>
      </x:c>
      <x:c r="B39" s="43" t="str">
        <x:v>FRP防水 耐用年数</x:v>
      </x:c>
      <x:c r="C39" s="43" t="str">
        <x:v>FRP防水 耐用年数</x:v>
      </x:c>
      <x:c r="D39" s="43" t="str">
        <x:v>FRP防水の耐用年数はどれくらい？劣化症状とメンテナンス時期</x:v>
      </x:c>
      <x:c r="E39" s="43" t="str">
        <x:v>防水・シーリング</x:v>
      </x:c>
      <x:c r="F39" s="43" t="str">
        <x:v>防水・シーリング型</x:v>
      </x:c>
      <x:c r="G39" s="43" t="str">
        <x:v>4,500〜6,000字</x:v>
      </x:c>
      <x:c r="H39" s="43" t="str">
        <x:v>中</x:v>
      </x:c>
      <x:c r="I39" s="43" t="str">
        <x:v>第3ロット：外壁塗装・防水系</x:v>
      </x:c>
      <x:c r="J39" s="43" t="str">
        <x:v>防水系</x:v>
      </x:c>
      <x:c r="K39" s="43" t="str">
        <x:v>FRP防水の耐用年数
劣化症状と時期</x:v>
      </x:c>
      <x:c r="L39" s="43" t="str">
        <x:v>frp-waterproof-lifespan</x:v>
      </x:c>
      <x:c r="M39" s="43" t="str">
        <x:v>frp-waterproof-lifespan.webp</x:v>
      </x:c>
      <x:c r="N39" s="43" t="str">
        <x:v>FRP防水 耐用年数について、工事内容、耐用年数、費用目安、雨漏りを防ぐための注意点をわかりやすく解説します。</x:v>
      </x:c>
      <x:c r="O39" s="43" t="str">
        <x:v>防水・シーリング</x:v>
      </x:c>
      <x:c r="P39" s="43" t="str">
        <x:v>防水、防水・シーリング</x:v>
      </x:c>
      <x:c r="Q39" s="43" t="str">
        <x:v>未着手</x:v>
      </x:c>
      <x:c r="R39" s="43" t="str">
        <x:v>未着手</x:v>
      </x:c>
      <x:c r="S39" s="43" t="str">
        <x:v>未着手</x:v>
      </x:c>
      <x:c r="T39" s="43" t="str">
        <x:v>未着手</x:v>
      </x:c>
      <x:c r="U39" s="43" t="str"/>
      <x:c r="V39" s="43" t="str">
        <x:v>関連：ベランダ防水費用、シーリング打ち替え費用、外壁雨漏りへリンク。</x:v>
      </x:c>
      <x:c r="W39" s="43" t="str"/>
      <x:c r="X39" s="44"/>
      <x:c r="Y39" s="44"/>
      <x:c r="Z39" s="44"/>
    </x:row>
    <x:row r="40">
      <x:c r="A40" s="43" t="n">
        <x:v>39</x:v>
      </x:c>
      <x:c r="B40" s="43" t="str">
        <x:v>ウレタン防水 耐用年数</x:v>
      </x:c>
      <x:c r="C40" s="43" t="str">
        <x:v>ウレタン防水 耐用年数</x:v>
      </x:c>
      <x:c r="D40" s="43" t="str">
        <x:v>ウレタン防水の耐用年数は？メリット・劣化症状・補修時期</x:v>
      </x:c>
      <x:c r="E40" s="43" t="str">
        <x:v>防水・シーリング</x:v>
      </x:c>
      <x:c r="F40" s="43" t="str">
        <x:v>防水・シーリング型</x:v>
      </x:c>
      <x:c r="G40" s="43" t="str">
        <x:v>4,500〜6,000字</x:v>
      </x:c>
      <x:c r="H40" s="43" t="str">
        <x:v>中</x:v>
      </x:c>
      <x:c r="I40" s="43" t="str">
        <x:v>第3ロット：外壁塗装・防水系</x:v>
      </x:c>
      <x:c r="J40" s="43" t="str">
        <x:v>防水系</x:v>
      </x:c>
      <x:c r="K40" s="43" t="str">
        <x:v>ウレタン防水の耐用年数
劣化症状と時期</x:v>
      </x:c>
      <x:c r="L40" s="43" t="str">
        <x:v>urethane-waterproof-lifespan</x:v>
      </x:c>
      <x:c r="M40" s="43" t="str">
        <x:v>urethane-waterproof-lifespan.webp</x:v>
      </x:c>
      <x:c r="N40" s="43" t="str">
        <x:v>ウレタン防水 耐用年数について、工事内容、耐用年数、費用目安、雨漏りを防ぐための注意点をわかりやすく解説します。</x:v>
      </x:c>
      <x:c r="O40" s="43" t="str">
        <x:v>防水・シーリング</x:v>
      </x:c>
      <x:c r="P40" s="43" t="str">
        <x:v>防水、防水・シーリング</x:v>
      </x:c>
      <x:c r="Q40" s="43" t="str">
        <x:v>未着手</x:v>
      </x:c>
      <x:c r="R40" s="43" t="str">
        <x:v>未着手</x:v>
      </x:c>
      <x:c r="S40" s="43" t="str">
        <x:v>未着手</x:v>
      </x:c>
      <x:c r="T40" s="43" t="str">
        <x:v>未着手</x:v>
      </x:c>
      <x:c r="U40" s="43" t="str"/>
      <x:c r="V40" s="43" t="str">
        <x:v>関連：ベランダ防水費用、シーリング打ち替え費用、外壁雨漏りへリンク。</x:v>
      </x:c>
      <x:c r="W40" s="43" t="str"/>
      <x:c r="X40" s="44"/>
      <x:c r="Y40" s="44"/>
      <x:c r="Z40" s="44"/>
    </x:row>
    <x:row r="41">
      <x:c r="A41" s="43" t="n">
        <x:v>40</x:v>
      </x:c>
      <x:c r="B41" s="43" t="str">
        <x:v>塩ビシート防水 耐用年数</x:v>
      </x:c>
      <x:c r="C41" s="43" t="str">
        <x:v>塩ビシート防水 耐用年数</x:v>
      </x:c>
      <x:c r="D41" s="43" t="str">
        <x:v>塩ビシート防水の耐用年数は？特徴・劣化症状・注意点</x:v>
      </x:c>
      <x:c r="E41" s="43" t="str">
        <x:v>防水・シーリング</x:v>
      </x:c>
      <x:c r="F41" s="43" t="str">
        <x:v>防水・シーリング型</x:v>
      </x:c>
      <x:c r="G41" s="43" t="str">
        <x:v>4,500〜6,000字</x:v>
      </x:c>
      <x:c r="H41" s="43" t="str">
        <x:v>中</x:v>
      </x:c>
      <x:c r="I41" s="43" t="str">
        <x:v>第3ロット：外壁塗装・防水系</x:v>
      </x:c>
      <x:c r="J41" s="43" t="str">
        <x:v>防水系</x:v>
      </x:c>
      <x:c r="K41" s="43" t="str">
        <x:v>塩ビシート防水の耐用年数
劣化症状と時期</x:v>
      </x:c>
      <x:c r="L41" s="43" t="str">
        <x:v>pvc-sheet-waterproof-lifespan</x:v>
      </x:c>
      <x:c r="M41" s="43" t="str">
        <x:v>pvc-sheet-waterproof-lifespan.webp</x:v>
      </x:c>
      <x:c r="N41" s="43" t="str">
        <x:v>塩ビシート防水 耐用年数について、工事内容、耐用年数、費用目安、雨漏りを防ぐための注意点をわかりやすく解説します。</x:v>
      </x:c>
      <x:c r="O41" s="43" t="str">
        <x:v>防水・シーリング</x:v>
      </x:c>
      <x:c r="P41" s="43" t="str">
        <x:v>防水、防水・シーリング</x:v>
      </x:c>
      <x:c r="Q41" s="43" t="str">
        <x:v>未着手</x:v>
      </x:c>
      <x:c r="R41" s="43" t="str">
        <x:v>未着手</x:v>
      </x:c>
      <x:c r="S41" s="43" t="str">
        <x:v>未着手</x:v>
      </x:c>
      <x:c r="T41" s="43" t="str">
        <x:v>未着手</x:v>
      </x:c>
      <x:c r="U41" s="43" t="str"/>
      <x:c r="V41" s="43" t="str">
        <x:v>関連：ベランダ防水費用、シーリング打ち替え費用、外壁雨漏りへリンク。</x:v>
      </x:c>
      <x:c r="W41" s="43" t="str"/>
      <x:c r="X41" s="44"/>
      <x:c r="Y41" s="44"/>
      <x:c r="Z41" s="44"/>
    </x:row>
    <x:row r="42">
      <x:c r="A42" s="43" t="n">
        <x:v>41</x:v>
      </x:c>
      <x:c r="B42" s="43" t="str">
        <x:v>屋根カバー メリット</x:v>
      </x:c>
      <x:c r="C42" s="43" t="str">
        <x:v>屋根カバー メリット</x:v>
      </x:c>
      <x:c r="D42" s="43" t="str">
        <x:v>屋根カバー工法のメリットとは？費用・注意点・向いている屋根</x:v>
      </x:c>
      <x:c r="E42" s="43" t="str">
        <x:v>屋根修理・屋根材</x:v>
      </x:c>
      <x:c r="F42" s="43" t="str">
        <x:v>地域サービス型</x:v>
      </x:c>
      <x:c r="G42" s="43" t="str">
        <x:v>5,000〜7,000字</x:v>
      </x:c>
      <x:c r="H42" s="43" t="str">
        <x:v>高</x:v>
      </x:c>
      <x:c r="I42" s="43" t="str">
        <x:v>第2ロット：屋根修理・屋根材系</x:v>
      </x:c>
      <x:c r="J42" s="43" t="str">
        <x:v>屋根修理系</x:v>
      </x:c>
      <x:c r="K42" s="43" t="str">
        <x:v>屋根カバー メリット
ポイントを解説</x:v>
      </x:c>
      <x:c r="L42" s="43" t="str">
        <x:v>roof-cover-method-merit</x:v>
      </x:c>
      <x:c r="M42" s="43" t="str">
        <x:v>roof-cover-method-merit.webp</x:v>
      </x:c>
      <x:c r="N42" s="43" t="str">
        <x:v>屋根カバー メリットについて、劣化症状、修理方法、費用目安、依頼前に確認したいポイントをわかりやすく解説します。</x:v>
      </x:c>
      <x:c r="O42" s="43" t="str">
        <x:v>屋根修理</x:v>
      </x:c>
      <x:c r="P42" s="43" t="str">
        <x:v>屋根修理</x:v>
      </x:c>
      <x:c r="Q42" s="43" t="str">
        <x:v>未着手</x:v>
      </x:c>
      <x:c r="R42" s="43" t="str">
        <x:v>未着手</x:v>
      </x:c>
      <x:c r="S42" s="43" t="str">
        <x:v>未着手</x:v>
      </x:c>
      <x:c r="T42" s="43" t="str">
        <x:v>未着手</x:v>
      </x:c>
      <x:c r="U42" s="43" t="str"/>
      <x:c r="V42" s="43" t="str">
        <x:v>中心記事「松山市の屋根修理」へリンク。関連：屋根カバー・屋根材注意記事。</x:v>
      </x:c>
      <x:c r="W42" s="43" t="str"/>
      <x:c r="X42" s="44"/>
      <x:c r="Y42" s="44"/>
      <x:c r="Z42" s="44"/>
    </x:row>
    <x:row r="43">
      <x:c r="A43" s="43" t="n">
        <x:v>42</x:v>
      </x:c>
      <x:c r="B43" s="43" t="str">
        <x:v>ガルテクト デメリット</x:v>
      </x:c>
      <x:c r="C43" s="43" t="str">
        <x:v>ガルテクト デメリット</x:v>
      </x:c>
      <x:c r="D43" s="43" t="str">
        <x:v>ガルテクトのデメリットとは？屋根カバー前に知りたい注意点</x:v>
      </x:c>
      <x:c r="E43" s="43" t="str">
        <x:v>屋根修理・屋根材</x:v>
      </x:c>
      <x:c r="F43" s="43" t="str">
        <x:v>屋根材注意型</x:v>
      </x:c>
      <x:c r="G43" s="43" t="str">
        <x:v>5,000〜7,000字</x:v>
      </x:c>
      <x:c r="H43" s="43" t="str">
        <x:v>高</x:v>
      </x:c>
      <x:c r="I43" s="43" t="str">
        <x:v>第2ロット：屋根修理・屋根材系</x:v>
      </x:c>
      <x:c r="J43" s="43" t="str">
        <x:v>屋根修理系</x:v>
      </x:c>
      <x:c r="K43" s="43" t="str">
        <x:v>ガルテクトのデメリット
施工前の注意点</x:v>
      </x:c>
      <x:c r="L43" s="43" t="str">
        <x:v>galtect-demerit</x:v>
      </x:c>
      <x:c r="M43" s="43" t="str">
        <x:v>galtect-demerit.webp</x:v>
      </x:c>
      <x:c r="N43" s="43" t="str">
        <x:v>ガルテクト デメリットについて、劣化症状、修理方法、費用目安、依頼前に確認したいポイントをわかりやすく解説します。</x:v>
      </x:c>
      <x:c r="O43" s="43" t="str">
        <x:v>屋根修理</x:v>
      </x:c>
      <x:c r="P43" s="43" t="str">
        <x:v>屋根修理</x:v>
      </x:c>
      <x:c r="Q43" s="43" t="str">
        <x:v>未着手</x:v>
      </x:c>
      <x:c r="R43" s="43" t="str">
        <x:v>未着手</x:v>
      </x:c>
      <x:c r="S43" s="43" t="str">
        <x:v>未着手</x:v>
      </x:c>
      <x:c r="T43" s="43" t="str">
        <x:v>未着手</x:v>
      </x:c>
      <x:c r="U43" s="43" t="str"/>
      <x:c r="V43" s="43" t="str">
        <x:v>中心記事「松山市の屋根修理」へリンク。関連：屋根カバー・屋根材注意記事。</x:v>
      </x:c>
      <x:c r="W43" s="43" t="str"/>
      <x:c r="X43" s="44"/>
      <x:c r="Y43" s="44"/>
      <x:c r="Z43" s="44"/>
    </x:row>
    <x:row r="44">
      <x:c r="A44" s="43" t="n">
        <x:v>43</x:v>
      </x:c>
      <x:c r="B44" s="43" t="str">
        <x:v>ヴェルウッド デメリット</x:v>
      </x:c>
      <x:c r="C44" s="43" t="str">
        <x:v>ヴェルウッド デメリット</x:v>
      </x:c>
      <x:c r="D44" s="43" t="str">
        <x:v>ヴェルウッドのデメリットとは？屋根材選びで確認したいポイント</x:v>
      </x:c>
      <x:c r="E44" s="43" t="str">
        <x:v>屋根修理・屋根材</x:v>
      </x:c>
      <x:c r="F44" s="43" t="str">
        <x:v>屋根材注意型</x:v>
      </x:c>
      <x:c r="G44" s="43" t="str">
        <x:v>5,000〜7,000字</x:v>
      </x:c>
      <x:c r="H44" s="43" t="str">
        <x:v>高</x:v>
      </x:c>
      <x:c r="I44" s="43" t="str">
        <x:v>第2ロット：屋根修理・屋根材系</x:v>
      </x:c>
      <x:c r="J44" s="43" t="str">
        <x:v>屋根修理系</x:v>
      </x:c>
      <x:c r="K44" s="43" t="str">
        <x:v>ヴェルウッドのデメリット
施工前の注意点</x:v>
      </x:c>
      <x:c r="L44" s="43" t="str">
        <x:v>velwood-demerit</x:v>
      </x:c>
      <x:c r="M44" s="43" t="str">
        <x:v>velwood-demerit.webp</x:v>
      </x:c>
      <x:c r="N44" s="43" t="str">
        <x:v>ヴェルウッド デメリットについて、劣化症状、修理方法、費用目安、依頼前に確認したいポイントをわかりやすく解説します。</x:v>
      </x:c>
      <x:c r="O44" s="43" t="str">
        <x:v>屋根修理</x:v>
      </x:c>
      <x:c r="P44" s="43" t="str">
        <x:v>屋根修理</x:v>
      </x:c>
      <x:c r="Q44" s="43" t="str">
        <x:v>未着手</x:v>
      </x:c>
      <x:c r="R44" s="43" t="str">
        <x:v>未着手</x:v>
      </x:c>
      <x:c r="S44" s="43" t="str">
        <x:v>未着手</x:v>
      </x:c>
      <x:c r="T44" s="43" t="str">
        <x:v>未着手</x:v>
      </x:c>
      <x:c r="U44" s="43" t="str"/>
      <x:c r="V44" s="43" t="str">
        <x:v>中心記事「松山市の屋根修理」へリンク。関連：屋根カバー・屋根材注意記事。</x:v>
      </x:c>
      <x:c r="W44" s="43" t="str"/>
      <x:c r="X44" s="44"/>
      <x:c r="Y44" s="44"/>
      <x:c r="Z44" s="44"/>
    </x:row>
    <x:row r="45">
      <x:c r="A45" s="43" t="n">
        <x:v>44</x:v>
      </x:c>
      <x:c r="B45" s="43" t="str">
        <x:v>パミール 屋根 対策</x:v>
      </x:c>
      <x:c r="C45" s="43" t="str">
        <x:v>パミール 屋根 対策</x:v>
      </x:c>
      <x:c r="D45" s="43" t="str">
        <x:v>パミール屋根の対策とは？塗装できない理由と修理方法を解説</x:v>
      </x:c>
      <x:c r="E45" s="43" t="str">
        <x:v>屋根修理・屋根材</x:v>
      </x:c>
      <x:c r="F45" s="43" t="str">
        <x:v>屋根材注意型</x:v>
      </x:c>
      <x:c r="G45" s="43" t="str">
        <x:v>5,000〜7,000字</x:v>
      </x:c>
      <x:c r="H45" s="43" t="str">
        <x:v>高</x:v>
      </x:c>
      <x:c r="I45" s="43" t="str">
        <x:v>第2ロット：屋根修理・屋根材系</x:v>
      </x:c>
      <x:c r="J45" s="43" t="str">
        <x:v>屋根修理系</x:v>
      </x:c>
      <x:c r="K45" s="43" t="str">
        <x:v>パミール 屋根 対策
ポイントを解説</x:v>
      </x:c>
      <x:c r="L45" s="43" t="str">
        <x:v>pamir-roof-countermeasure</x:v>
      </x:c>
      <x:c r="M45" s="43" t="str">
        <x:v>pamir-roof-countermeasure.webp</x:v>
      </x:c>
      <x:c r="N45" s="43" t="str">
        <x:v>パミール 屋根 対策について、劣化症状、修理方法、費用目安、依頼前に確認したいポイントをわかりやすく解説します。</x:v>
      </x:c>
      <x:c r="O45" s="43" t="str">
        <x:v>屋根修理</x:v>
      </x:c>
      <x:c r="P45" s="43" t="str">
        <x:v>屋根修理</x:v>
      </x:c>
      <x:c r="Q45" s="43" t="str">
        <x:v>未着手</x:v>
      </x:c>
      <x:c r="R45" s="43" t="str">
        <x:v>未着手</x:v>
      </x:c>
      <x:c r="S45" s="43" t="str">
        <x:v>未着手</x:v>
      </x:c>
      <x:c r="T45" s="43" t="str">
        <x:v>未着手</x:v>
      </x:c>
      <x:c r="U45" s="43" t="str"/>
      <x:c r="V45" s="43" t="str">
        <x:v>中心記事「松山市の屋根修理」へリンク。関連：屋根カバー・屋根材注意記事。</x:v>
      </x:c>
      <x:c r="W45" s="43" t="str"/>
      <x:c r="X45" s="44"/>
      <x:c r="Y45" s="44"/>
      <x:c r="Z45" s="44"/>
    </x:row>
    <x:row r="46">
      <x:c r="A46" s="43" t="n">
        <x:v>45</x:v>
      </x:c>
      <x:c r="B46" s="43" t="str">
        <x:v>コロニアルNEO 雨漏り</x:v>
      </x:c>
      <x:c r="C46" s="43" t="str">
        <x:v>コロニアルNEO 雨漏り</x:v>
      </x:c>
      <x:c r="D46" s="43" t="str">
        <x:v>コロニアルNEOは雨漏りしやすい？劣化症状と対策を解説</x:v>
      </x:c>
      <x:c r="E46" s="43" t="str">
        <x:v>屋根修理・屋根材</x:v>
      </x:c>
      <x:c r="F46" s="43" t="str">
        <x:v>屋根材注意型</x:v>
      </x:c>
      <x:c r="G46" s="43" t="str">
        <x:v>5,000〜7,000字</x:v>
      </x:c>
      <x:c r="H46" s="43" t="str">
        <x:v>高</x:v>
      </x:c>
      <x:c r="I46" s="43" t="str">
        <x:v>第2ロット：屋根修理・屋根材系</x:v>
      </x:c>
      <x:c r="J46" s="43" t="str">
        <x:v>屋根修理系</x:v>
      </x:c>
      <x:c r="K46" s="43" t="str">
        <x:v>コロニアルNEO 雨漏り
原因と修理方法</x:v>
      </x:c>
      <x:c r="L46" s="43" t="str">
        <x:v>colonial-neo-leak</x:v>
      </x:c>
      <x:c r="M46" s="43" t="str">
        <x:v>colonial-neo-leak.webp</x:v>
      </x:c>
      <x:c r="N46" s="43" t="str">
        <x:v>コロニアルNEO 雨漏りについて、劣化症状、修理方法、費用目安、依頼前に確認したいポイントをわかりやすく解説します。</x:v>
      </x:c>
      <x:c r="O46" s="43" t="str">
        <x:v>屋根修理</x:v>
      </x:c>
      <x:c r="P46" s="43" t="str">
        <x:v>雨漏り、屋根修理</x:v>
      </x:c>
      <x:c r="Q46" s="43" t="str">
        <x:v>未着手</x:v>
      </x:c>
      <x:c r="R46" s="43" t="str">
        <x:v>未着手</x:v>
      </x:c>
      <x:c r="S46" s="43" t="str">
        <x:v>未着手</x:v>
      </x:c>
      <x:c r="T46" s="43" t="str">
        <x:v>未着手</x:v>
      </x:c>
      <x:c r="U46" s="43" t="str"/>
      <x:c r="V46" s="43" t="str">
        <x:v>中心記事「松山市の屋根修理」へリンク。関連：屋根カバー・屋根材注意記事。</x:v>
      </x:c>
      <x:c r="W46" s="43" t="str"/>
      <x:c r="X46" s="44"/>
      <x:c r="Y46" s="44"/>
      <x:c r="Z46" s="44"/>
    </x:row>
    <x:row r="47">
      <x:c r="A47" s="43" t="n">
        <x:v>46</x:v>
      </x:c>
      <x:c r="B47" s="43" t="str">
        <x:v>アーバニー 屋根 修理</x:v>
      </x:c>
      <x:c r="C47" s="43" t="str">
        <x:v>アーバニー 屋根 修理</x:v>
      </x:c>
      <x:c r="D47" s="43" t="str">
        <x:v>アーバニー屋根の修理方法｜割れ・剥がれ・雨漏り対策</x:v>
      </x:c>
      <x:c r="E47" s="43" t="str">
        <x:v>屋根修理・屋根材</x:v>
      </x:c>
      <x:c r="F47" s="43" t="str">
        <x:v>屋根材注意型</x:v>
      </x:c>
      <x:c r="G47" s="43" t="str">
        <x:v>5,000〜7,000字</x:v>
      </x:c>
      <x:c r="H47" s="43" t="str">
        <x:v>高</x:v>
      </x:c>
      <x:c r="I47" s="43" t="str">
        <x:v>第2ロット：屋根修理・屋根材系</x:v>
      </x:c>
      <x:c r="J47" s="43" t="str">
        <x:v>屋根修理系</x:v>
      </x:c>
      <x:c r="K47" s="43" t="str">
        <x:v>アーバニー 屋根 修理
ポイントを解説</x:v>
      </x:c>
      <x:c r="L47" s="43" t="str">
        <x:v>urbany-roof-repair</x:v>
      </x:c>
      <x:c r="M47" s="43" t="str">
        <x:v>urbany-roof-repair.webp</x:v>
      </x:c>
      <x:c r="N47" s="43" t="str">
        <x:v>アーバニー 屋根 修理について、劣化症状、修理方法、費用目安、依頼前に確認したいポイントをわかりやすく解説します。</x:v>
      </x:c>
      <x:c r="O47" s="43" t="str">
        <x:v>屋根修理</x:v>
      </x:c>
      <x:c r="P47" s="43" t="str">
        <x:v>屋根修理</x:v>
      </x:c>
      <x:c r="Q47" s="43" t="str">
        <x:v>未着手</x:v>
      </x:c>
      <x:c r="R47" s="43" t="str">
        <x:v>未着手</x:v>
      </x:c>
      <x:c r="S47" s="43" t="str">
        <x:v>未着手</x:v>
      </x:c>
      <x:c r="T47" s="43" t="str">
        <x:v>未着手</x:v>
      </x:c>
      <x:c r="U47" s="43" t="str"/>
      <x:c r="V47" s="43" t="str">
        <x:v>中心記事「松山市の屋根修理」へリンク。関連：屋根カバー・屋根材注意記事。</x:v>
      </x:c>
      <x:c r="W47" s="43" t="str"/>
      <x:c r="X47" s="44"/>
      <x:c r="Y47" s="44"/>
      <x:c r="Z47" s="44"/>
    </x:row>
    <x:row r="48">
      <x:c r="A48" s="43" t="n">
        <x:v>47</x:v>
      </x:c>
      <x:c r="B48" s="43" t="str">
        <x:v>セキスイかわらU 修理</x:v>
      </x:c>
      <x:c r="C48" s="43" t="str">
        <x:v>セキスイかわらU 修理</x:v>
      </x:c>
      <x:c r="D48" s="43" t="str">
        <x:v>セキスイかわらUの修理はどうする？塗装前に知るべき注意点</x:v>
      </x:c>
      <x:c r="E48" s="43" t="str">
        <x:v>屋根修理・屋根材</x:v>
      </x:c>
      <x:c r="F48" s="43" t="str">
        <x:v>屋根材注意型</x:v>
      </x:c>
      <x:c r="G48" s="43" t="str">
        <x:v>5,000〜7,000字</x:v>
      </x:c>
      <x:c r="H48" s="43" t="str">
        <x:v>高</x:v>
      </x:c>
      <x:c r="I48" s="43" t="str">
        <x:v>第2ロット：屋根修理・屋根材系</x:v>
      </x:c>
      <x:c r="J48" s="43" t="str">
        <x:v>屋根修理系</x:v>
      </x:c>
      <x:c r="K48" s="43" t="str">
        <x:v>セキスイかわらU 修理
ポイントを解説</x:v>
      </x:c>
      <x:c r="L48" s="43" t="str">
        <x:v>sekisui-kawara-u-repair</x:v>
      </x:c>
      <x:c r="M48" s="43" t="str">
        <x:v>sekisui-kawara-u-repair.webp</x:v>
      </x:c>
      <x:c r="N48" s="43" t="str">
        <x:v>セキスイかわらU 修理について、劣化症状、修理方法、費用目安、依頼前に確認したいポイントをわかりやすく解説します。</x:v>
      </x:c>
      <x:c r="O48" s="43" t="str">
        <x:v>屋根修理</x:v>
      </x:c>
      <x:c r="P48" s="43" t="str">
        <x:v>屋根修理</x:v>
      </x:c>
      <x:c r="Q48" s="43" t="str">
        <x:v>未着手</x:v>
      </x:c>
      <x:c r="R48" s="43" t="str">
        <x:v>未着手</x:v>
      </x:c>
      <x:c r="S48" s="43" t="str">
        <x:v>未着手</x:v>
      </x:c>
      <x:c r="T48" s="43" t="str">
        <x:v>未着手</x:v>
      </x:c>
      <x:c r="U48" s="43" t="str"/>
      <x:c r="V48" s="43" t="str">
        <x:v>中心記事「松山市の屋根修理」へリンク。関連：屋根カバー・屋根材注意記事。</x:v>
      </x:c>
      <x:c r="W48" s="43" t="str"/>
      <x:c r="X48" s="44"/>
      <x:c r="Y48" s="44"/>
      <x:c r="Z48" s="44"/>
    </x:row>
    <x:row r="49">
      <x:c r="A49" s="43" t="n">
        <x:v>48</x:v>
      </x:c>
      <x:c r="B49" s="43" t="str">
        <x:v>モニエル瓦 塗装</x:v>
      </x:c>
      <x:c r="C49" s="43" t="str">
        <x:v>モニエル瓦 塗装</x:v>
      </x:c>
      <x:c r="D49" s="43" t="str">
        <x:v>モニエル瓦の塗装は難しい？特徴・注意点・業者選びを解説</x:v>
      </x:c>
      <x:c r="E49" s="43" t="str">
        <x:v>屋根修理・屋根材</x:v>
      </x:c>
      <x:c r="F49" s="43" t="str">
        <x:v>屋根材注意型</x:v>
      </x:c>
      <x:c r="G49" s="43" t="str">
        <x:v>5,000〜7,000字</x:v>
      </x:c>
      <x:c r="H49" s="43" t="str">
        <x:v>高</x:v>
      </x:c>
      <x:c r="I49" s="43" t="str">
        <x:v>第2ロット：屋根修理・屋根材系</x:v>
      </x:c>
      <x:c r="J49" s="43" t="str">
        <x:v>屋根修理系</x:v>
      </x:c>
      <x:c r="K49" s="43" t="str">
        <x:v>モニエル瓦 塗装
特徴・費用・注意点</x:v>
      </x:c>
      <x:c r="L49" s="43" t="str">
        <x:v>monier-tile-paint</x:v>
      </x:c>
      <x:c r="M49" s="43" t="str">
        <x:v>monier-tile-paint.webp</x:v>
      </x:c>
      <x:c r="N49" s="43" t="str">
        <x:v>モニエル瓦 塗装について、劣化症状、修理方法、費用目安、依頼前に確認したいポイントをわかりやすく解説します。</x:v>
      </x:c>
      <x:c r="O49" s="43" t="str">
        <x:v>屋根修理</x:v>
      </x:c>
      <x:c r="P49" s="43" t="str">
        <x:v>屋根修理</x:v>
      </x:c>
      <x:c r="Q49" s="43" t="str">
        <x:v>未着手</x:v>
      </x:c>
      <x:c r="R49" s="43" t="str">
        <x:v>未着手</x:v>
      </x:c>
      <x:c r="S49" s="43" t="str">
        <x:v>未着手</x:v>
      </x:c>
      <x:c r="T49" s="43" t="str">
        <x:v>未着手</x:v>
      </x:c>
      <x:c r="U49" s="43" t="str"/>
      <x:c r="V49" s="43" t="str">
        <x:v>中心記事「松山市の屋根修理」へリンク。関連：屋根カバー・屋根材注意記事。</x:v>
      </x:c>
      <x:c r="W49" s="43" t="str"/>
      <x:c r="X49" s="44"/>
      <x:c r="Y49" s="44"/>
      <x:c r="Z49" s="44"/>
    </x:row>
    <x:row r="50">
      <x:c r="A50" s="43" t="n">
        <x:v>49</x:v>
      </x:c>
      <x:c r="B50" s="43" t="str">
        <x:v>屋根塗装しない方がいい屋根</x:v>
      </x:c>
      <x:c r="C50" s="43" t="str">
        <x:v>屋根塗装しない方がいい屋根</x:v>
      </x:c>
      <x:c r="D50" s="43" t="str">
        <x:v>屋根塗装しない方がいい屋根とは？塗装できない屋根材と対策</x:v>
      </x:c>
      <x:c r="E50" s="43" t="str">
        <x:v>屋根修理・屋根材</x:v>
      </x:c>
      <x:c r="F50" s="43" t="str">
        <x:v>屋根材注意型</x:v>
      </x:c>
      <x:c r="G50" s="43" t="str">
        <x:v>5,000〜7,000字</x:v>
      </x:c>
      <x:c r="H50" s="43" t="str">
        <x:v>高</x:v>
      </x:c>
      <x:c r="I50" s="43" t="str">
        <x:v>第2ロット：屋根修理・屋根材系</x:v>
      </x:c>
      <x:c r="J50" s="43" t="str">
        <x:v>屋根修理系</x:v>
      </x:c>
      <x:c r="K50" s="43" t="str">
        <x:v>屋根塗装しない方がいい屋根
特徴・費用・注意点</x:v>
      </x:c>
      <x:c r="L50" s="43" t="str">
        <x:v>roof-not-suitable-for-painting</x:v>
      </x:c>
      <x:c r="M50" s="43" t="str">
        <x:v>roof-not-suitable-for-painting.webp</x:v>
      </x:c>
      <x:c r="N50" s="43" t="str">
        <x:v>屋根塗装しない方がいい屋根について、劣化症状、修理方法、費用目安、依頼前に確認したいポイントをわかりやすく解説します。</x:v>
      </x:c>
      <x:c r="O50" s="43" t="str">
        <x:v>屋根修理</x:v>
      </x:c>
      <x:c r="P50" s="43" t="str">
        <x:v>屋根修理</x:v>
      </x:c>
      <x:c r="Q50" s="43" t="str">
        <x:v>未着手</x:v>
      </x:c>
      <x:c r="R50" s="43" t="str">
        <x:v>未着手</x:v>
      </x:c>
      <x:c r="S50" s="43" t="str">
        <x:v>未着手</x:v>
      </x:c>
      <x:c r="T50" s="43" t="str">
        <x:v>未着手</x:v>
      </x:c>
      <x:c r="U50" s="43" t="str"/>
      <x:c r="V50" s="43" t="str">
        <x:v>中心記事「松山市の屋根修理」へリンク。関連：屋根カバー・屋根材注意記事。</x:v>
      </x:c>
      <x:c r="W50" s="43" t="str"/>
      <x:c r="X50" s="44"/>
      <x:c r="Y50" s="44"/>
      <x:c r="Z50" s="44"/>
    </x:row>
    <x:row r="51">
      <x:c r="A51" s="43" t="n">
        <x:v>50</x:v>
      </x:c>
      <x:c r="B51" s="43" t="str">
        <x:v>外壁塗装と防水工事</x:v>
      </x:c>
      <x:c r="C51" s="43" t="str">
        <x:v>外壁塗装と防水工事</x:v>
      </x:c>
      <x:c r="D51" s="43" t="str">
        <x:v>外壁塗装と防水工事は同時にできる？違い・費用・注意点</x:v>
      </x:c>
      <x:c r="E51" s="43" t="str">
        <x:v>防水・シーリング</x:v>
      </x:c>
      <x:c r="F51" s="43" t="str">
        <x:v>防水・シーリング型</x:v>
      </x:c>
      <x:c r="G51" s="43" t="str">
        <x:v>4,500〜6,000字</x:v>
      </x:c>
      <x:c r="H51" s="43" t="str">
        <x:v>中</x:v>
      </x:c>
      <x:c r="I51" s="43" t="str">
        <x:v>第3ロット：外壁塗装・防水系</x:v>
      </x:c>
      <x:c r="J51" s="43" t="str">
        <x:v>防水系</x:v>
      </x:c>
      <x:c r="K51" s="43" t="str">
        <x:v>外壁塗装と防水工事
特徴・費用・注意点</x:v>
      </x:c>
      <x:c r="L51" s="43" t="str">
        <x:v>exterior-paint-waterproofing</x:v>
      </x:c>
      <x:c r="M51" s="43" t="str">
        <x:v>exterior-paint-waterproofing.webp</x:v>
      </x:c>
      <x:c r="N51" s="43" t="str">
        <x:v>外壁塗装と防水工事について、工事内容、耐用年数、費用目安、雨漏りを防ぐための注意点をわかりやすく解説します。</x:v>
      </x:c>
      <x:c r="O51" s="43" t="str">
        <x:v>防水・シーリング</x:v>
      </x:c>
      <x:c r="P51" s="43" t="str">
        <x:v>外壁塗装、防水、防水・シーリング</x:v>
      </x:c>
      <x:c r="Q51" s="43" t="str">
        <x:v>未着手</x:v>
      </x:c>
      <x:c r="R51" s="43" t="str">
        <x:v>未着手</x:v>
      </x:c>
      <x:c r="S51" s="43" t="str">
        <x:v>未着手</x:v>
      </x:c>
      <x:c r="T51" s="43" t="str">
        <x:v>未着手</x:v>
      </x:c>
      <x:c r="U51" s="43" t="str"/>
      <x:c r="V51" s="43" t="str">
        <x:v>関連：ベランダ防水費用、シーリング打ち替え費用、外壁雨漏りへリンク。</x:v>
      </x:c>
      <x:c r="W51" s="43" t="str"/>
      <x:c r="X51" s="44"/>
      <x:c r="Y51" s="44"/>
      <x:c r="Z51" s="44"/>
    </x:row>
    <x:row r="52">
      <x:c r="A52" s="43" t="n">
        <x:v>51</x:v>
      </x:c>
      <x:c r="B52" s="43" t="str">
        <x:v>外壁塗装と屋根カバー</x:v>
      </x:c>
      <x:c r="C52" s="43" t="str">
        <x:v>外壁塗装と屋根カバー</x:v>
      </x:c>
      <x:c r="D52" s="43" t="str">
        <x:v>屋根カバー工法のメリットとは？費用・注意点・向いている屋根</x:v>
      </x:c>
      <x:c r="E52" s="43" t="str">
        <x:v>屋根修理・屋根材</x:v>
      </x:c>
      <x:c r="F52" s="43" t="str">
        <x:v>地域サービス型</x:v>
      </x:c>
      <x:c r="G52" s="43" t="str">
        <x:v>5,000〜7,000字</x:v>
      </x:c>
      <x:c r="H52" s="43" t="str">
        <x:v>高</x:v>
      </x:c>
      <x:c r="I52" s="43" t="str">
        <x:v>第2ロット：屋根修理・屋根材系</x:v>
      </x:c>
      <x:c r="J52" s="43" t="str">
        <x:v>屋根修理系</x:v>
      </x:c>
      <x:c r="K52" s="43" t="str">
        <x:v>外壁塗装と屋根カバー
特徴・費用・注意点</x:v>
      </x:c>
      <x:c r="L52" s="43" t="str">
        <x:v>exterior-paint-roof-cover</x:v>
      </x:c>
      <x:c r="M52" s="43" t="str">
        <x:v>exterior-paint-roof-cover.webp</x:v>
      </x:c>
      <x:c r="N52" s="43" t="str">
        <x:v>外壁塗装と屋根カバーについて、劣化症状、修理方法、費用目安、依頼前に確認したいポイントをわかりやすく解説します。</x:v>
      </x:c>
      <x:c r="O52" s="43" t="str">
        <x:v>屋根修理</x:v>
      </x:c>
      <x:c r="P52" s="43" t="str">
        <x:v>外壁塗装、屋根修理</x:v>
      </x:c>
      <x:c r="Q52" s="43" t="str">
        <x:v>未着手</x:v>
      </x:c>
      <x:c r="R52" s="43" t="str">
        <x:v>未着手</x:v>
      </x:c>
      <x:c r="S52" s="43" t="str">
        <x:v>未着手</x:v>
      </x:c>
      <x:c r="T52" s="43" t="str">
        <x:v>未着手</x:v>
      </x:c>
      <x:c r="U52" s="43" t="str"/>
      <x:c r="V52" s="43" t="str">
        <x:v>中心記事「松山市の屋根修理」へリンク。関連：屋根カバー・屋根材注意記事。</x:v>
      </x:c>
      <x:c r="W52" s="43" t="str"/>
      <x:c r="X52" s="44"/>
      <x:c r="Y52" s="44"/>
      <x:c r="Z52" s="44"/>
    </x:row>
    <x:row r="53">
      <x:c r="A53" s="43" t="n">
        <x:v>52</x:v>
      </x:c>
      <x:c r="B53" s="43" t="str">
        <x:v>外壁塗装 雨の日</x:v>
      </x:c>
      <x:c r="C53" s="43" t="str">
        <x:v>外壁塗装 雨の日</x:v>
      </x:c>
      <x:c r="D53" s="43" t="str">
        <x:v>外壁塗装は雨の日にできる？季節ごとの注意点を解説</x:v>
      </x:c>
      <x:c r="E53" s="43" t="str">
        <x:v>外壁塗装</x:v>
      </x:c>
      <x:c r="F53" s="43" t="str">
        <x:v>季節・時期型</x:v>
      </x:c>
      <x:c r="G53" s="43" t="str">
        <x:v>4,500〜6,000字</x:v>
      </x:c>
      <x:c r="H53" s="43" t="str">
        <x:v>中</x:v>
      </x:c>
      <x:c r="I53" s="43" t="str">
        <x:v>第3ロット：外壁塗装・防水系</x:v>
      </x:c>
      <x:c r="J53" s="43" t="str">
        <x:v>外壁塗装系</x:v>
      </x:c>
      <x:c r="K53" s="43" t="str">
        <x:v>外壁塗装 雨の日
特徴・費用・注意点</x:v>
      </x:c>
      <x:c r="L53" s="43" t="str">
        <x:v>exterior-paint-rainy-day</x:v>
      </x:c>
      <x:c r="M53" s="43" t="str">
        <x:v>exterior-paint-rainy-day.webp</x:v>
      </x:c>
      <x:c r="N53" s="43" t="str">
        <x:v>外壁塗装 雨の日について、特徴、注意点、費用目安、業者選びのポイントを初心者にもわかりやすく解説します。</x:v>
      </x:c>
      <x:c r="O53" s="43" t="str">
        <x:v>外壁塗装</x:v>
      </x:c>
      <x:c r="P53" s="43" t="str">
        <x:v>外壁塗装</x:v>
      </x:c>
      <x:c r="Q53" s="43" t="str">
        <x:v>未着手</x:v>
      </x:c>
      <x:c r="R53" s="43" t="str">
        <x:v>未着手</x:v>
      </x:c>
      <x:c r="S53" s="43" t="str">
        <x:v>未着手</x:v>
      </x:c>
      <x:c r="T53" s="43" t="str">
        <x:v>未着手</x:v>
      </x:c>
      <x:c r="U53" s="43" t="str"/>
      <x:c r="V53" s="43" t="str">
        <x:v>関連：外壁塗装工期、足場代、防水工事、屋根カバーへリンク。</x:v>
      </x:c>
      <x:c r="W53" s="43" t="str"/>
      <x:c r="X53" s="44"/>
      <x:c r="Y53" s="44"/>
      <x:c r="Z53" s="44"/>
    </x:row>
    <x:row r="54">
      <x:c r="A54" s="43" t="n">
        <x:v>53</x:v>
      </x:c>
      <x:c r="B54" s="43" t="str">
        <x:v>外壁塗装 梅雨</x:v>
      </x:c>
      <x:c r="C54" s="43" t="str">
        <x:v>外壁塗装 梅雨</x:v>
      </x:c>
      <x:c r="D54" s="43" t="str">
        <x:v>外壁塗装は梅雨にできる？季節ごとの注意点を解説</x:v>
      </x:c>
      <x:c r="E54" s="43" t="str">
        <x:v>外壁塗装</x:v>
      </x:c>
      <x:c r="F54" s="43" t="str">
        <x:v>季節・時期型</x:v>
      </x:c>
      <x:c r="G54" s="43" t="str">
        <x:v>4,500〜6,000字</x:v>
      </x:c>
      <x:c r="H54" s="43" t="str">
        <x:v>中</x:v>
      </x:c>
      <x:c r="I54" s="43" t="str">
        <x:v>第3ロット：外壁塗装・防水系</x:v>
      </x:c>
      <x:c r="J54" s="43" t="str">
        <x:v>外壁塗装系</x:v>
      </x:c>
      <x:c r="K54" s="43" t="str">
        <x:v>外壁塗装 梅雨
特徴・費用・注意点</x:v>
      </x:c>
      <x:c r="L54" s="43" t="str">
        <x:v>exterior-paint-rainy-season</x:v>
      </x:c>
      <x:c r="M54" s="43" t="str">
        <x:v>exterior-paint-rainy-season.webp</x:v>
      </x:c>
      <x:c r="N54" s="43" t="str">
        <x:v>外壁塗装 梅雨について、特徴、注意点、費用目安、業者選びのポイントを初心者にもわかりやすく解説します。</x:v>
      </x:c>
      <x:c r="O54" s="43" t="str">
        <x:v>外壁塗装</x:v>
      </x:c>
      <x:c r="P54" s="43" t="str">
        <x:v>外壁塗装</x:v>
      </x:c>
      <x:c r="Q54" s="43" t="str">
        <x:v>未着手</x:v>
      </x:c>
      <x:c r="R54" s="43" t="str">
        <x:v>未着手</x:v>
      </x:c>
      <x:c r="S54" s="43" t="str">
        <x:v>未着手</x:v>
      </x:c>
      <x:c r="T54" s="43" t="str">
        <x:v>未着手</x:v>
      </x:c>
      <x:c r="U54" s="43" t="str"/>
      <x:c r="V54" s="43" t="str">
        <x:v>関連：外壁塗装工期、足場代、防水工事、屋根カバーへリンク。</x:v>
      </x:c>
      <x:c r="W54" s="43" t="str"/>
      <x:c r="X54" s="44"/>
      <x:c r="Y54" s="44"/>
      <x:c r="Z54" s="44"/>
    </x:row>
    <x:row r="55">
      <x:c r="A55" s="43" t="n">
        <x:v>54</x:v>
      </x:c>
      <x:c r="B55" s="43" t="str">
        <x:v>外壁塗装 台風前</x:v>
      </x:c>
      <x:c r="C55" s="43" t="str">
        <x:v>外壁塗装 台風前</x:v>
      </x:c>
      <x:c r="D55" s="43" t="str">
        <x:v>外壁塗装は台風前にできる？季節ごとの注意点を解説</x:v>
      </x:c>
      <x:c r="E55" s="43" t="str">
        <x:v>外壁塗装</x:v>
      </x:c>
      <x:c r="F55" s="43" t="str">
        <x:v>季節・時期型</x:v>
      </x:c>
      <x:c r="G55" s="43" t="str">
        <x:v>4,500〜6,000字</x:v>
      </x:c>
      <x:c r="H55" s="43" t="str">
        <x:v>中</x:v>
      </x:c>
      <x:c r="I55" s="43" t="str">
        <x:v>第3ロット：外壁塗装・防水系</x:v>
      </x:c>
      <x:c r="J55" s="43" t="str">
        <x:v>外壁塗装系</x:v>
      </x:c>
      <x:c r="K55" s="43" t="str">
        <x:v>外壁塗装 台風前
特徴・費用・注意点</x:v>
      </x:c>
      <x:c r="L55" s="43" t="str">
        <x:v>exterior-paint-before-typhoon</x:v>
      </x:c>
      <x:c r="M55" s="43" t="str">
        <x:v>exterior-paint-before-typhoon.webp</x:v>
      </x:c>
      <x:c r="N55" s="43" t="str">
        <x:v>外壁塗装 台風前について、特徴、注意点、費用目安、業者選びのポイントを初心者にもわかりやすく解説します。</x:v>
      </x:c>
      <x:c r="O55" s="43" t="str">
        <x:v>外壁塗装</x:v>
      </x:c>
      <x:c r="P55" s="43" t="str">
        <x:v>外壁塗装</x:v>
      </x:c>
      <x:c r="Q55" s="43" t="str">
        <x:v>未着手</x:v>
      </x:c>
      <x:c r="R55" s="43" t="str">
        <x:v>未着手</x:v>
      </x:c>
      <x:c r="S55" s="43" t="str">
        <x:v>未着手</x:v>
      </x:c>
      <x:c r="T55" s="43" t="str">
        <x:v>未着手</x:v>
      </x:c>
      <x:c r="U55" s="43" t="str"/>
      <x:c r="V55" s="43" t="str">
        <x:v>関連：外壁塗装工期、足場代、防水工事、屋根カバーへリンク。</x:v>
      </x:c>
      <x:c r="W55" s="43" t="str"/>
      <x:c r="X55" s="44"/>
      <x:c r="Y55" s="44"/>
      <x:c r="Z55" s="44"/>
    </x:row>
    <x:row r="56">
      <x:c r="A56" s="43" t="n">
        <x:v>55</x:v>
      </x:c>
      <x:c r="B56" s="43" t="str">
        <x:v>外壁塗装 冬</x:v>
      </x:c>
      <x:c r="C56" s="43" t="str">
        <x:v>外壁塗装 冬</x:v>
      </x:c>
      <x:c r="D56" s="43" t="str">
        <x:v>外壁塗装は冬にできる？季節ごとの注意点を解説</x:v>
      </x:c>
      <x:c r="E56" s="43" t="str">
        <x:v>外壁塗装</x:v>
      </x:c>
      <x:c r="F56" s="43" t="str">
        <x:v>季節・時期型</x:v>
      </x:c>
      <x:c r="G56" s="43" t="str">
        <x:v>4,500〜6,000字</x:v>
      </x:c>
      <x:c r="H56" s="43" t="str">
        <x:v>中</x:v>
      </x:c>
      <x:c r="I56" s="43" t="str">
        <x:v>第3ロット：外壁塗装・防水系</x:v>
      </x:c>
      <x:c r="J56" s="43" t="str">
        <x:v>外壁塗装系</x:v>
      </x:c>
      <x:c r="K56" s="43" t="str">
        <x:v>外壁塗装 冬
特徴・費用・注意点</x:v>
      </x:c>
      <x:c r="L56" s="43" t="str">
        <x:v>exterior-paint-winter</x:v>
      </x:c>
      <x:c r="M56" s="43" t="str">
        <x:v>exterior-paint-winter.webp</x:v>
      </x:c>
      <x:c r="N56" s="43" t="str">
        <x:v>外壁塗装 冬について、特徴、注意点、費用目安、業者選びのポイントを初心者にもわかりやすく解説します。</x:v>
      </x:c>
      <x:c r="O56" s="43" t="str">
        <x:v>外壁塗装</x:v>
      </x:c>
      <x:c r="P56" s="43" t="str">
        <x:v>外壁塗装</x:v>
      </x:c>
      <x:c r="Q56" s="43" t="str">
        <x:v>未着手</x:v>
      </x:c>
      <x:c r="R56" s="43" t="str">
        <x:v>未着手</x:v>
      </x:c>
      <x:c r="S56" s="43" t="str">
        <x:v>未着手</x:v>
      </x:c>
      <x:c r="T56" s="43" t="str">
        <x:v>未着手</x:v>
      </x:c>
      <x:c r="U56" s="43" t="str"/>
      <x:c r="V56" s="43" t="str">
        <x:v>関連：外壁塗装工期、足場代、防水工事、屋根カバーへリンク。</x:v>
      </x:c>
      <x:c r="W56" s="43" t="str"/>
      <x:c r="X56" s="44"/>
      <x:c r="Y56" s="44"/>
      <x:c r="Z56" s="44"/>
    </x:row>
    <x:row r="57">
      <x:c r="A57" s="43" t="n">
        <x:v>56</x:v>
      </x:c>
      <x:c r="B57" s="43" t="str">
        <x:v>外壁塗装 夏</x:v>
      </x:c>
      <x:c r="C57" s="43" t="str">
        <x:v>外壁塗装 夏</x:v>
      </x:c>
      <x:c r="D57" s="43" t="str">
        <x:v>外壁塗装は夏にできる？季節ごとの注意点を解説</x:v>
      </x:c>
      <x:c r="E57" s="43" t="str">
        <x:v>外壁塗装</x:v>
      </x:c>
      <x:c r="F57" s="43" t="str">
        <x:v>季節・時期型</x:v>
      </x:c>
      <x:c r="G57" s="43" t="str">
        <x:v>4,500〜6,000字</x:v>
      </x:c>
      <x:c r="H57" s="43" t="str">
        <x:v>中</x:v>
      </x:c>
      <x:c r="I57" s="43" t="str">
        <x:v>第3ロット：外壁塗装・防水系</x:v>
      </x:c>
      <x:c r="J57" s="43" t="str">
        <x:v>外壁塗装系</x:v>
      </x:c>
      <x:c r="K57" s="43" t="str">
        <x:v>外壁塗装 夏
特徴・費用・注意点</x:v>
      </x:c>
      <x:c r="L57" s="43" t="str">
        <x:v>exterior-paint-summer</x:v>
      </x:c>
      <x:c r="M57" s="43" t="str">
        <x:v>exterior-paint-summer.webp</x:v>
      </x:c>
      <x:c r="N57" s="43" t="str">
        <x:v>外壁塗装 夏について、特徴、注意点、費用目安、業者選びのポイントを初心者にもわかりやすく解説します。</x:v>
      </x:c>
      <x:c r="O57" s="43" t="str">
        <x:v>外壁塗装</x:v>
      </x:c>
      <x:c r="P57" s="43" t="str">
        <x:v>外壁塗装</x:v>
      </x:c>
      <x:c r="Q57" s="43" t="str">
        <x:v>未着手</x:v>
      </x:c>
      <x:c r="R57" s="43" t="str">
        <x:v>未着手</x:v>
      </x:c>
      <x:c r="S57" s="43" t="str">
        <x:v>未着手</x:v>
      </x:c>
      <x:c r="T57" s="43" t="str">
        <x:v>未着手</x:v>
      </x:c>
      <x:c r="U57" s="43" t="str"/>
      <x:c r="V57" s="43" t="str">
        <x:v>関連：外壁塗装工期、足場代、防水工事、屋根カバーへリンク。</x:v>
      </x:c>
      <x:c r="W57" s="43" t="str"/>
      <x:c r="X57" s="44"/>
      <x:c r="Y57" s="44"/>
      <x:c r="Z57" s="44"/>
    </x:row>
    <x:row r="58">
      <x:c r="A58" s="43" t="n">
        <x:v>57</x:v>
      </x:c>
      <x:c r="B58" s="43" t="str">
        <x:v>外壁塗装 春</x:v>
      </x:c>
      <x:c r="C58" s="43" t="str">
        <x:v>外壁塗装 春</x:v>
      </x:c>
      <x:c r="D58" s="43" t="str">
        <x:v>外壁塗装は春にできる？季節ごとの注意点を解説</x:v>
      </x:c>
      <x:c r="E58" s="43" t="str">
        <x:v>外壁塗装</x:v>
      </x:c>
      <x:c r="F58" s="43" t="str">
        <x:v>季節・時期型</x:v>
      </x:c>
      <x:c r="G58" s="43" t="str">
        <x:v>4,500〜6,000字</x:v>
      </x:c>
      <x:c r="H58" s="43" t="str">
        <x:v>中</x:v>
      </x:c>
      <x:c r="I58" s="43" t="str">
        <x:v>第3ロット：外壁塗装・防水系</x:v>
      </x:c>
      <x:c r="J58" s="43" t="str">
        <x:v>外壁塗装系</x:v>
      </x:c>
      <x:c r="K58" s="43" t="str">
        <x:v>外壁塗装 春
特徴・費用・注意点</x:v>
      </x:c>
      <x:c r="L58" s="43" t="str">
        <x:v>exterior-paint-spring</x:v>
      </x:c>
      <x:c r="M58" s="43" t="str">
        <x:v>exterior-paint-spring.webp</x:v>
      </x:c>
      <x:c r="N58" s="43" t="str">
        <x:v>外壁塗装 春について、特徴、注意点、費用目安、業者選びのポイントを初心者にもわかりやすく解説します。</x:v>
      </x:c>
      <x:c r="O58" s="43" t="str">
        <x:v>外壁塗装</x:v>
      </x:c>
      <x:c r="P58" s="43" t="str">
        <x:v>外壁塗装</x:v>
      </x:c>
      <x:c r="Q58" s="43" t="str">
        <x:v>未着手</x:v>
      </x:c>
      <x:c r="R58" s="43" t="str">
        <x:v>未着手</x:v>
      </x:c>
      <x:c r="S58" s="43" t="str">
        <x:v>未着手</x:v>
      </x:c>
      <x:c r="T58" s="43" t="str">
        <x:v>未着手</x:v>
      </x:c>
      <x:c r="U58" s="43" t="str"/>
      <x:c r="V58" s="43" t="str">
        <x:v>関連：外壁塗装工期、足場代、防水工事、屋根カバーへリンク。</x:v>
      </x:c>
      <x:c r="W58" s="43" t="str"/>
      <x:c r="X58" s="44"/>
      <x:c r="Y58" s="44"/>
      <x:c r="Z58" s="44"/>
    </x:row>
    <x:row r="59">
      <x:c r="A59" s="43" t="n">
        <x:v>58</x:v>
      </x:c>
      <x:c r="B59" s="43" t="str">
        <x:v>外壁塗装 秋</x:v>
      </x:c>
      <x:c r="C59" s="43" t="str">
        <x:v>外壁塗装 秋</x:v>
      </x:c>
      <x:c r="D59" s="43" t="str">
        <x:v>外壁塗装は秋にできる？季節ごとの注意点を解説</x:v>
      </x:c>
      <x:c r="E59" s="43" t="str">
        <x:v>外壁塗装</x:v>
      </x:c>
      <x:c r="F59" s="43" t="str">
        <x:v>季節・時期型</x:v>
      </x:c>
      <x:c r="G59" s="43" t="str">
        <x:v>4,500〜6,000字</x:v>
      </x:c>
      <x:c r="H59" s="43" t="str">
        <x:v>中</x:v>
      </x:c>
      <x:c r="I59" s="43" t="str">
        <x:v>第3ロット：外壁塗装・防水系</x:v>
      </x:c>
      <x:c r="J59" s="43" t="str">
        <x:v>外壁塗装系</x:v>
      </x:c>
      <x:c r="K59" s="43" t="str">
        <x:v>外壁塗装 秋
特徴・費用・注意点</x:v>
      </x:c>
      <x:c r="L59" s="43" t="str">
        <x:v>exterior-paint-autumn</x:v>
      </x:c>
      <x:c r="M59" s="43" t="str">
        <x:v>exterior-paint-autumn.webp</x:v>
      </x:c>
      <x:c r="N59" s="43" t="str">
        <x:v>外壁塗装 秋について、特徴、注意点、費用目安、業者選びのポイントを初心者にもわかりやすく解説します。</x:v>
      </x:c>
      <x:c r="O59" s="43" t="str">
        <x:v>外壁塗装</x:v>
      </x:c>
      <x:c r="P59" s="43" t="str">
        <x:v>外壁塗装</x:v>
      </x:c>
      <x:c r="Q59" s="43" t="str">
        <x:v>未着手</x:v>
      </x:c>
      <x:c r="R59" s="43" t="str">
        <x:v>未着手</x:v>
      </x:c>
      <x:c r="S59" s="43" t="str">
        <x:v>未着手</x:v>
      </x:c>
      <x:c r="T59" s="43" t="str">
        <x:v>未着手</x:v>
      </x:c>
      <x:c r="U59" s="43" t="str"/>
      <x:c r="V59" s="43" t="str">
        <x:v>関連：外壁塗装工期、足場代、防水工事、屋根カバーへリンク。</x:v>
      </x:c>
      <x:c r="W59" s="43" t="str"/>
      <x:c r="X59" s="44"/>
      <x:c r="Y59" s="44"/>
      <x:c r="Z59" s="44"/>
    </x:row>
    <x:row r="60">
      <x:c r="A60" s="43" t="n">
        <x:v>59</x:v>
      </x:c>
      <x:c r="B60" s="43" t="str">
        <x:v>外壁塗装 工期</x:v>
      </x:c>
      <x:c r="C60" s="43" t="str">
        <x:v>外壁塗装 工期</x:v>
      </x:c>
      <x:c r="D60" s="43" t="str">
        <x:v>外壁塗装の工期はどれくらい？工程・日数・遅れる原因を解説</x:v>
      </x:c>
      <x:c r="E60" s="43" t="str">
        <x:v>外壁塗装</x:v>
      </x:c>
      <x:c r="F60" s="43" t="str">
        <x:v>季節・時期型</x:v>
      </x:c>
      <x:c r="G60" s="43" t="str">
        <x:v>4,500〜6,000字</x:v>
      </x:c>
      <x:c r="H60" s="43" t="str">
        <x:v>中</x:v>
      </x:c>
      <x:c r="I60" s="43" t="str">
        <x:v>第3ロット：外壁塗装・防水系</x:v>
      </x:c>
      <x:c r="J60" s="43" t="str">
        <x:v>外壁塗装系</x:v>
      </x:c>
      <x:c r="K60" s="43" t="str">
        <x:v>外壁塗装 工期
特徴・費用・注意点</x:v>
      </x:c>
      <x:c r="L60" s="43" t="str">
        <x:v>exterior-paint-duration</x:v>
      </x:c>
      <x:c r="M60" s="43" t="str">
        <x:v>exterior-paint-duration.webp</x:v>
      </x:c>
      <x:c r="N60" s="43" t="str">
        <x:v>外壁塗装 工期について、特徴、注意点、費用目安、業者選びのポイントを初心者にもわかりやすく解説します。</x:v>
      </x:c>
      <x:c r="O60" s="43" t="str">
        <x:v>外壁塗装</x:v>
      </x:c>
      <x:c r="P60" s="43" t="str">
        <x:v>外壁塗装</x:v>
      </x:c>
      <x:c r="Q60" s="43" t="str">
        <x:v>未着手</x:v>
      </x:c>
      <x:c r="R60" s="43" t="str">
        <x:v>未着手</x:v>
      </x:c>
      <x:c r="S60" s="43" t="str">
        <x:v>未着手</x:v>
      </x:c>
      <x:c r="T60" s="43" t="str">
        <x:v>未着手</x:v>
      </x:c>
      <x:c r="U60" s="43" t="str"/>
      <x:c r="V60" s="43" t="str">
        <x:v>関連：外壁塗装工期、足場代、防水工事、屋根カバーへリンク。</x:v>
      </x:c>
      <x:c r="W60" s="43" t="str"/>
      <x:c r="X60" s="44"/>
      <x:c r="Y60" s="44"/>
      <x:c r="Z60" s="44"/>
    </x:row>
    <x:row r="61">
      <x:c r="A61" s="43" t="n">
        <x:v>60</x:v>
      </x:c>
      <x:c r="B61" s="43" t="str">
        <x:v>外壁塗装 足場代</x:v>
      </x:c>
      <x:c r="C61" s="43" t="str">
        <x:v>外壁塗装 足場代</x:v>
      </x:c>
      <x:c r="D61" s="43" t="str">
        <x:v>外壁塗装の足場代はいくら？費用相場と節約の考え方</x:v>
      </x:c>
      <x:c r="E61" s="43" t="str">
        <x:v>外壁塗装</x:v>
      </x:c>
      <x:c r="F61" s="43" t="str">
        <x:v>費用・相場型</x:v>
      </x:c>
      <x:c r="G61" s="43" t="str">
        <x:v>4,500〜6,000字</x:v>
      </x:c>
      <x:c r="H61" s="43" t="str">
        <x:v>中</x:v>
      </x:c>
      <x:c r="I61" s="43" t="str">
        <x:v>第3ロット：外壁塗装・防水系</x:v>
      </x:c>
      <x:c r="J61" s="43" t="str">
        <x:v>外壁塗装系</x:v>
      </x:c>
      <x:c r="K61" s="43" t="str">
        <x:v>外壁塗装 足場代
相場と注意点を解説</x:v>
      </x:c>
      <x:c r="L61" s="43" t="str">
        <x:v>exterior-paint-scaffold-cost</x:v>
      </x:c>
      <x:c r="M61" s="43" t="str">
        <x:v>exterior-paint-scaffold-cost.webp</x:v>
      </x:c>
      <x:c r="N61" s="43" t="str">
        <x:v>外壁塗装 足場代について、費用相場、内訳、金額が変わる要因、見積もり時の注意点をわかりやすく解説します。</x:v>
      </x:c>
      <x:c r="O61" s="43" t="str">
        <x:v>外壁塗装</x:v>
      </x:c>
      <x:c r="P61" s="43" t="str">
        <x:v>外壁塗装</x:v>
      </x:c>
      <x:c r="Q61" s="43" t="str">
        <x:v>未着手</x:v>
      </x:c>
      <x:c r="R61" s="43" t="str">
        <x:v>未着手</x:v>
      </x:c>
      <x:c r="S61" s="43" t="str">
        <x:v>未着手</x:v>
      </x:c>
      <x:c r="T61" s="43" t="str">
        <x:v>未着手</x:v>
      </x:c>
      <x:c r="U61" s="43" t="str"/>
      <x:c r="V61" s="43" t="str">
        <x:v>関連：外壁塗装工期、足場代、防水工事、屋根カバーへリンク。</x:v>
      </x:c>
      <x:c r="W61" s="43" t="str"/>
      <x:c r="X61" s="44"/>
      <x:c r="Y61" s="44"/>
      <x:c r="Z61" s="44"/>
    </x:row>
    <x:row r="62">
      <x:c r="A62" s="43" t="n">
        <x:v>61</x:v>
      </x:c>
      <x:c r="B62" s="43" t="str">
        <x:v>樋 塗装 松山市</x:v>
      </x:c>
      <x:c r="C62" s="43" t="str">
        <x:v>雨樋 塗装 松山市</x:v>
      </x:c>
      <x:c r="D62" s="43" t="str">
        <x:v>松山市の雨樋塗装は必要？費用・劣化症状・塗り替え時期を解説</x:v>
      </x:c>
      <x:c r="E62" s="43" t="str">
        <x:v>付帯部</x:v>
      </x:c>
      <x:c r="F62" s="43" t="str">
        <x:v>付帯部型</x:v>
      </x:c>
      <x:c r="G62" s="43" t="str">
        <x:v>4,500〜6,000字</x:v>
      </x:c>
      <x:c r="H62" s="43" t="str">
        <x:v>中</x:v>
      </x:c>
      <x:c r="I62" s="43" t="str">
        <x:v>第4ロット：雨樋・軒天・付帯部系</x:v>
      </x:c>
      <x:c r="J62" s="43" t="str">
        <x:v>付帯部系</x:v>
      </x:c>
      <x:c r="K62" s="43" t="str">
        <x:v>雨樋 塗装 松山市
症状・費用・注意点</x:v>
      </x:c>
      <x:c r="L62" s="43" t="str">
        <x:v>gutter-paint-matsuyama</x:v>
      </x:c>
      <x:c r="M62" s="43" t="str">
        <x:v>gutter-paint-matsuyama.webp</x:v>
      </x:c>
      <x:c r="N62" s="43" t="str">
        <x:v>雨樋 塗装 松山市について、劣化症状、補修・塗装の判断基準、費用目安、外壁塗装と同時施工するメリットを解説します。</x:v>
      </x:c>
      <x:c r="O62" s="43" t="str">
        <x:v>付帯部</x:v>
      </x:c>
      <x:c r="P62" s="43" t="str">
        <x:v>松山市、雨樋、付帯部</x:v>
      </x:c>
      <x:c r="Q62" s="43" t="str">
        <x:v>未着手</x:v>
      </x:c>
      <x:c r="R62" s="43" t="str">
        <x:v>未着手</x:v>
      </x:c>
      <x:c r="S62" s="43" t="str">
        <x:v>未着手</x:v>
      </x:c>
      <x:c r="T62" s="43" t="str">
        <x:v>未着手</x:v>
      </x:c>
      <x:c r="U62" s="43" t="str"/>
      <x:c r="V62" s="43" t="str">
        <x:v>関連：外壁塗装、雨樋、軒天、付帯部補修記事へリンク。</x:v>
      </x:c>
      <x:c r="W62" s="43" t="str"/>
      <x:c r="X62" s="44"/>
      <x:c r="Y62" s="44"/>
      <x:c r="Z62" s="44"/>
    </x:row>
    <x:row r="63">
      <x:c r="A63" s="43" t="n">
        <x:v>62</x:v>
      </x:c>
      <x:c r="B63" s="43" t="str">
        <x:v>雨樋 交換 松山市</x:v>
      </x:c>
      <x:c r="C63" s="43" t="str">
        <x:v>雨樋 交換 松山市</x:v>
      </x:c>
      <x:c r="D63" s="43" t="str">
        <x:v>松山市の雨樋交換はいつ必要？費用・修理との違いを解説</x:v>
      </x:c>
      <x:c r="E63" s="43" t="str">
        <x:v>付帯部</x:v>
      </x:c>
      <x:c r="F63" s="43" t="str">
        <x:v>付帯部型</x:v>
      </x:c>
      <x:c r="G63" s="43" t="str">
        <x:v>4,500〜6,000字</x:v>
      </x:c>
      <x:c r="H63" s="43" t="str">
        <x:v>中</x:v>
      </x:c>
      <x:c r="I63" s="43" t="str">
        <x:v>第4ロット：雨樋・軒天・付帯部系</x:v>
      </x:c>
      <x:c r="J63" s="43" t="str">
        <x:v>付帯部系</x:v>
      </x:c>
      <x:c r="K63" s="43" t="str">
        <x:v>雨樋 交換 松山市
症状・費用・注意点</x:v>
      </x:c>
      <x:c r="L63" s="43" t="str">
        <x:v>gutter-replacement-matsuyama</x:v>
      </x:c>
      <x:c r="M63" s="43" t="str">
        <x:v>gutter-replacement-matsuyama.webp</x:v>
      </x:c>
      <x:c r="N63" s="43" t="str">
        <x:v>雨樋 交換 松山市について、劣化症状、補修・塗装の判断基準、費用目安、外壁塗装と同時施工するメリットを解説します。</x:v>
      </x:c>
      <x:c r="O63" s="43" t="str">
        <x:v>付帯部</x:v>
      </x:c>
      <x:c r="P63" s="43" t="str">
        <x:v>松山市、雨樋、付帯部</x:v>
      </x:c>
      <x:c r="Q63" s="43" t="str">
        <x:v>未着手</x:v>
      </x:c>
      <x:c r="R63" s="43" t="str">
        <x:v>未着手</x:v>
      </x:c>
      <x:c r="S63" s="43" t="str">
        <x:v>未着手</x:v>
      </x:c>
      <x:c r="T63" s="43" t="str">
        <x:v>未着手</x:v>
      </x:c>
      <x:c r="U63" s="43" t="str"/>
      <x:c r="V63" s="43" t="str">
        <x:v>関連：外壁塗装、雨樋、軒天、付帯部補修記事へリンク。</x:v>
      </x:c>
      <x:c r="W63" s="43" t="str"/>
      <x:c r="X63" s="44"/>
      <x:c r="Y63" s="44"/>
      <x:c r="Z63" s="44"/>
    </x:row>
    <x:row r="64">
      <x:c r="A64" s="43" t="n">
        <x:v>63</x:v>
      </x:c>
      <x:c r="B64" s="43" t="str">
        <x:v>雨樋 色あせ</x:v>
      </x:c>
      <x:c r="C64" s="43" t="str">
        <x:v>雨樋 色あせ</x:v>
      </x:c>
      <x:c r="D64" s="43" t="str">
        <x:v>雨樋の色あせは塗装すべき？劣化サインとメンテナンス方法</x:v>
      </x:c>
      <x:c r="E64" s="43" t="str">
        <x:v>付帯部</x:v>
      </x:c>
      <x:c r="F64" s="43" t="str">
        <x:v>付帯部型</x:v>
      </x:c>
      <x:c r="G64" s="43" t="str">
        <x:v>4,000〜5,500字</x:v>
      </x:c>
      <x:c r="H64" s="43" t="str">
        <x:v>中</x:v>
      </x:c>
      <x:c r="I64" s="43" t="str">
        <x:v>第4ロット：雨樋・軒天・付帯部系</x:v>
      </x:c>
      <x:c r="J64" s="43" t="str">
        <x:v>付帯部系</x:v>
      </x:c>
      <x:c r="K64" s="43" t="str">
        <x:v>雨樋 色あせ
ポイントを解説</x:v>
      </x:c>
      <x:c r="L64" s="43" t="str">
        <x:v>gutter-fading</x:v>
      </x:c>
      <x:c r="M64" s="43" t="str">
        <x:v>gutter-fading.webp</x:v>
      </x:c>
      <x:c r="N64" s="43" t="str">
        <x:v>雨樋 色あせについて、劣化症状、補修・塗装の判断基準、費用目安、外壁塗装と同時施工するメリットを解説します。</x:v>
      </x:c>
      <x:c r="O64" s="43" t="str">
        <x:v>付帯部</x:v>
      </x:c>
      <x:c r="P64" s="43" t="str">
        <x:v>雨樋、付帯部</x:v>
      </x:c>
      <x:c r="Q64" s="43" t="str">
        <x:v>未着手</x:v>
      </x:c>
      <x:c r="R64" s="43" t="str">
        <x:v>未着手</x:v>
      </x:c>
      <x:c r="S64" s="43" t="str">
        <x:v>未着手</x:v>
      </x:c>
      <x:c r="T64" s="43" t="str">
        <x:v>未着手</x:v>
      </x:c>
      <x:c r="U64" s="43" t="str"/>
      <x:c r="V64" s="43" t="str">
        <x:v>関連：外壁塗装、雨樋、軒天、付帯部補修記事へリンク。</x:v>
      </x:c>
      <x:c r="W64" s="43" t="str"/>
      <x:c r="X64" s="44"/>
      <x:c r="Y64" s="44"/>
      <x:c r="Z64" s="44"/>
    </x:row>
    <x:row r="65">
      <x:c r="A65" s="43" t="n">
        <x:v>64</x:v>
      </x:c>
      <x:c r="B65" s="43" t="str">
        <x:v>雨樋 塗装 必要</x:v>
      </x:c>
      <x:c r="C65" s="43" t="str">
        <x:v>雨樋 塗装 必要</x:v>
      </x:c>
      <x:c r="D65" s="43" t="str">
        <x:v>雨樋塗装は必要？塗り替えの目的・不要なケースも解説</x:v>
      </x:c>
      <x:c r="E65" s="43" t="str">
        <x:v>付帯部</x:v>
      </x:c>
      <x:c r="F65" s="43" t="str">
        <x:v>付帯部型</x:v>
      </x:c>
      <x:c r="G65" s="43" t="str">
        <x:v>4,500〜6,000字</x:v>
      </x:c>
      <x:c r="H65" s="43" t="str">
        <x:v>中</x:v>
      </x:c>
      <x:c r="I65" s="43" t="str">
        <x:v>第4ロット：雨樋・軒天・付帯部系</x:v>
      </x:c>
      <x:c r="J65" s="43" t="str">
        <x:v>付帯部系</x:v>
      </x:c>
      <x:c r="K65" s="43" t="str">
        <x:v>雨樋 塗装 必要
特徴・費用・注意点</x:v>
      </x:c>
      <x:c r="L65" s="43" t="str">
        <x:v>gutter-paint-necessity</x:v>
      </x:c>
      <x:c r="M65" s="43" t="str">
        <x:v>gutter-paint-necessity.webp</x:v>
      </x:c>
      <x:c r="N65" s="43" t="str">
        <x:v>雨樋 塗装 必要について、劣化症状、補修・塗装の判断基準、費用目安、外壁塗装と同時施工するメリットを解説します。</x:v>
      </x:c>
      <x:c r="O65" s="43" t="str">
        <x:v>付帯部</x:v>
      </x:c>
      <x:c r="P65" s="43" t="str">
        <x:v>雨樋、付帯部</x:v>
      </x:c>
      <x:c r="Q65" s="43" t="str">
        <x:v>未着手</x:v>
      </x:c>
      <x:c r="R65" s="43" t="str">
        <x:v>未着手</x:v>
      </x:c>
      <x:c r="S65" s="43" t="str">
        <x:v>未着手</x:v>
      </x:c>
      <x:c r="T65" s="43" t="str">
        <x:v>未着手</x:v>
      </x:c>
      <x:c r="U65" s="43" t="str"/>
      <x:c r="V65" s="43" t="str">
        <x:v>関連：外壁塗装、雨樋、軒天、付帯部補修記事へリンク。</x:v>
      </x:c>
      <x:c r="W65" s="43" t="str"/>
      <x:c r="X65" s="44"/>
      <x:c r="Y65" s="44"/>
      <x:c r="Z65" s="44"/>
    </x:row>
    <x:row r="66">
      <x:c r="A66" s="43" t="n">
        <x:v>65</x:v>
      </x:c>
      <x:c r="B66" s="43" t="str">
        <x:v>雨樋 塗装 費用</x:v>
      </x:c>
      <x:c r="C66" s="43" t="str">
        <x:v>雨樋 塗装 費用</x:v>
      </x:c>
      <x:c r="D66" s="43" t="str">
        <x:v>雨樋塗装の費用相場はいくら？単価・足場代・注意点を解説</x:v>
      </x:c>
      <x:c r="E66" s="43" t="str">
        <x:v>付帯部</x:v>
      </x:c>
      <x:c r="F66" s="43" t="str">
        <x:v>費用・相場型</x:v>
      </x:c>
      <x:c r="G66" s="43" t="str">
        <x:v>4,500〜6,000字</x:v>
      </x:c>
      <x:c r="H66" s="43" t="str">
        <x:v>中</x:v>
      </x:c>
      <x:c r="I66" s="43" t="str">
        <x:v>第4ロット：雨樋・軒天・付帯部系</x:v>
      </x:c>
      <x:c r="J66" s="43" t="str">
        <x:v>付帯部系</x:v>
      </x:c>
      <x:c r="K66" s="43" t="str">
        <x:v>雨樋 塗装 費用
相場と注意点を解説</x:v>
      </x:c>
      <x:c r="L66" s="43" t="str">
        <x:v>gutter-paint-cost</x:v>
      </x:c>
      <x:c r="M66" s="43" t="str">
        <x:v>gutter-paint-cost.webp</x:v>
      </x:c>
      <x:c r="N66" s="43" t="str">
        <x:v>雨樋 塗装 費用について、費用相場、内訳、金額が変わる要因、見積もり時の注意点をわかりやすく解説します。</x:v>
      </x:c>
      <x:c r="O66" s="43" t="str">
        <x:v>付帯部</x:v>
      </x:c>
      <x:c r="P66" s="43" t="str">
        <x:v>雨樋、費用、付帯部</x:v>
      </x:c>
      <x:c r="Q66" s="43" t="str">
        <x:v>未着手</x:v>
      </x:c>
      <x:c r="R66" s="43" t="str">
        <x:v>未着手</x:v>
      </x:c>
      <x:c r="S66" s="43" t="str">
        <x:v>未着手</x:v>
      </x:c>
      <x:c r="T66" s="43" t="str">
        <x:v>未着手</x:v>
      </x:c>
      <x:c r="U66" s="43" t="str"/>
      <x:c r="V66" s="43" t="str">
        <x:v>関連：外壁塗装、雨樋、軒天、付帯部補修記事へリンク。</x:v>
      </x:c>
      <x:c r="W66" s="43" t="str"/>
      <x:c r="X66" s="44"/>
      <x:c r="Y66" s="44"/>
      <x:c r="Z66" s="44"/>
    </x:row>
    <x:row r="67">
      <x:c r="A67" s="43" t="n">
        <x:v>66</x:v>
      </x:c>
      <x:c r="B67" s="43" t="str">
        <x:v>雨樋 割れ 補修</x:v>
      </x:c>
      <x:c r="C67" s="43" t="str">
        <x:v>雨樋 割れ 補修</x:v>
      </x:c>
      <x:c r="D67" s="43" t="str">
        <x:v>雨樋の割れは補修できる？修理・交換の判断ポイント</x:v>
      </x:c>
      <x:c r="E67" s="43" t="str">
        <x:v>付帯部</x:v>
      </x:c>
      <x:c r="F67" s="43" t="str">
        <x:v>付帯部型</x:v>
      </x:c>
      <x:c r="G67" s="43" t="str">
        <x:v>4,500〜6,000字</x:v>
      </x:c>
      <x:c r="H67" s="43" t="str">
        <x:v>中</x:v>
      </x:c>
      <x:c r="I67" s="43" t="str">
        <x:v>第4ロット：雨樋・軒天・付帯部系</x:v>
      </x:c>
      <x:c r="J67" s="43" t="str">
        <x:v>付帯部系</x:v>
      </x:c>
      <x:c r="K67" s="43" t="str">
        <x:v>雨樋 割れ 補修
ポイントを解説</x:v>
      </x:c>
      <x:c r="L67" s="43" t="str">
        <x:v>gutter-crack-repair</x:v>
      </x:c>
      <x:c r="M67" s="43" t="str">
        <x:v>gutter-crack-repair.webp</x:v>
      </x:c>
      <x:c r="N67" s="43" t="str">
        <x:v>雨樋 割れ 補修について、劣化症状、補修・塗装の判断基準、費用目安、外壁塗装と同時施工するメリットを解説します。</x:v>
      </x:c>
      <x:c r="O67" s="43" t="str">
        <x:v>付帯部</x:v>
      </x:c>
      <x:c r="P67" s="43" t="str">
        <x:v>雨樋、付帯部</x:v>
      </x:c>
      <x:c r="Q67" s="43" t="str">
        <x:v>未着手</x:v>
      </x:c>
      <x:c r="R67" s="43" t="str">
        <x:v>未着手</x:v>
      </x:c>
      <x:c r="S67" s="43" t="str">
        <x:v>未着手</x:v>
      </x:c>
      <x:c r="T67" s="43" t="str">
        <x:v>未着手</x:v>
      </x:c>
      <x:c r="U67" s="43" t="str"/>
      <x:c r="V67" s="43" t="str">
        <x:v>関連：外壁塗装、雨樋、軒天、付帯部補修記事へリンク。</x:v>
      </x:c>
      <x:c r="W67" s="43" t="str"/>
      <x:c r="X67" s="44"/>
      <x:c r="Y67" s="44"/>
      <x:c r="Z67" s="44"/>
    </x:row>
    <x:row r="68">
      <x:c r="A68" s="43" t="n">
        <x:v>67</x:v>
      </x:c>
      <x:c r="B68" s="43" t="str">
        <x:v>雨樋 外れ 修理</x:v>
      </x:c>
      <x:c r="C68" s="43" t="str">
        <x:v>雨樋 外れ 修理</x:v>
      </x:c>
      <x:c r="D68" s="43" t="str">
        <x:v>雨樋が外れたときの修理方法｜原因・費用・放置リスク</x:v>
      </x:c>
      <x:c r="E68" s="43" t="str">
        <x:v>付帯部</x:v>
      </x:c>
      <x:c r="F68" s="43" t="str">
        <x:v>付帯部型</x:v>
      </x:c>
      <x:c r="G68" s="43" t="str">
        <x:v>4,500〜6,000字</x:v>
      </x:c>
      <x:c r="H68" s="43" t="str">
        <x:v>中</x:v>
      </x:c>
      <x:c r="I68" s="43" t="str">
        <x:v>第4ロット：雨樋・軒天・付帯部系</x:v>
      </x:c>
      <x:c r="J68" s="43" t="str">
        <x:v>付帯部系</x:v>
      </x:c>
      <x:c r="K68" s="43" t="str">
        <x:v>雨樋 外れ 修理
ポイントを解説</x:v>
      </x:c>
      <x:c r="L68" s="43" t="str">
        <x:v>gutter-detached-repair</x:v>
      </x:c>
      <x:c r="M68" s="43" t="str">
        <x:v>gutter-detached-repair.webp</x:v>
      </x:c>
      <x:c r="N68" s="43" t="str">
        <x:v>雨樋 外れ 修理について、劣化症状、補修・塗装の判断基準、費用目安、外壁塗装と同時施工するメリットを解説します。</x:v>
      </x:c>
      <x:c r="O68" s="43" t="str">
        <x:v>付帯部</x:v>
      </x:c>
      <x:c r="P68" s="43" t="str">
        <x:v>雨樋、付帯部</x:v>
      </x:c>
      <x:c r="Q68" s="43" t="str">
        <x:v>未着手</x:v>
      </x:c>
      <x:c r="R68" s="43" t="str">
        <x:v>未着手</x:v>
      </x:c>
      <x:c r="S68" s="43" t="str">
        <x:v>未着手</x:v>
      </x:c>
      <x:c r="T68" s="43" t="str">
        <x:v>未着手</x:v>
      </x:c>
      <x:c r="U68" s="43" t="str"/>
      <x:c r="V68" s="43" t="str">
        <x:v>関連：外壁塗装、雨樋、軒天、付帯部補修記事へリンク。</x:v>
      </x:c>
      <x:c r="W68" s="43" t="str"/>
      <x:c r="X68" s="44"/>
      <x:c r="Y68" s="44"/>
      <x:c r="Z68" s="44"/>
    </x:row>
    <x:row r="69">
      <x:c r="A69" s="43" t="n">
        <x:v>68</x:v>
      </x:c>
      <x:c r="B69" s="43" t="str">
        <x:v>雨樋 劣化 症状</x:v>
      </x:c>
      <x:c r="C69" s="43" t="str">
        <x:v>雨樋 劣化 症状</x:v>
      </x:c>
      <x:c r="D69" s="43" t="str">
        <x:v>雨樋の劣化症状とは？塗装・補修・交換の判断基準</x:v>
      </x:c>
      <x:c r="E69" s="43" t="str">
        <x:v>付帯部</x:v>
      </x:c>
      <x:c r="F69" s="43" t="str">
        <x:v>付帯部型</x:v>
      </x:c>
      <x:c r="G69" s="43" t="str">
        <x:v>4,500〜6,000字</x:v>
      </x:c>
      <x:c r="H69" s="43" t="str">
        <x:v>中</x:v>
      </x:c>
      <x:c r="I69" s="43" t="str">
        <x:v>第4ロット：雨樋・軒天・付帯部系</x:v>
      </x:c>
      <x:c r="J69" s="43" t="str">
        <x:v>付帯部系</x:v>
      </x:c>
      <x:c r="K69" s="43" t="str">
        <x:v>雨樋 劣化 症状
ポイントを解説</x:v>
      </x:c>
      <x:c r="L69" s="43" t="str">
        <x:v>gutter-deterioration-symptoms</x:v>
      </x:c>
      <x:c r="M69" s="43" t="str">
        <x:v>gutter-deterioration-symptoms.webp</x:v>
      </x:c>
      <x:c r="N69" s="43" t="str">
        <x:v>雨樋 劣化 症状について、劣化症状、補修・塗装の判断基準、費用目安、外壁塗装と同時施工するメリットを解説します。</x:v>
      </x:c>
      <x:c r="O69" s="43" t="str">
        <x:v>付帯部</x:v>
      </x:c>
      <x:c r="P69" s="43" t="str">
        <x:v>雨樋、付帯部</x:v>
      </x:c>
      <x:c r="Q69" s="43" t="str">
        <x:v>未着手</x:v>
      </x:c>
      <x:c r="R69" s="43" t="str">
        <x:v>未着手</x:v>
      </x:c>
      <x:c r="S69" s="43" t="str">
        <x:v>未着手</x:v>
      </x:c>
      <x:c r="T69" s="43" t="str">
        <x:v>未着手</x:v>
      </x:c>
      <x:c r="U69" s="43" t="str"/>
      <x:c r="V69" s="43" t="str">
        <x:v>関連：外壁塗装、雨樋、軒天、付帯部補修記事へリンク。</x:v>
      </x:c>
      <x:c r="W69" s="43" t="str"/>
      <x:c r="X69" s="44"/>
      <x:c r="Y69" s="44"/>
      <x:c r="Z69" s="44"/>
    </x:row>
    <x:row r="70">
      <x:c r="A70" s="43" t="n">
        <x:v>69</x:v>
      </x:c>
      <x:c r="B70" s="43" t="str">
        <x:v>雨樋 チョーキング</x:v>
      </x:c>
      <x:c r="C70" s="43" t="str">
        <x:v>雨樋 チョーキング</x:v>
      </x:c>
      <x:c r="D70" s="43" t="str">
        <x:v>雨樋のチョーキングとは？塗装時期と劣化の見分け方</x:v>
      </x:c>
      <x:c r="E70" s="43" t="str">
        <x:v>付帯部</x:v>
      </x:c>
      <x:c r="F70" s="43" t="str">
        <x:v>付帯部型</x:v>
      </x:c>
      <x:c r="G70" s="43" t="str">
        <x:v>4,000〜5,500字</x:v>
      </x:c>
      <x:c r="H70" s="43" t="str">
        <x:v>中</x:v>
      </x:c>
      <x:c r="I70" s="43" t="str">
        <x:v>第4ロット：雨樋・軒天・付帯部系</x:v>
      </x:c>
      <x:c r="J70" s="43" t="str">
        <x:v>付帯部系</x:v>
      </x:c>
      <x:c r="K70" s="43" t="str">
        <x:v>雨樋 チョーキング
ポイントを解説</x:v>
      </x:c>
      <x:c r="L70" s="43" t="str">
        <x:v>gutter-chalking</x:v>
      </x:c>
      <x:c r="M70" s="43" t="str">
        <x:v>gutter-chalking.webp</x:v>
      </x:c>
      <x:c r="N70" s="43" t="str">
        <x:v>雨樋 チョーキングについて、劣化症状、補修・塗装の判断基準、費用目安、外壁塗装と同時施工するメリットを解説します。</x:v>
      </x:c>
      <x:c r="O70" s="43" t="str">
        <x:v>付帯部</x:v>
      </x:c>
      <x:c r="P70" s="43" t="str">
        <x:v>雨樋、付帯部</x:v>
      </x:c>
      <x:c r="Q70" s="43" t="str">
        <x:v>未着手</x:v>
      </x:c>
      <x:c r="R70" s="43" t="str">
        <x:v>未着手</x:v>
      </x:c>
      <x:c r="S70" s="43" t="str">
        <x:v>未着手</x:v>
      </x:c>
      <x:c r="T70" s="43" t="str">
        <x:v>未着手</x:v>
      </x:c>
      <x:c r="U70" s="43" t="str"/>
      <x:c r="V70" s="43" t="str">
        <x:v>関連：外壁塗装、雨樋、軒天、付帯部補修記事へリンク。</x:v>
      </x:c>
      <x:c r="W70" s="43" t="str"/>
      <x:c r="X70" s="44"/>
      <x:c r="Y70" s="44"/>
      <x:c r="Z70" s="44"/>
    </x:row>
    <x:row r="71">
      <x:c r="A71" s="43" t="n">
        <x:v>70</x:v>
      </x:c>
      <x:c r="B71" s="43" t="str">
        <x:v>雨樋 塗り替え時期</x:v>
      </x:c>
      <x:c r="C71" s="43" t="str">
        <x:v>雨樋 塗り替え時期</x:v>
      </x:c>
      <x:c r="D71" s="43" t="str">
        <x:v>雨樋の塗り替え時期はいつ？劣化サインと費用目安</x:v>
      </x:c>
      <x:c r="E71" s="43" t="str">
        <x:v>付帯部</x:v>
      </x:c>
      <x:c r="F71" s="43" t="str">
        <x:v>付帯部型</x:v>
      </x:c>
      <x:c r="G71" s="43" t="str">
        <x:v>4,500〜6,000字</x:v>
      </x:c>
      <x:c r="H71" s="43" t="str">
        <x:v>中</x:v>
      </x:c>
      <x:c r="I71" s="43" t="str">
        <x:v>第4ロット：雨樋・軒天・付帯部系</x:v>
      </x:c>
      <x:c r="J71" s="43" t="str">
        <x:v>付帯部系</x:v>
      </x:c>
      <x:c r="K71" s="43" t="str">
        <x:v>雨樋 塗り替え時期
ポイントを解説</x:v>
      </x:c>
      <x:c r="L71" s="43" t="str">
        <x:v>gutter-repaint-timing</x:v>
      </x:c>
      <x:c r="M71" s="43" t="str">
        <x:v>gutter-repaint-timing.webp</x:v>
      </x:c>
      <x:c r="N71" s="43" t="str">
        <x:v>雨樋 塗り替え時期について、劣化症状、補修・塗装の判断基準、費用目安、外壁塗装と同時施工するメリットを解説します。</x:v>
      </x:c>
      <x:c r="O71" s="43" t="str">
        <x:v>付帯部</x:v>
      </x:c>
      <x:c r="P71" s="43" t="str">
        <x:v>雨樋、付帯部</x:v>
      </x:c>
      <x:c r="Q71" s="43" t="str">
        <x:v>未着手</x:v>
      </x:c>
      <x:c r="R71" s="43" t="str">
        <x:v>未着手</x:v>
      </x:c>
      <x:c r="S71" s="43" t="str">
        <x:v>未着手</x:v>
      </x:c>
      <x:c r="T71" s="43" t="str">
        <x:v>未着手</x:v>
      </x:c>
      <x:c r="U71" s="43" t="str"/>
      <x:c r="V71" s="43" t="str">
        <x:v>関連：外壁塗装、雨樋、軒天、付帯部補修記事へリンク。</x:v>
      </x:c>
      <x:c r="W71" s="43" t="str"/>
      <x:c r="X71" s="44"/>
      <x:c r="Y71" s="44"/>
      <x:c r="Z71" s="44"/>
    </x:row>
    <x:row r="72">
      <x:c r="A72" s="43" t="n">
        <x:v>71</x:v>
      </x:c>
      <x:c r="B72" s="43" t="str">
        <x:v>軒天 塗装 松山市</x:v>
      </x:c>
      <x:c r="C72" s="43" t="str">
        <x:v>軒天 塗装 松山市</x:v>
      </x:c>
      <x:c r="D72" s="43" t="str">
        <x:v>松山市の軒天塗装はいつ必要？費用・劣化症状・注意点</x:v>
      </x:c>
      <x:c r="E72" s="43" t="str">
        <x:v>付帯部</x:v>
      </x:c>
      <x:c r="F72" s="43" t="str">
        <x:v>付帯部型</x:v>
      </x:c>
      <x:c r="G72" s="43" t="str">
        <x:v>4,500〜6,000字</x:v>
      </x:c>
      <x:c r="H72" s="43" t="str">
        <x:v>中</x:v>
      </x:c>
      <x:c r="I72" s="43" t="str">
        <x:v>第4ロット：雨樋・軒天・付帯部系</x:v>
      </x:c>
      <x:c r="J72" s="43" t="str">
        <x:v>付帯部系</x:v>
      </x:c>
      <x:c r="K72" s="43" t="str">
        <x:v>軒天 塗装 松山市
症状・費用・注意点</x:v>
      </x:c>
      <x:c r="L72" s="43" t="str">
        <x:v>soffit-paint-matsuyama</x:v>
      </x:c>
      <x:c r="M72" s="43" t="str">
        <x:v>soffit-paint-matsuyama.webp</x:v>
      </x:c>
      <x:c r="N72" s="43" t="str">
        <x:v>軒天 塗装 松山市について、劣化症状、補修・塗装の判断基準、費用目安、外壁塗装と同時施工するメリットを解説します。</x:v>
      </x:c>
      <x:c r="O72" s="43" t="str">
        <x:v>付帯部</x:v>
      </x:c>
      <x:c r="P72" s="43" t="str">
        <x:v>松山市、軒天、付帯部</x:v>
      </x:c>
      <x:c r="Q72" s="43" t="str">
        <x:v>未着手</x:v>
      </x:c>
      <x:c r="R72" s="43" t="str">
        <x:v>未着手</x:v>
      </x:c>
      <x:c r="S72" s="43" t="str">
        <x:v>未着手</x:v>
      </x:c>
      <x:c r="T72" s="43" t="str">
        <x:v>未着手</x:v>
      </x:c>
      <x:c r="U72" s="43" t="str"/>
      <x:c r="V72" s="43" t="str">
        <x:v>関連：外壁塗装、雨樋、軒天、付帯部補修記事へリンク。</x:v>
      </x:c>
      <x:c r="W72" s="43" t="str"/>
      <x:c r="X72" s="44"/>
      <x:c r="Y72" s="44"/>
      <x:c r="Z72" s="44"/>
    </x:row>
    <x:row r="73">
      <x:c r="A73" s="43" t="n">
        <x:v>72</x:v>
      </x:c>
      <x:c r="B73" s="43" t="str">
        <x:v>軒天 シミ 原因</x:v>
      </x:c>
      <x:c r="C73" s="43" t="str">
        <x:v>軒天 シミ 原因</x:v>
      </x:c>
      <x:c r="D73" s="43" t="str">
        <x:v>軒天のシミの原因とは？雨漏りとの関係と補修方法</x:v>
      </x:c>
      <x:c r="E73" s="43" t="str">
        <x:v>付帯部</x:v>
      </x:c>
      <x:c r="F73" s="43" t="str">
        <x:v>付帯部型</x:v>
      </x:c>
      <x:c r="G73" s="43" t="str">
        <x:v>4,500〜6,000字</x:v>
      </x:c>
      <x:c r="H73" s="43" t="str">
        <x:v>中</x:v>
      </x:c>
      <x:c r="I73" s="43" t="str">
        <x:v>第4ロット：雨樋・軒天・付帯部系</x:v>
      </x:c>
      <x:c r="J73" s="43" t="str">
        <x:v>付帯部系</x:v>
      </x:c>
      <x:c r="K73" s="43" t="str">
        <x:v>軒天 シミ 原因
放置リスクと対処法</x:v>
      </x:c>
      <x:c r="L73" s="43" t="str">
        <x:v>soffit-stain-cause</x:v>
      </x:c>
      <x:c r="M73" s="43" t="str">
        <x:v>soffit-stain-cause.webp</x:v>
      </x:c>
      <x:c r="N73" s="43" t="str">
        <x:v>軒天 シミ 原因について、劣化症状、補修・塗装の判断基準、費用目安、外壁塗装と同時施工するメリットを解説します。</x:v>
      </x:c>
      <x:c r="O73" s="43" t="str">
        <x:v>付帯部</x:v>
      </x:c>
      <x:c r="P73" s="43" t="str">
        <x:v>軒天、付帯部</x:v>
      </x:c>
      <x:c r="Q73" s="43" t="str">
        <x:v>未着手</x:v>
      </x:c>
      <x:c r="R73" s="43" t="str">
        <x:v>未着手</x:v>
      </x:c>
      <x:c r="S73" s="43" t="str">
        <x:v>未着手</x:v>
      </x:c>
      <x:c r="T73" s="43" t="str">
        <x:v>未着手</x:v>
      </x:c>
      <x:c r="U73" s="43" t="str"/>
      <x:c r="V73" s="43" t="str">
        <x:v>関連：外壁塗装、雨樋、軒天、付帯部補修記事へリンク。</x:v>
      </x:c>
      <x:c r="W73" s="43" t="str"/>
      <x:c r="X73" s="44"/>
      <x:c r="Y73" s="44"/>
      <x:c r="Z73" s="44"/>
    </x:row>
    <x:row r="74">
      <x:c r="A74" s="43" t="n">
        <x:v>73</x:v>
      </x:c>
      <x:c r="B74" s="43" t="str">
        <x:v>軒天 黒ずみ</x:v>
      </x:c>
      <x:c r="C74" s="43" t="str">
        <x:v>軒天 黒ずみ</x:v>
      </x:c>
      <x:c r="D74" s="43" t="str">
        <x:v>軒天の黒ずみは放置して大丈夫？原因・掃除・塗装の判断</x:v>
      </x:c>
      <x:c r="E74" s="43" t="str">
        <x:v>付帯部</x:v>
      </x:c>
      <x:c r="F74" s="43" t="str">
        <x:v>付帯部型</x:v>
      </x:c>
      <x:c r="G74" s="43" t="str">
        <x:v>4,000〜5,500字</x:v>
      </x:c>
      <x:c r="H74" s="43" t="str">
        <x:v>中</x:v>
      </x:c>
      <x:c r="I74" s="43" t="str">
        <x:v>第4ロット：雨樋・軒天・付帯部系</x:v>
      </x:c>
      <x:c r="J74" s="43" t="str">
        <x:v>付帯部系</x:v>
      </x:c>
      <x:c r="K74" s="43" t="str">
        <x:v>軒天 黒ずみ
ポイントを解説</x:v>
      </x:c>
      <x:c r="L74" s="43" t="str">
        <x:v>soffit-black-stain</x:v>
      </x:c>
      <x:c r="M74" s="43" t="str">
        <x:v>soffit-black-stain.webp</x:v>
      </x:c>
      <x:c r="N74" s="43" t="str">
        <x:v>軒天 黒ずみについて、劣化症状、補修・塗装の判断基準、費用目安、外壁塗装と同時施工するメリットを解説します。</x:v>
      </x:c>
      <x:c r="O74" s="43" t="str">
        <x:v>付帯部</x:v>
      </x:c>
      <x:c r="P74" s="43" t="str">
        <x:v>軒天、付帯部</x:v>
      </x:c>
      <x:c r="Q74" s="43" t="str">
        <x:v>未着手</x:v>
      </x:c>
      <x:c r="R74" s="43" t="str">
        <x:v>未着手</x:v>
      </x:c>
      <x:c r="S74" s="43" t="str">
        <x:v>未着手</x:v>
      </x:c>
      <x:c r="T74" s="43" t="str">
        <x:v>未着手</x:v>
      </x:c>
      <x:c r="U74" s="43" t="str"/>
      <x:c r="V74" s="43" t="str">
        <x:v>関連：外壁塗装、雨樋、軒天、付帯部補修記事へリンク。</x:v>
      </x:c>
      <x:c r="W74" s="43" t="str"/>
      <x:c r="X74" s="44"/>
      <x:c r="Y74" s="44"/>
      <x:c r="Z74" s="44"/>
    </x:row>
    <x:row r="75">
      <x:c r="A75" s="43" t="n">
        <x:v>74</x:v>
      </x:c>
      <x:c r="B75" s="43" t="str">
        <x:v>軒天 カビ</x:v>
      </x:c>
      <x:c r="C75" s="43" t="str">
        <x:v>軒天 カビ</x:v>
      </x:c>
      <x:c r="D75" s="43" t="str">
        <x:v>軒天のカビの原因とは？雨漏りリスクと補修方法を解説</x:v>
      </x:c>
      <x:c r="E75" s="43" t="str">
        <x:v>付帯部</x:v>
      </x:c>
      <x:c r="F75" s="43" t="str">
        <x:v>付帯部型</x:v>
      </x:c>
      <x:c r="G75" s="43" t="str">
        <x:v>4,000〜5,500字</x:v>
      </x:c>
      <x:c r="H75" s="43" t="str">
        <x:v>中</x:v>
      </x:c>
      <x:c r="I75" s="43" t="str">
        <x:v>第4ロット：雨樋・軒天・付帯部系</x:v>
      </x:c>
      <x:c r="J75" s="43" t="str">
        <x:v>付帯部系</x:v>
      </x:c>
      <x:c r="K75" s="43" t="str">
        <x:v>軒天 カビ
ポイントを解説</x:v>
      </x:c>
      <x:c r="L75" s="43" t="str">
        <x:v>soffit-mold</x:v>
      </x:c>
      <x:c r="M75" s="43" t="str">
        <x:v>soffit-mold.webp</x:v>
      </x:c>
      <x:c r="N75" s="43" t="str">
        <x:v>軒天 カビについて、劣化症状、補修・塗装の判断基準、費用目安、外壁塗装と同時施工するメリットを解説します。</x:v>
      </x:c>
      <x:c r="O75" s="43" t="str">
        <x:v>付帯部</x:v>
      </x:c>
      <x:c r="P75" s="43" t="str">
        <x:v>軒天、付帯部</x:v>
      </x:c>
      <x:c r="Q75" s="43" t="str">
        <x:v>未着手</x:v>
      </x:c>
      <x:c r="R75" s="43" t="str">
        <x:v>未着手</x:v>
      </x:c>
      <x:c r="S75" s="43" t="str">
        <x:v>未着手</x:v>
      </x:c>
      <x:c r="T75" s="43" t="str">
        <x:v>未着手</x:v>
      </x:c>
      <x:c r="U75" s="43" t="str"/>
      <x:c r="V75" s="43" t="str">
        <x:v>関連：外壁塗装、雨樋、軒天、付帯部補修記事へリンク。</x:v>
      </x:c>
      <x:c r="W75" s="43" t="str"/>
      <x:c r="X75" s="44"/>
      <x:c r="Y75" s="44"/>
      <x:c r="Z75" s="44"/>
    </x:row>
    <x:row r="76">
      <x:c r="A76" s="43" t="n">
        <x:v>75</x:v>
      </x:c>
      <x:c r="B76" s="43" t="str">
        <x:v>軒天 剥がれ</x:v>
      </x:c>
      <x:c r="C76" s="43" t="str">
        <x:v>軒天 剥がれ</x:v>
      </x:c>
      <x:c r="D76" s="43" t="str">
        <x:v>軒天の剥がれは補修が必要？原因・費用・放置リスク</x:v>
      </x:c>
      <x:c r="E76" s="43" t="str">
        <x:v>付帯部</x:v>
      </x:c>
      <x:c r="F76" s="43" t="str">
        <x:v>付帯部型</x:v>
      </x:c>
      <x:c r="G76" s="43" t="str">
        <x:v>4,500〜6,000字</x:v>
      </x:c>
      <x:c r="H76" s="43" t="str">
        <x:v>中</x:v>
      </x:c>
      <x:c r="I76" s="43" t="str">
        <x:v>第4ロット：雨樋・軒天・付帯部系</x:v>
      </x:c>
      <x:c r="J76" s="43" t="str">
        <x:v>付帯部系</x:v>
      </x:c>
      <x:c r="K76" s="43" t="str">
        <x:v>軒天 剥がれ
ポイントを解説</x:v>
      </x:c>
      <x:c r="L76" s="43" t="str">
        <x:v>soffit-peeling</x:v>
      </x:c>
      <x:c r="M76" s="43" t="str">
        <x:v>soffit-peeling.webp</x:v>
      </x:c>
      <x:c r="N76" s="43" t="str">
        <x:v>軒天 剥がれについて、劣化症状、補修・塗装の判断基準、費用目安、外壁塗装と同時施工するメリットを解説します。</x:v>
      </x:c>
      <x:c r="O76" s="43" t="str">
        <x:v>付帯部</x:v>
      </x:c>
      <x:c r="P76" s="43" t="str">
        <x:v>軒天、付帯部</x:v>
      </x:c>
      <x:c r="Q76" s="43" t="str">
        <x:v>未着手</x:v>
      </x:c>
      <x:c r="R76" s="43" t="str">
        <x:v>未着手</x:v>
      </x:c>
      <x:c r="S76" s="43" t="str">
        <x:v>未着手</x:v>
      </x:c>
      <x:c r="T76" s="43" t="str">
        <x:v>未着手</x:v>
      </x:c>
      <x:c r="U76" s="43" t="str"/>
      <x:c r="V76" s="43" t="str">
        <x:v>関連：外壁塗装、雨樋、軒天、付帯部補修記事へリンク。</x:v>
      </x:c>
      <x:c r="W76" s="43" t="str"/>
      <x:c r="X76" s="44"/>
      <x:c r="Y76" s="44"/>
      <x:c r="Z76" s="44"/>
    </x:row>
    <x:row r="77">
      <x:c r="A77" s="43" t="n">
        <x:v>76</x:v>
      </x:c>
      <x:c r="B77" s="43" t="str">
        <x:v>軒天 ベニヤ 張り替え</x:v>
      </x:c>
      <x:c r="C77" s="43" t="str">
        <x:v>軒天 ベニヤ 張り替え</x:v>
      </x:c>
      <x:c r="D77" s="43" t="str">
        <x:v>軒天ベニヤの張り替えはいつ必要？費用・材料・注意点</x:v>
      </x:c>
      <x:c r="E77" s="43" t="str">
        <x:v>付帯部</x:v>
      </x:c>
      <x:c r="F77" s="43" t="str">
        <x:v>付帯部型</x:v>
      </x:c>
      <x:c r="G77" s="43" t="str">
        <x:v>4,500〜6,000字</x:v>
      </x:c>
      <x:c r="H77" s="43" t="str">
        <x:v>中</x:v>
      </x:c>
      <x:c r="I77" s="43" t="str">
        <x:v>第4ロット：雨樋・軒天・付帯部系</x:v>
      </x:c>
      <x:c r="J77" s="43" t="str">
        <x:v>付帯部系</x:v>
      </x:c>
      <x:c r="K77" s="43" t="str">
        <x:v>軒天 ベニヤ 張り替え
ポイントを解説</x:v>
      </x:c>
      <x:c r="L77" s="43" t="str">
        <x:v>soffit-plywood-replacement</x:v>
      </x:c>
      <x:c r="M77" s="43" t="str">
        <x:v>soffit-plywood-replacement.webp</x:v>
      </x:c>
      <x:c r="N77" s="43" t="str">
        <x:v>軒天 ベニヤ 張り替えについて、劣化症状、補修・塗装の判断基準、費用目安、外壁塗装と同時施工するメリットを解説します。</x:v>
      </x:c>
      <x:c r="O77" s="43" t="str">
        <x:v>付帯部</x:v>
      </x:c>
      <x:c r="P77" s="43" t="str">
        <x:v>軒天、付帯部</x:v>
      </x:c>
      <x:c r="Q77" s="43" t="str">
        <x:v>未着手</x:v>
      </x:c>
      <x:c r="R77" s="43" t="str">
        <x:v>未着手</x:v>
      </x:c>
      <x:c r="S77" s="43" t="str">
        <x:v>未着手</x:v>
      </x:c>
      <x:c r="T77" s="43" t="str">
        <x:v>未着手</x:v>
      </x:c>
      <x:c r="U77" s="43" t="str"/>
      <x:c r="V77" s="43" t="str">
        <x:v>関連：外壁塗装、雨樋、軒天、付帯部補修記事へリンク。</x:v>
      </x:c>
      <x:c r="W77" s="43" t="str"/>
      <x:c r="X77" s="44"/>
      <x:c r="Y77" s="44"/>
      <x:c r="Z77" s="44"/>
    </x:row>
    <x:row r="78">
      <x:c r="A78" s="43" t="n">
        <x:v>77</x:v>
      </x:c>
      <x:c r="B78" s="43" t="str">
        <x:v>軒天 雨漏り</x:v>
      </x:c>
      <x:c r="C78" s="43" t="str">
        <x:v>軒天 雨漏り</x:v>
      </x:c>
      <x:c r="D78" s="43" t="str">
        <x:v>軒天の雨漏りはどこから？原因調査と補修方法を解説</x:v>
      </x:c>
      <x:c r="E78" s="43" t="str">
        <x:v>付帯部</x:v>
      </x:c>
      <x:c r="F78" s="43" t="str">
        <x:v>付帯部型</x:v>
      </x:c>
      <x:c r="G78" s="43" t="str">
        <x:v>4,500〜6,000字</x:v>
      </x:c>
      <x:c r="H78" s="43" t="str">
        <x:v>中</x:v>
      </x:c>
      <x:c r="I78" s="43" t="str">
        <x:v>第4ロット：雨樋・軒天・付帯部系</x:v>
      </x:c>
      <x:c r="J78" s="43" t="str">
        <x:v>付帯部系</x:v>
      </x:c>
      <x:c r="K78" s="43" t="str">
        <x:v>軒天 雨漏り
原因と修理方法</x:v>
      </x:c>
      <x:c r="L78" s="43" t="str">
        <x:v>soffit-leak</x:v>
      </x:c>
      <x:c r="M78" s="43" t="str">
        <x:v>soffit-leak.webp</x:v>
      </x:c>
      <x:c r="N78" s="43" t="str">
        <x:v>軒天 雨漏りについて、劣化症状、補修・塗装の判断基準、費用目安、外壁塗装と同時施工するメリットを解説します。</x:v>
      </x:c>
      <x:c r="O78" s="43" t="str">
        <x:v>付帯部</x:v>
      </x:c>
      <x:c r="P78" s="43" t="str">
        <x:v>雨漏り、軒天、付帯部</x:v>
      </x:c>
      <x:c r="Q78" s="43" t="str">
        <x:v>未着手</x:v>
      </x:c>
      <x:c r="R78" s="43" t="str">
        <x:v>未着手</x:v>
      </x:c>
      <x:c r="S78" s="43" t="str">
        <x:v>未着手</x:v>
      </x:c>
      <x:c r="T78" s="43" t="str">
        <x:v>未着手</x:v>
      </x:c>
      <x:c r="U78" s="43" t="str"/>
      <x:c r="V78" s="43" t="str">
        <x:v>関連：外壁塗装、雨樋、軒天、付帯部補修記事へリンク。</x:v>
      </x:c>
      <x:c r="W78" s="43" t="str"/>
      <x:c r="X78" s="44"/>
      <x:c r="Y78" s="44"/>
      <x:c r="Z78" s="44"/>
    </x:row>
    <x:row r="79">
      <x:c r="A79" s="43" t="n">
        <x:v>78</x:v>
      </x:c>
      <x:c r="B79" s="43" t="str">
        <x:v>軒天 塗装 費用</x:v>
      </x:c>
      <x:c r="C79" s="43" t="str">
        <x:v>軒天 塗装 費用</x:v>
      </x:c>
      <x:c r="D79" s="43" t="str">
        <x:v>軒天塗装の費用相場はいくら？単価・足場代・注意点</x:v>
      </x:c>
      <x:c r="E79" s="43" t="str">
        <x:v>付帯部</x:v>
      </x:c>
      <x:c r="F79" s="43" t="str">
        <x:v>費用・相場型</x:v>
      </x:c>
      <x:c r="G79" s="43" t="str">
        <x:v>4,500〜6,000字</x:v>
      </x:c>
      <x:c r="H79" s="43" t="str">
        <x:v>中</x:v>
      </x:c>
      <x:c r="I79" s="43" t="str">
        <x:v>第4ロット：雨樋・軒天・付帯部系</x:v>
      </x:c>
      <x:c r="J79" s="43" t="str">
        <x:v>付帯部系</x:v>
      </x:c>
      <x:c r="K79" s="43" t="str">
        <x:v>軒天 塗装 費用
相場と注意点を解説</x:v>
      </x:c>
      <x:c r="L79" s="43" t="str">
        <x:v>soffit-paint-cost</x:v>
      </x:c>
      <x:c r="M79" s="43" t="str">
        <x:v>soffit-paint-cost.webp</x:v>
      </x:c>
      <x:c r="N79" s="43" t="str">
        <x:v>軒天 塗装 費用について、費用相場、内訳、金額が変わる要因、見積もり時の注意点をわかりやすく解説します。</x:v>
      </x:c>
      <x:c r="O79" s="43" t="str">
        <x:v>付帯部</x:v>
      </x:c>
      <x:c r="P79" s="43" t="str">
        <x:v>軒天、費用、付帯部</x:v>
      </x:c>
      <x:c r="Q79" s="43" t="str">
        <x:v>未着手</x:v>
      </x:c>
      <x:c r="R79" s="43" t="str">
        <x:v>未着手</x:v>
      </x:c>
      <x:c r="S79" s="43" t="str">
        <x:v>未着手</x:v>
      </x:c>
      <x:c r="T79" s="43" t="str">
        <x:v>未着手</x:v>
      </x:c>
      <x:c r="U79" s="43" t="str"/>
      <x:c r="V79" s="43" t="str">
        <x:v>関連：外壁塗装、雨樋、軒天、付帯部補修記事へリンク。</x:v>
      </x:c>
      <x:c r="W79" s="43" t="str"/>
      <x:c r="X79" s="44"/>
      <x:c r="Y79" s="44"/>
      <x:c r="Z79" s="44"/>
    </x:row>
    <x:row r="80">
      <x:c r="A80" s="43" t="n">
        <x:v>79</x:v>
      </x:c>
      <x:c r="B80" s="43" t="str">
        <x:v>軒天 補修</x:v>
      </x:c>
      <x:c r="C80" s="43" t="str">
        <x:v>軒天 補修</x:v>
      </x:c>
      <x:c r="D80" s="43" t="str">
        <x:v>軒天補修の方法とは？剥がれ・シミ・雨漏り症状別に解説</x:v>
      </x:c>
      <x:c r="E80" s="43" t="str">
        <x:v>付帯部</x:v>
      </x:c>
      <x:c r="F80" s="43" t="str">
        <x:v>付帯部型</x:v>
      </x:c>
      <x:c r="G80" s="43" t="str">
        <x:v>4,500〜6,000字</x:v>
      </x:c>
      <x:c r="H80" s="43" t="str">
        <x:v>中</x:v>
      </x:c>
      <x:c r="I80" s="43" t="str">
        <x:v>第4ロット：雨樋・軒天・付帯部系</x:v>
      </x:c>
      <x:c r="J80" s="43" t="str">
        <x:v>付帯部系</x:v>
      </x:c>
      <x:c r="K80" s="43" t="str">
        <x:v>軒天 補修
ポイントを解説</x:v>
      </x:c>
      <x:c r="L80" s="43" t="str">
        <x:v>soffit-repair</x:v>
      </x:c>
      <x:c r="M80" s="43" t="str">
        <x:v>soffit-repair.webp</x:v>
      </x:c>
      <x:c r="N80" s="43" t="str">
        <x:v>軒天 補修について、劣化症状、補修・塗装の判断基準、費用目安、外壁塗装と同時施工するメリットを解説します。</x:v>
      </x:c>
      <x:c r="O80" s="43" t="str">
        <x:v>付帯部</x:v>
      </x:c>
      <x:c r="P80" s="43" t="str">
        <x:v>軒天、付帯部</x:v>
      </x:c>
      <x:c r="Q80" s="43" t="str">
        <x:v>未着手</x:v>
      </x:c>
      <x:c r="R80" s="43" t="str">
        <x:v>未着手</x:v>
      </x:c>
      <x:c r="S80" s="43" t="str">
        <x:v>未着手</x:v>
      </x:c>
      <x:c r="T80" s="43" t="str">
        <x:v>未着手</x:v>
      </x:c>
      <x:c r="U80" s="43" t="str"/>
      <x:c r="V80" s="43" t="str">
        <x:v>関連：外壁塗装、雨樋、軒天、付帯部補修記事へリンク。</x:v>
      </x:c>
      <x:c r="W80" s="43" t="str"/>
      <x:c r="X80" s="44"/>
      <x:c r="Y80" s="44"/>
      <x:c r="Z80" s="44"/>
    </x:row>
    <x:row r="81">
      <x:c r="A81" s="43" t="n">
        <x:v>80</x:v>
      </x:c>
      <x:c r="B81" s="43" t="str">
        <x:v>軒天 材料 種類</x:v>
      </x:c>
      <x:c r="C81" s="43" t="str">
        <x:v>軒天 材料 種類</x:v>
      </x:c>
      <x:c r="D81" s="43" t="str">
        <x:v>軒天の材料には何がある？種類・特徴・選び方を解説</x:v>
      </x:c>
      <x:c r="E81" s="43" t="str">
        <x:v>付帯部</x:v>
      </x:c>
      <x:c r="F81" s="43" t="str">
        <x:v>付帯部型</x:v>
      </x:c>
      <x:c r="G81" s="43" t="str">
        <x:v>4,500〜6,000字</x:v>
      </x:c>
      <x:c r="H81" s="43" t="str">
        <x:v>中</x:v>
      </x:c>
      <x:c r="I81" s="43" t="str">
        <x:v>第4ロット：雨樋・軒天・付帯部系</x:v>
      </x:c>
      <x:c r="J81" s="43" t="str">
        <x:v>付帯部系</x:v>
      </x:c>
      <x:c r="K81" s="43" t="str">
        <x:v>軒天 材料 種類
ポイントを解説</x:v>
      </x:c>
      <x:c r="L81" s="43" t="str">
        <x:v>soffit-material-types</x:v>
      </x:c>
      <x:c r="M81" s="43" t="str">
        <x:v>soffit-material-types.webp</x:v>
      </x:c>
      <x:c r="N81" s="43" t="str">
        <x:v>軒天 材料 種類について、劣化症状、補修・塗装の判断基準、費用目安、外壁塗装と同時施工するメリットを解説します。</x:v>
      </x:c>
      <x:c r="O81" s="43" t="str">
        <x:v>付帯部</x:v>
      </x:c>
      <x:c r="P81" s="43" t="str">
        <x:v>軒天、付帯部</x:v>
      </x:c>
      <x:c r="Q81" s="43" t="str">
        <x:v>未着手</x:v>
      </x:c>
      <x:c r="R81" s="43" t="str">
        <x:v>未着手</x:v>
      </x:c>
      <x:c r="S81" s="43" t="str">
        <x:v>未着手</x:v>
      </x:c>
      <x:c r="T81" s="43" t="str">
        <x:v>未着手</x:v>
      </x:c>
      <x:c r="U81" s="43" t="str"/>
      <x:c r="V81" s="43" t="str">
        <x:v>関連：外壁塗装、雨樋、軒天、付帯部補修記事へリンク。</x:v>
      </x:c>
      <x:c r="W81" s="43" t="str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dataValidations count="5">
    <x:dataValidation type="list" sqref="Q2:Q81">
      <x:formula1>"未着手,構成中,本文作成中,校正中,アイキャッチ作成中,WP入稿中,確認待ち,完了"</x:formula1>
    </x:dataValidation>
    <x:dataValidation type="list" sqref="R2:R81">
      <x:formula1>"未着手,作業中,完了,確認待ち,差戻し"</x:formula1>
    </x:dataValidation>
    <x:dataValidation type="list" sqref="S2:S81">
      <x:formula1>"未着手,作業中,完了,確認待ち,差戻し"</x:formula1>
    </x:dataValidation>
    <x:dataValidation type="list" sqref="T2:T81">
      <x:formula1>"未着手,作業中,完了,確認待ち,差戻し"</x:formula1>
    </x:dataValidation>
    <x:dataValidation type="list" sqref="H2:H8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f8a49cfa824b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</x:cols>
  <x:sheetData>
    <x:row r="1">
      <x:c r="A1" s="56" t="str">
        <x:v>区分</x:v>
      </x:c>
      <x:c r="B1" s="56" t="str">
        <x:v>値</x:v>
      </x:c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57" t="str">
        <x:v>制作ステータス</x:v>
      </x:c>
      <x:c r="B2" s="57" t="str">
        <x:v>未着手</x:v>
      </x:c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57" t="str">
        <x:v>制作ステータス</x:v>
      </x:c>
      <x:c r="B3" s="57" t="str">
        <x:v>構成中</x:v>
      </x:c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57" t="str">
        <x:v>制作ステータス</x:v>
      </x:c>
      <x:c r="B4" s="57" t="str">
        <x:v>本文作成中</x:v>
      </x:c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57" t="str">
        <x:v>制作ステータス</x:v>
      </x:c>
      <x:c r="B5" s="57" t="str">
        <x:v>校正中</x:v>
      </x:c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57" t="str">
        <x:v>制作ステータス</x:v>
      </x:c>
      <x:c r="B6" s="57" t="str">
        <x:v>アイキャッチ作成中</x:v>
      </x:c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57" t="str">
        <x:v>制作ステータス</x:v>
      </x:c>
      <x:c r="B7" s="57" t="str">
        <x:v>WP入稿中</x:v>
      </x:c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57" t="str">
        <x:v>制作ステータス</x:v>
      </x:c>
      <x:c r="B8" s="57" t="str">
        <x:v>確認待ち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57" t="str">
        <x:v>制作ステータス</x:v>
      </x:c>
      <x:c r="B9" s="57" t="str">
        <x:v>完了</x:v>
      </x:c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57" t="str">
        <x:v>優先度</x:v>
      </x:c>
      <x:c r="B10" s="57" t="str">
        <x:v>高</x:v>
      </x:c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57" t="str">
        <x:v>優先度</x:v>
      </x:c>
      <x:c r="B11" s="57" t="str">
        <x:v>中</x:v>
      </x:c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57" t="str">
        <x:v>優先度</x:v>
      </x:c>
      <x:c r="B12" s="57" t="str">
        <x:v>低</x:v>
      </x:c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57" t="str">
        <x:v>記事タイプ</x:v>
      </x:c>
      <x:c r="B13" s="57" t="str">
        <x:v>地域サービス型</x:v>
      </x:c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57" t="str">
        <x:v>記事タイプ</x:v>
      </x:c>
      <x:c r="B14" s="57" t="str">
        <x:v>原因・症状型</x:v>
      </x:c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57" t="str">
        <x:v>記事タイプ</x:v>
      </x:c>
      <x:c r="B15" s="57" t="str">
        <x:v>費用・相場型</x:v>
      </x:c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57" t="str">
        <x:v>記事タイプ</x:v>
      </x:c>
      <x:c r="B16" s="57" t="str">
        <x:v>屋根材注意型</x:v>
      </x:c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57" t="str">
        <x:v>記事タイプ</x:v>
      </x:c>
      <x:c r="B17" s="57" t="str">
        <x:v>防水・シーリング型</x:v>
      </x:c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57" t="str">
        <x:v>記事タイプ</x:v>
      </x:c>
      <x:c r="B18" s="57" t="str">
        <x:v>季節・時期型</x:v>
      </x:c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57" t="str">
        <x:v>記事タイプ</x:v>
      </x:c>
      <x:c r="B19" s="57" t="str">
        <x:v>ハウスメーカー型</x:v>
      </x:c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57" t="str">
        <x:v>記事タイプ</x:v>
      </x:c>
      <x:c r="B20" s="57" t="str">
        <x:v>付帯部型</x:v>
      </x:c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57" t="str">
        <x:v>アイキャッチ型</x:v>
      </x:c>
      <x:c r="B21" s="57" t="str">
        <x:v>雨漏り系</x:v>
      </x:c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57" t="str">
        <x:v>アイキャッチ型</x:v>
      </x:c>
      <x:c r="B22" s="57" t="str">
        <x:v>屋根修理系</x:v>
      </x:c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57" t="str">
        <x:v>アイキャッチ型</x:v>
      </x:c>
      <x:c r="B23" s="57" t="str">
        <x:v>防水系</x:v>
      </x:c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57" t="str">
        <x:v>アイキャッチ型</x:v>
      </x:c>
      <x:c r="B24" s="57" t="str">
        <x:v>外壁塗装系</x:v>
      </x:c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57" t="str">
        <x:v>アイキャッチ型</x:v>
      </x:c>
      <x:c r="B25" s="57" t="str">
        <x:v>付帯部系</x:v>
      </x:c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57" t="str">
        <x:v>工程ステータス</x:v>
      </x:c>
      <x:c r="B26" s="57" t="str">
        <x:v>未着手</x:v>
      </x:c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57" t="str">
        <x:v>工程ステータス</x:v>
      </x:c>
      <x:c r="B27" s="57" t="str">
        <x:v>作業中</x:v>
      </x:c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57" t="str">
        <x:v>工程ステータス</x:v>
      </x:c>
      <x:c r="B28" s="57" t="str">
        <x:v>完了</x:v>
      </x:c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57" t="str">
        <x:v>工程ステータス</x:v>
      </x:c>
      <x:c r="B29" s="57" t="str">
        <x:v>確認待ち</x:v>
      </x:c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57" t="str">
        <x:v>工程ステータス</x:v>
      </x:c>
      <x:c r="B30" s="57" t="str">
        <x:v>差戻し</x:v>
      </x:c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pageMargins left="0.7" right="0.7" top="0.75" bottom="0.75" header="0.3" footer="0.3"/>
  <x:tableParts count="1">
    <x:tablePart xmlns:r="http://schemas.openxmlformats.org/officeDocument/2006/relationships" r:id="R691af6326efd48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34" hidden="0" customWidth="1"/>
    <x:col min="5" max="5" width="18" hidden="0" customWidth="1"/>
    <x:col min="6" max="6" width="42" hidden="0" customWidth="1"/>
  </x:cols>
  <x:sheetData>
    <x:row r="1" ht="30" customHeight="1">
      <x:c r="A1" s="54" t="str">
        <x:v>アイキャッチ型</x:v>
      </x:c>
      <x:c r="B1" s="54" t="str">
        <x:v>主な対象記事</x:v>
      </x:c>
      <x:c r="C1" s="54" t="str">
        <x:v>デザイン方向性</x:v>
      </x:c>
      <x:c r="D1" s="54" t="str">
        <x:v>画像内テキスト例</x:v>
      </x:c>
      <x:c r="E1" s="54" t="str">
        <x:v>色味</x:v>
      </x:c>
      <x:c r="F1" s="54" t="str">
        <x:v>運用メモ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雨漏り系</x:v>
      </x:c>
      <x:c r="B2" s="43" t="str">
        <x:v>雨漏り修理・調査・診断・原因・火災保険</x:v>
      </x:c>
      <x:c r="C2" s="43" t="str">
        <x:v>雨粒、天井のシミ、家の断面、虫眼鏡。原因調査感を出す。</x:v>
      </x:c>
      <x:c r="D2" s="43" t="str">
        <x:v>松山市の雨漏り修理
原因調査から費用まで解説</x:v>
      </x:c>
      <x:c r="E2" s="43" t="str">
        <x:v>青・紺・グレー</x:v>
      </x:c>
      <x:c r="F2" s="43" t="str">
        <x:v>緊急感は出しすぎず、早期相談・原因特定を訴求。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屋根修理系</x:v>
      </x:c>
      <x:c r="B3" s="43" t="str">
        <x:v>屋根修理・棟板金・谷板金・瓦・屋根材・屋根カバー</x:v>
      </x:c>
      <x:c r="C3" s="43" t="str">
        <x:v>屋根全体、職人、板金、瓦、屋根材の断面。</x:v>
      </x:c>
      <x:c r="D3" s="43" t="str">
        <x:v>松山市の屋根修理
症状別の対処法を解説</x:v>
      </x:c>
      <x:c r="E3" s="43" t="str">
        <x:v>ネイビー・グリーン・グレー</x:v>
      </x:c>
      <x:c r="F3" s="43" t="str">
        <x:v>屋根材注意記事では「塗装できるか判断」を強調。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防水系</x:v>
      </x:c>
      <x:c r="B4" s="43" t="str">
        <x:v>ベランダ防水・FRP防水・ウレタン防水・シーリング</x:v>
      </x:c>
      <x:c r="C4" s="43" t="str">
        <x:v>防水層、ベランダ床、シーリング目地、水をはじく表現。</x:v>
      </x:c>
      <x:c r="D4" s="43" t="str">
        <x:v>ベランダ防水の費用
工法別の相場と注意点</x:v>
      </x:c>
      <x:c r="E4" s="43" t="str">
        <x:v>水色・白・ネイビー</x:v>
      </x:c>
      <x:c r="F4" s="43" t="str">
        <x:v>費用表・工法比較との相性を重視。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外壁塗装系</x:v>
      </x:c>
      <x:c r="B5" s="43" t="str">
        <x:v>ハウスメーカー・外壁塗装の季節・工期・足場代</x:v>
      </x:c>
      <x:c r="C5" s="43" t="str">
        <x:v>塗装中の住宅、塗料缶、ローラー、カラーチャート。</x:v>
      </x:c>
      <x:c r="D5" s="43" t="str">
        <x:v>外壁塗装の工期
工程と日数を解説</x:v>
      </x:c>
      <x:c r="E5" s="43" t="str">
        <x:v>白・青・グリーン</x:v>
      </x:c>
      <x:c r="F5" s="43" t="str">
        <x:v>公式・提携誤認を避ける。中立的な解説画像にする。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付帯部系</x:v>
      </x:c>
      <x:c r="B6" s="43" t="str">
        <x:v>雨樋・軒天・幕板・付帯部補修</x:v>
      </x:c>
      <x:c r="C6" s="43" t="str">
        <x:v>住宅外装パーツ、部位アイコン、雨樋・軒天の強調。</x:v>
      </x:c>
      <x:c r="D6" s="43" t="str">
        <x:v>雨樋の劣化症状
塗装・交換の判断ポイント</x:v>
      </x:c>
      <x:c r="E6" s="43" t="str">
        <x:v>ベージュ・グレー・紺</x:v>
      </x:c>
      <x:c r="F6" s="43" t="str">
        <x:v>似た記事が多いため、部位名を画像内で明確に出す。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pageMargins left="0.7" right="0.7" top="0.75" bottom="0.75" header="0.3" footer="0.3"/>
  <x:tableParts count="1">
    <x:tablePart xmlns:r="http://schemas.openxmlformats.org/officeDocument/2006/relationships" r:id="R58225f63f2e848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4" hidden="0" customWidth="1"/>
    <x:col min="4" max="4" width="36" hidden="0" customWidth="1"/>
    <x:col min="5" max="5" width="42" hidden="0" customWidth="1"/>
  </x:cols>
  <x:sheetData>
    <x:row r="1" ht="30" customHeight="1">
      <x:c r="A1" s="54" t="str">
        <x:v>記事タイプ</x:v>
      </x:c>
      <x:c r="B1" s="54" t="str">
        <x:v>対象KW例</x:v>
      </x:c>
      <x:c r="C1" s="54" t="str">
        <x:v>基本構成</x:v>
      </x:c>
      <x:c r="D1" s="54" t="str">
        <x:v>CTA方針</x:v>
      </x:c>
      <x:c r="E1" s="54" t="str">
        <x:v>注意点</x:v>
      </x:c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地域サービス型</x:v>
      </x:c>
      <x:c r="B2" s="43" t="str">
        <x:v>松山市 雨漏り修理／松山市 屋根修理</x:v>
      </x:c>
      <x:c r="C2" s="43" t="str">
        <x:v>導入→症状→原因→費用→修理方法→業者選び→FAQ→まとめ</x:v>
      </x:c>
      <x:c r="D2" s="43" t="str">
        <x:v>無料診断・無料見積もりへ自然につなげる</x:v>
      </x:c>
      <x:c r="E2" s="43" t="str">
        <x:v>地域密着感を出しつつ、費用は断定しない。</x:v>
      </x:c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原因・症状型</x:v>
      </x:c>
      <x:c r="B3" s="43" t="str">
        <x:v>外壁から雨漏りする原因／軒天 シミ 原因</x:v>
      </x:c>
      <x:c r="C3" s="43" t="str">
        <x:v>導入→症状→原因→放置リスク→確認ポイント→補修方法→FAQ→まとめ</x:v>
      </x:c>
      <x:c r="D3" s="43" t="str">
        <x:v>自己判断のリスク→現地調査の必要性</x:v>
      </x:c>
      <x:c r="E3" s="43" t="str">
        <x:v>不安を過度にあおらず、早期確認を促す。</x:v>
      </x:c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費用・相場型</x:v>
      </x:c>
      <x:c r="B4" s="43" t="str">
        <x:v>雨漏り修理費用／シーリング打ち替え費用</x:v>
      </x:c>
      <x:c r="C4" s="43" t="str">
        <x:v>導入→費用表→内訳→高くなるケース→見積もり確認→FAQ→まとめ</x:v>
      </x:c>
      <x:c r="D4" s="43" t="str">
        <x:v>正確な費用は現地調査後の見積もりへ</x:v>
      </x:c>
      <x:c r="E4" s="43" t="str">
        <x:v>費用表は目安表現にする。</x:v>
      </x:c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屋根材注意型</x:v>
      </x:c>
      <x:c r="B5" s="43" t="str">
        <x:v>パミール屋根／コロニアルNEO／屋根塗装しない方がいい屋根</x:v>
      </x:c>
      <x:c r="C5" s="43" t="str">
        <x:v>導入→屋根材特徴→劣化症状→塗装可否→対策→費用→FAQ→まとめ</x:v>
      </x:c>
      <x:c r="D5" s="43" t="str">
        <x:v>塗れるかどうかの診断を訴求</x:v>
      </x:c>
      <x:c r="E5" s="43" t="str">
        <x:v>メーカー・製品への断定的批判を避ける。</x:v>
      </x:c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季節・時期型</x:v>
      </x:c>
      <x:c r="B6" s="43" t="str">
        <x:v>外壁塗装 梅雨／冬／夏／台風前</x:v>
      </x:c>
      <x:c r="C6" s="43" t="str">
        <x:v>導入→施工可否→注意点→工程への影響→依頼時の確認事項→FAQ→まとめ</x:v>
      </x:c>
      <x:c r="D6" s="43" t="str">
        <x:v>天候判断や工程管理は専門業者に相談</x:v>
      </x:c>
      <x:c r="E6" s="43" t="str">
        <x:v>地域の気候を自然に入れる。</x:v>
      </x:c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ハウスメーカー型</x:v>
      </x:c>
      <x:c r="B7" s="43" t="str">
        <x:v>パナソニックホームズ 外壁塗装 松山市</x:v>
      </x:c>
      <x:c r="C7" s="43" t="str">
        <x:v>導入→住宅の特徴→外壁材確認→地元業者との違い→費用→FAQ→まとめ</x:v>
      </x:c>
      <x:c r="D7" s="43" t="str">
        <x:v>外壁診断・見積もり相談へつなげる</x:v>
      </x:c>
      <x:c r="E7" s="43" t="str">
        <x:v>公式・提携・認定と誤認される表現を避ける。</x:v>
      </x:c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付帯部型</x:v>
      </x:c>
      <x:c r="B8" s="43" t="str">
        <x:v>雨樋／軒天／幕板</x:v>
      </x:c>
      <x:c r="C8" s="43" t="str">
        <x:v>導入→劣化症状→補修方法→費用→外壁塗装同時施工→FAQ→まとめ</x:v>
      </x:c>
      <x:c r="D8" s="43" t="str">
        <x:v>外壁塗装と同時施工で足場代を抑えやすいと訴求</x:v>
      </x:c>
      <x:c r="E8" s="43" t="str">
        <x:v>部位ごとの差別化を明確にする。</x:v>
      </x:c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</x:sheetData>
  <x:pageMargins left="0.7" right="0.7" top="0.75" bottom="0.75" header="0.3" footer="0.3"/>
  <x:tableParts count="1">
    <x:tablePart xmlns:r="http://schemas.openxmlformats.org/officeDocument/2006/relationships" r:id="R2670abb55f29449c"/>
  </x:tableParts>
</x:worksheet>
</file>