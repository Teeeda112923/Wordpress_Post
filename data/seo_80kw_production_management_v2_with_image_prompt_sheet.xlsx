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icen\Downloads\"/>
    </mc:Choice>
  </mc:AlternateContent>
  <xr:revisionPtr revIDLastSave="0" documentId="13_ncr:1_{75C82363-22B1-4709-9289-145E1685D0D5}" xr6:coauthVersionLast="47" xr6:coauthVersionMax="47" xr10:uidLastSave="{00000000-0000-0000-0000-000000000000}"/>
  <bookViews>
    <workbookView xWindow="-120" yWindow="-120" windowWidth="29040" windowHeight="15720" activeTab="1" xr2:uid="{00000000-000D-0000-FFFF-FFFF00000000}"/>
  </bookViews>
  <sheets>
    <sheet name="ダッシュボード" sheetId="1" r:id="rId1"/>
    <sheet name="制作管理表" sheetId="2" r:id="rId2"/>
    <sheet name="アイキャッチ制作指示" sheetId="3" r:id="rId3"/>
    <sheet name="記事制作ルール" sheetId="4" r:id="rId4"/>
    <sheet name="設定" sheetId="5" r:id="rId5"/>
    <sheet name="投稿結果ログ" sheetId="6" r:id="rId6"/>
    <sheet name="Claude連携メモ" sheetId="7" r:id="rId7"/>
    <sheet name="旧管理表バックアップ" sheetId="8" r:id="rId8"/>
    <sheet name="画像生成共通プロンプト" sheetId="9" r:id="rId9"/>
    <sheet name="画像生成プロンプト一覧"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E13" i="1"/>
  <c r="D13" i="1"/>
  <c r="C13" i="1"/>
  <c r="B13" i="1"/>
  <c r="F12" i="1"/>
  <c r="E12" i="1"/>
  <c r="D12" i="1"/>
  <c r="C12" i="1"/>
  <c r="B12" i="1"/>
  <c r="F11" i="1"/>
  <c r="E11" i="1"/>
  <c r="D11" i="1"/>
  <c r="C11" i="1"/>
  <c r="B11" i="1"/>
  <c r="F10" i="1"/>
  <c r="E10" i="1"/>
  <c r="D10" i="1"/>
  <c r="C10" i="1"/>
  <c r="B10" i="1"/>
  <c r="F7" i="1"/>
  <c r="B7" i="1"/>
  <c r="F6" i="1"/>
  <c r="B6" i="1"/>
  <c r="F5" i="1"/>
  <c r="B5" i="1"/>
  <c r="F4" i="1"/>
  <c r="B4" i="1"/>
</calcChain>
</file>

<file path=xl/sharedStrings.xml><?xml version="1.0" encoding="utf-8"?>
<sst xmlns="http://schemas.openxmlformats.org/spreadsheetml/2006/main" count="6836" uniqueCount="1534">
  <si>
    <t>SEO 80KW 制作・投稿管理ダッシュボード</t>
  </si>
  <si>
    <t>更新日時</t>
  </si>
  <si>
    <t>2026-06-26 08:25</t>
  </si>
  <si>
    <t>KPI</t>
  </si>
  <si>
    <t>件数</t>
  </si>
  <si>
    <t>メモ</t>
  </si>
  <si>
    <t>ステータス別</t>
  </si>
  <si>
    <t>総KW数</t>
  </si>
  <si>
    <t>管理対象の総数</t>
  </si>
  <si>
    <t>記事制作：完了</t>
  </si>
  <si>
    <t>要再編集</t>
  </si>
  <si>
    <t>記事作り直し対象</t>
  </si>
  <si>
    <t>画像：完了</t>
  </si>
  <si>
    <t>画像差替必要</t>
  </si>
  <si>
    <t>アイキャッチ作り直し対象</t>
  </si>
  <si>
    <t>投稿：下書き投稿済</t>
  </si>
  <si>
    <t>投稿エラー</t>
  </si>
  <si>
    <t>Actions結果を反映</t>
  </si>
  <si>
    <t>文字数OK</t>
  </si>
  <si>
    <t>ロット</t>
  </si>
  <si>
    <t>総数</t>
  </si>
  <si>
    <t>記事完了</t>
  </si>
  <si>
    <t>画像完了</t>
  </si>
  <si>
    <t>投稿済/更新済</t>
  </si>
  <si>
    <t>エラー</t>
  </si>
  <si>
    <t>第1ロット：雨漏り系</t>
  </si>
  <si>
    <t>第2ロット：屋根修理・屋根材系</t>
  </si>
  <si>
    <t>第3ロット：外壁塗装・防水系</t>
  </si>
  <si>
    <t>第4ロット：雨樋・軒天・付帯部系</t>
  </si>
  <si>
    <t>次にやること</t>
  </si>
  <si>
    <t>1. 制作管理表で対象Noを選ぶ</t>
  </si>
  <si>
    <t>2. MD記事作成</t>
  </si>
  <si>
    <t>3. アイキャッチ作成</t>
  </si>
  <si>
    <t>4. GitHub反映</t>
  </si>
  <si>
    <t>5. dry-run→draft投稿</t>
  </si>
  <si>
    <t>No</t>
  </si>
  <si>
    <t>指定KW</t>
  </si>
  <si>
    <t>管理KW</t>
  </si>
  <si>
    <t>記事タイトル案</t>
  </si>
  <si>
    <t>記事カテゴリ</t>
  </si>
  <si>
    <t>記事タイプ</t>
  </si>
  <si>
    <t>記事構成型</t>
  </si>
  <si>
    <t>文字数目安</t>
  </si>
  <si>
    <t>文字数下限</t>
  </si>
  <si>
    <t>文字数上限</t>
  </si>
  <si>
    <t>優先度</t>
  </si>
  <si>
    <t>記事ファイル名</t>
  </si>
  <si>
    <t>画像ファイル名</t>
  </si>
  <si>
    <t>スラッグ</t>
  </si>
  <si>
    <t>メタディスクリプション案</t>
  </si>
  <si>
    <t>WPカテゴリ</t>
  </si>
  <si>
    <t>タグ案</t>
  </si>
  <si>
    <t>主訴求サービス</t>
  </si>
  <si>
    <t>CTAタイプ</t>
  </si>
  <si>
    <t>CTA文</t>
  </si>
  <si>
    <t>アイキャッチ主コピー</t>
  </si>
  <si>
    <t>アイキャッチサブコピー</t>
  </si>
  <si>
    <t>アイキャッチ補助コピー</t>
  </si>
  <si>
    <t>背景モチーフ</t>
  </si>
  <si>
    <t>人物モチーフ</t>
  </si>
  <si>
    <t>地域要素</t>
  </si>
  <si>
    <t>アイキャッチ方向性</t>
  </si>
  <si>
    <t>記事制作ステータス</t>
  </si>
  <si>
    <t>画像制作ステータス</t>
  </si>
  <si>
    <t>GitHub反映ステータス</t>
  </si>
  <si>
    <t>投稿ステータス</t>
  </si>
  <si>
    <t>最終実行モード</t>
  </si>
  <si>
    <t>WP投稿ID</t>
  </si>
  <si>
    <t>WP投稿URL</t>
  </si>
  <si>
    <t>最終投稿日時</t>
  </si>
  <si>
    <t>最終更新日時</t>
  </si>
  <si>
    <t>文字数実績</t>
  </si>
  <si>
    <t>文字数判定</t>
  </si>
  <si>
    <t>エラー内容</t>
  </si>
  <si>
    <t>内部リンク方針</t>
  </si>
  <si>
    <t>砂田塗装型チェック</t>
  </si>
  <si>
    <t>備考</t>
  </si>
  <si>
    <t>松山市 雨漏り修理</t>
  </si>
  <si>
    <t>松山市で雨漏り修理を依頼するなら？原因調査・費用・業者選びを解説</t>
  </si>
  <si>
    <t>雨漏り</t>
  </si>
  <si>
    <t>地域サービス型</t>
  </si>
  <si>
    <t>4,500〜6,500字</t>
  </si>
  <si>
    <t>高</t>
  </si>
  <si>
    <t>001.md</t>
  </si>
  <si>
    <t>001.webp</t>
  </si>
  <si>
    <t>matsuyama-leak-repair</t>
  </si>
  <si>
    <t>松山市 雨漏り修理について、主な原因、放置リスク、修理方法、業者選びのポイントを松山市で検討中の方向けに解説します。</t>
  </si>
  <si>
    <t>雨漏り修理</t>
  </si>
  <si>
    <t>松山市、雨漏り、雨漏り修理</t>
  </si>
  <si>
    <t>雨漏り無料点検・無料見積り</t>
  </si>
  <si>
    <t>雨漏り無料点検CTA</t>
  </si>
  <si>
    <t>松山市で雨漏りが気になる方は、まずは無料点検・無料見積りをご利用ください。原因を確認し、必要な工事だけをご提案します。</t>
  </si>
  <si>
    <t>松山市の雨漏り修理</t>
  </si>
  <si>
    <t>原因・費用・業者選びをプロが解説</t>
  </si>
  <si>
    <t>無料点検受付中</t>
  </si>
  <si>
    <t>天井シミ・雨だれ・屋根点検</t>
  </si>
  <si>
    <t>ヘルメットの職人</t>
  </si>
  <si>
    <t>松山市版</t>
  </si>
  <si>
    <t>強めサムネ・雨漏り訴求</t>
  </si>
  <si>
    <t>画像確認済み</t>
  </si>
  <si>
    <t>要反映</t>
  </si>
  <si>
    <t>posted</t>
  </si>
  <si>
    <t>post/create_only</t>
  </si>
  <si>
    <t>https://www.sunadatosou.com/?p=21921</t>
  </si>
  <si>
    <t>2026-06-27 16:59:20</t>
  </si>
  <si>
    <t>不足(目安4,500〜6,500字)</t>
  </si>
  <si>
    <t>中心記事「松山市の雨漏り修理」へリンク。関連：雨漏り費用・調査・屋根雨漏り。</t>
  </si>
  <si>
    <t>H1なし／この記事でわかること／地域事情／事例／原因・費用／CTA／FAQ</t>
  </si>
  <si>
    <t>松山市 雨漏り調査</t>
  </si>
  <si>
    <t>松山市の雨漏り調査とは？調査方法・費用・依頼前の注意点</t>
  </si>
  <si>
    <t>002.md</t>
  </si>
  <si>
    <t>002.webp</t>
  </si>
  <si>
    <t>matsuyama-leak-investigation</t>
  </si>
  <si>
    <t>松山市 雨漏り調査について、主な原因、放置リスク、修理方法、業者選びのポイントを松山市で検討中の方向けに解説します。</t>
  </si>
  <si>
    <t>写真付き劣化診断書</t>
  </si>
  <si>
    <t>写真付き診断CTA</t>
  </si>
  <si>
    <t>調査後は写真付きで劣化箇所を共有し、雨水の侵入口や修理範囲を分かりやすくご説明します。</t>
  </si>
  <si>
    <t>雨漏り調査は原因特定が命</t>
  </si>
  <si>
    <t>散水調査・写真付き診断を解説</t>
  </si>
  <si>
    <t>見えない侵入口を確認</t>
  </si>
  <si>
    <t>外壁ひび割れ・サッシ・虫眼鏡</t>
  </si>
  <si>
    <t>虫眼鏡を持つ職人</t>
  </si>
  <si>
    <t>調査訴求・原因特定</t>
  </si>
  <si>
    <t>https://www.sunadatosou.com/?p=21923</t>
  </si>
  <si>
    <t>2026-06-27 16:59:29</t>
  </si>
  <si>
    <t>松山市 雨漏り診断</t>
  </si>
  <si>
    <t>松山市の雨漏り診断でわかること｜原因特定と修理前の確認ポイント</t>
  </si>
  <si>
    <t>003.md</t>
  </si>
  <si>
    <t>003.webp</t>
  </si>
  <si>
    <t>matsuyama-leak-diagnosis</t>
  </si>
  <si>
    <t>松山市 雨漏り診断について、主な原因、放置リスク、修理方法、業者選びのポイントを松山市で検討中の方向けに解説します。</t>
  </si>
  <si>
    <t>外装劣化診断（無料現地調査）</t>
  </si>
  <si>
    <t>外装劣化診断CTA</t>
  </si>
  <si>
    <t>外壁・屋根・付帯部を無料現地調査し、今すぐ必要な工事と様子を見られる箇所を分けてご案内します。</t>
  </si>
  <si>
    <t>これって雨漏り？</t>
  </si>
  <si>
    <t>天井シミ・壁紙浮き・カビ臭を確認</t>
  </si>
  <si>
    <t>無料現地診断でチェック</t>
  </si>
  <si>
    <t>住宅外観・チェックリスト・雨染み</t>
  </si>
  <si>
    <t>困った住人＋職人</t>
  </si>
  <si>
    <t>診断訴求・不安解消</t>
  </si>
  <si>
    <t>https://www.sunadatosou.com/?p=21925</t>
  </si>
  <si>
    <t>2026-06-27 16:59:37</t>
  </si>
  <si>
    <t>松山市 雨漏り業者</t>
  </si>
  <si>
    <t>松山市で雨漏り業者を選ぶポイント｜失敗しない比較方法を解説</t>
  </si>
  <si>
    <t>業者選び型</t>
  </si>
  <si>
    <t>5,000〜7,000字</t>
  </si>
  <si>
    <t>004.md</t>
  </si>
  <si>
    <t>004.webp</t>
  </si>
  <si>
    <t>matsuyama-leak-contractor</t>
  </si>
  <si>
    <t>松山市 雨漏り業者について、主な原因、放置リスク、修理方法、業者選びのポイントを松山市で検討中の方向けに解説します。</t>
  </si>
  <si>
    <t>国家資格者診断・必要な工事だけ提案</t>
  </si>
  <si>
    <t>雨漏り業者の選び方</t>
  </si>
  <si>
    <t>安さだけで選ぶと危険!?</t>
  </si>
  <si>
    <t>見積り・保証・原因説明</t>
  </si>
  <si>
    <t>見積書・住宅外観・比較表</t>
  </si>
  <si>
    <t>考える住人＋職人</t>
  </si>
  <si>
    <t>業者選び訴求</t>
  </si>
  <si>
    <t>https://www.sunadatosou.com/?p=21927</t>
  </si>
  <si>
    <t>2026-06-27 16:59:46</t>
  </si>
  <si>
    <t>不足(目安5,000〜7,000字)</t>
  </si>
  <si>
    <t>松山市 雨漏り修理 費用</t>
  </si>
  <si>
    <t>松山市の雨漏り修理費用はいくら？相場・内訳・業者選びを解説</t>
  </si>
  <si>
    <t>費用・相場型</t>
  </si>
  <si>
    <t>005.md</t>
  </si>
  <si>
    <t>005.webp</t>
  </si>
  <si>
    <t>matsuyama-leak-repair-cost</t>
  </si>
  <si>
    <t>松山市 雨漏り修理 費用について、費用相場、内訳、金額が変わる要因、見積もり時の注意点をわかりやすく解説します。</t>
  </si>
  <si>
    <t>松山市、雨漏り、費用、雨漏り修理</t>
  </si>
  <si>
    <t>無料見積り・費用根拠の見える化</t>
  </si>
  <si>
    <t>無料見積りCTA</t>
  </si>
  <si>
    <t>費用は原因箇所や補修範囲で変わります。現地調査で状態を確認し、見積もりの根拠を写真付きでご説明します。</t>
  </si>
  <si>
    <t>雨漏り修理の費用はいくら？</t>
  </si>
  <si>
    <t>相場と内訳を職人が解説</t>
  </si>
  <si>
    <t>応急処置／屋根補修／防水工事</t>
  </si>
  <si>
    <t>見積書・天井シミ・屋根修理の現場</t>
  </si>
  <si>
    <t>不安そうな住人＋職人</t>
  </si>
  <si>
    <t>強めサムネ・費用訴求</t>
  </si>
  <si>
    <t>https://www.sunadatosou.com/?p=21929</t>
  </si>
  <si>
    <t>2026-06-27 16:59:54</t>
  </si>
  <si>
    <t>松山市 雨漏り 原因</t>
  </si>
  <si>
    <t>松山市で多い雨漏りの原因とは？屋根・外壁・ベランダ別に解説</t>
  </si>
  <si>
    <t>原因・症状解説型</t>
  </si>
  <si>
    <t>006.md</t>
  </si>
  <si>
    <t>006.webp</t>
  </si>
  <si>
    <t>matsuyama-leak-cause</t>
  </si>
  <si>
    <t>松山市 雨漏り 原因について、主な原因、放置リスク、修理方法、業者選びのポイントを松山市で検討中の方向けに解説します。</t>
  </si>
  <si>
    <t>雨漏り 原因の原因は？</t>
  </si>
  <si>
    <t>放置リスクと対処法を解説</t>
  </si>
  <si>
    <t>早めの確認が大切</t>
  </si>
  <si>
    <t>劣化箇所の拡大・雨染み・ひび割れ</t>
  </si>
  <si>
    <t>職人</t>
  </si>
  <si>
    <t>原因解説訴求</t>
  </si>
  <si>
    <t>未着手</t>
  </si>
  <si>
    <t>未反映</t>
  </si>
  <si>
    <t>https://www.sunadatosou.com/?p=21933</t>
  </si>
  <si>
    <t>2026-06-27 17:05:29</t>
  </si>
  <si>
    <t>松山市 ベランダ雨漏り</t>
  </si>
  <si>
    <t>松山市のベランダ雨漏りはなぜ起こる？原因・修理費用・防水対策</t>
  </si>
  <si>
    <t>007.md</t>
  </si>
  <si>
    <t>007.webp</t>
  </si>
  <si>
    <t>matsuyama-balcony-leak</t>
  </si>
  <si>
    <t>松山市 ベランダ雨漏りについて、主な原因、放置リスク、修理方法、業者選びのポイントを松山市で検討中の方向けに解説します。</t>
  </si>
  <si>
    <t>ベランダ雨漏り</t>
  </si>
  <si>
    <t>雨漏り前に防水状態をチェック</t>
  </si>
  <si>
    <t>費用・耐用年数を解説</t>
  </si>
  <si>
    <t>ベランダ床・防水層・排水口</t>
  </si>
  <si>
    <t>点検する職人</t>
  </si>
  <si>
    <t>防水訴求</t>
  </si>
  <si>
    <t>https://www.sunadatosou.com/?p=21935</t>
  </si>
  <si>
    <t>2026-06-27 17:05:38</t>
  </si>
  <si>
    <t>松山市 サッシ雨漏り</t>
  </si>
  <si>
    <t>松山市のサッシ雨漏りの原因とは？窓まわりの補修方法を解説</t>
  </si>
  <si>
    <t>008.md</t>
  </si>
  <si>
    <t>008.webp</t>
  </si>
  <si>
    <t>matsuyama-sash-leak</t>
  </si>
  <si>
    <t>松山市 サッシ雨漏りについて、主な原因、放置リスク、修理方法、業者選びのポイントを松山市で検討中の方向けに解説します。</t>
  </si>
  <si>
    <t>サッシ雨漏り</t>
  </si>
  <si>
    <t>症状・費用・注意点を解説</t>
  </si>
  <si>
    <t>プロが分かりやすく解説</t>
  </si>
  <si>
    <t>住宅外観・劣化箇所</t>
  </si>
  <si>
    <t>汎用外装訴求</t>
  </si>
  <si>
    <t>https://www.sunadatosou.com/?p=21937</t>
  </si>
  <si>
    <t>2026-06-27 17:05:45</t>
  </si>
  <si>
    <t>松山市 外壁雨漏り</t>
  </si>
  <si>
    <t>松山市の外壁雨漏りの原因と対策｜ひび割れ・シーリング劣化に注意</t>
  </si>
  <si>
    <t>009.md</t>
  </si>
  <si>
    <t>009.webp</t>
  </si>
  <si>
    <t>matsuyama-exterior-wall-leak</t>
  </si>
  <si>
    <t>松山市 外壁雨漏りについて、主な原因、放置リスク、修理方法、業者選びのポイントを松山市で検討中の方向けに解説します。</t>
  </si>
  <si>
    <t>外壁雨漏り</t>
  </si>
  <si>
    <t>https://www.sunadatosou.com/?p=21939</t>
  </si>
  <si>
    <t>2026-06-27 17:05:53</t>
  </si>
  <si>
    <t>松山市 屋根雨漏り</t>
  </si>
  <si>
    <t>松山市の屋根雨漏りは早めの修理が重要｜原因・費用・業者選び</t>
  </si>
  <si>
    <t>010.md</t>
  </si>
  <si>
    <t>010.webp</t>
  </si>
  <si>
    <t>matsuyama-roof-leak</t>
  </si>
  <si>
    <t>松山市 屋根雨漏りについて、主な原因、放置リスク、修理方法、業者選びのポイントを松山市で検討中の方向けに解説します。</t>
  </si>
  <si>
    <t>屋根雨漏り</t>
  </si>
  <si>
    <t>雨漏り前に劣化を確認</t>
  </si>
  <si>
    <t>屋根点検・修理方法を解説</t>
  </si>
  <si>
    <t>屋根材・瓦・板金・雨空</t>
  </si>
  <si>
    <t>屋根を点検する職人</t>
  </si>
  <si>
    <t>屋根修理訴求</t>
  </si>
  <si>
    <t>https://www.sunadatosou.com/?p=21941</t>
  </si>
  <si>
    <t>2026-06-27 17:06:01</t>
  </si>
  <si>
    <t>松山市 屋根修理</t>
  </si>
  <si>
    <t>松山市の屋根修理はどこに頼む？症状別の対処法と費用目安</t>
  </si>
  <si>
    <t>屋根修理・屋根材</t>
  </si>
  <si>
    <t>011.md</t>
  </si>
  <si>
    <t>011.webp</t>
  </si>
  <si>
    <t>matsuyama-roof-repair</t>
  </si>
  <si>
    <t>松山市 屋根修理について、劣化症状、修理方法、費用目安、依頼前に確認したいポイントをわかりやすく解説します。</t>
  </si>
  <si>
    <t>屋根修理</t>
  </si>
  <si>
    <t>松山市、屋根修理</t>
  </si>
  <si>
    <t>屋根無料点検・屋根修理</t>
  </si>
  <si>
    <t>屋根点検CTA</t>
  </si>
  <si>
    <t>屋根材・板金・瓦の状態を点検し、雨漏りリスクや修理方法を職人目線で確認します。</t>
  </si>
  <si>
    <t>https://www.sunadatosou.com/?p=21943</t>
  </si>
  <si>
    <t>2026-06-27 17:09:57</t>
  </si>
  <si>
    <t>中心記事「松山市の屋根修理」へリンク。関連：屋根カバー・屋根材注意記事。</t>
  </si>
  <si>
    <t>松山市 棟板金修理</t>
  </si>
  <si>
    <t>松山市の棟板金修理とは？浮き・釘抜け・雨漏りリスクを解説</t>
  </si>
  <si>
    <t>012.md</t>
  </si>
  <si>
    <t>012.webp</t>
  </si>
  <si>
    <t>matsuyama-ridge-flashing-repair</t>
  </si>
  <si>
    <t>松山市 棟板金修理について、劣化症状、修理方法、費用目安、依頼前に確認したいポイントをわかりやすく解説します。</t>
  </si>
  <si>
    <t>棟板金修理</t>
  </si>
  <si>
    <t>https://www.sunadatosou.com/?p=21945</t>
  </si>
  <si>
    <t>2026-06-27 17:10:08</t>
  </si>
  <si>
    <t>松山市 谷板金修理</t>
  </si>
  <si>
    <t>松山市の谷板金修理が必要な症状｜雨漏り原因と費用目安</t>
  </si>
  <si>
    <t>013.md</t>
  </si>
  <si>
    <t>013.webp</t>
  </si>
  <si>
    <t>matsuyama-valley-flashing-repair</t>
  </si>
  <si>
    <t>松山市 谷板金修理について、劣化症状、修理方法、費用目安、依頼前に確認したいポイントをわかりやすく解説します。</t>
  </si>
  <si>
    <t>谷板金修理</t>
  </si>
  <si>
    <t>https://www.sunadatosou.com/?p=21947</t>
  </si>
  <si>
    <t>2026-06-27 17:10:16</t>
  </si>
  <si>
    <t>松山市 瓦修理</t>
  </si>
  <si>
    <t>松山市の瓦修理はいつ必要？割れ・ズレ・雨漏りの対処法</t>
  </si>
  <si>
    <t>014.md</t>
  </si>
  <si>
    <t>014.webp</t>
  </si>
  <si>
    <t>matsuyama-tile-roof-repair</t>
  </si>
  <si>
    <t>松山市 瓦修理について、劣化症状、修理方法、費用目安、依頼前に確認したいポイントをわかりやすく解説します。</t>
  </si>
  <si>
    <t>瓦修理</t>
  </si>
  <si>
    <t>https://www.sunadatosou.com/?p=21949</t>
  </si>
  <si>
    <t>2026-06-27 17:10:24</t>
  </si>
  <si>
    <t>松山市 漆喰補修</t>
  </si>
  <si>
    <t>松山市の漆喰補修とは？劣化症状・費用・雨漏り予防を解説</t>
  </si>
  <si>
    <t>015.md</t>
  </si>
  <si>
    <t>015.webp</t>
  </si>
  <si>
    <t>matsuyama-plaster-repair</t>
  </si>
  <si>
    <t>松山市 漆喰補修について、劣化症状、修理方法、費用目安、依頼前に確認したいポイントをわかりやすく解説します。</t>
  </si>
  <si>
    <t>漆喰補修</t>
  </si>
  <si>
    <t>https://www.sunadatosou.com/?p=21951</t>
  </si>
  <si>
    <t>2026-06-27 17:10:31</t>
  </si>
  <si>
    <t>松山市 屋根リフォーム</t>
  </si>
  <si>
    <t>松山市の屋根リフォーム方法｜カバー工法・葺き替え・修理の違い</t>
  </si>
  <si>
    <t>016.md</t>
  </si>
  <si>
    <t>016.webp</t>
  </si>
  <si>
    <t>matsuyama-roof-remodel</t>
  </si>
  <si>
    <t>松山市 屋根リフォームについて、劣化症状、修理方法、費用目安、依頼前に確認したいポイントをわかりやすく解説します。</t>
  </si>
  <si>
    <t>屋根リフォーム</t>
  </si>
  <si>
    <t>https://www.sunadatosou.com/?p=21953</t>
  </si>
  <si>
    <t>2026-06-27 17:10:40</t>
  </si>
  <si>
    <t>松山市 ガルテクト</t>
  </si>
  <si>
    <t>松山市でガルテクトを使う屋根工事｜特徴・費用・注意点</t>
  </si>
  <si>
    <t>屋根材注意型</t>
  </si>
  <si>
    <t>建材・屋根材注意喚起型</t>
  </si>
  <si>
    <t>017.md</t>
  </si>
  <si>
    <t>017.webp</t>
  </si>
  <si>
    <t>matsuyama-galtect</t>
  </si>
  <si>
    <t>松山市 ガルテクトについて、劣化症状、修理方法、費用目安、依頼前に確認したいポイントをわかりやすく解説します。</t>
  </si>
  <si>
    <t>ガルテクト</t>
  </si>
  <si>
    <t>https://www.sunadatosou.com/?p=21955</t>
  </si>
  <si>
    <t>2026-06-27 17:10:50</t>
  </si>
  <si>
    <t>松山市 ヴェルウッド</t>
  </si>
  <si>
    <t>松山市でヴェルウッドを使う屋根工事｜特徴・注意点を解説</t>
  </si>
  <si>
    <t>018.md</t>
  </si>
  <si>
    <t>018.webp</t>
  </si>
  <si>
    <t>matsuyama-velwood</t>
  </si>
  <si>
    <t>松山市 ヴェルウッドについて、劣化症状、修理方法、費用目安、依頼前に確認したいポイントをわかりやすく解説します。</t>
  </si>
  <si>
    <t>ヴェルウッド</t>
  </si>
  <si>
    <t>https://www.sunadatosou.com/?p=21957</t>
  </si>
  <si>
    <t>2026-06-27 17:10:58</t>
  </si>
  <si>
    <t>松山市 パミール屋根</t>
  </si>
  <si>
    <t>松山市のパミール屋根は塗装できる？劣化症状と対策を解説</t>
  </si>
  <si>
    <t>019.md</t>
  </si>
  <si>
    <t>019.webp</t>
  </si>
  <si>
    <t>matsuyama-pamir-roof</t>
  </si>
  <si>
    <t>松山市 パミール屋根について、劣化症状、修理方法、費用目安、依頼前に確認したいポイントをわかりやすく解説します。</t>
  </si>
  <si>
    <t>パミール屋根</t>
  </si>
  <si>
    <t>https://www.sunadatosou.com/?p=21959</t>
  </si>
  <si>
    <t>2026-06-27 17:11:09</t>
  </si>
  <si>
    <t>パナソニックホームズ 外壁塗装 松山市</t>
  </si>
  <si>
    <t>パナソニックホームズの外壁塗装を松山市で行う際の注意点を解説</t>
  </si>
  <si>
    <t>ハウスメーカー外壁塗装</t>
  </si>
  <si>
    <t>ハウスメーカー型</t>
  </si>
  <si>
    <t>ハウスメーカー住宅型</t>
  </si>
  <si>
    <t>4,500〜6,000字</t>
  </si>
  <si>
    <t>中</t>
  </si>
  <si>
    <t>020.md</t>
  </si>
  <si>
    <t>020.webp</t>
  </si>
  <si>
    <t>panasonic-homes-exterior-paint-matsuyama</t>
  </si>
  <si>
    <t>パナソニックホームズ 外壁塗装 松山市について、特徴、注意点、費用目安、業者選びのポイントを初心者にもわかりやすく解説します。</t>
  </si>
  <si>
    <t>外壁塗装</t>
  </si>
  <si>
    <t>松山市、外壁塗装</t>
  </si>
  <si>
    <t>外装劣化診断・外壁塗装無料見積り</t>
  </si>
  <si>
    <t>放置リスクと判断基準を解説</t>
  </si>
  <si>
    <t>無料診断で状態確認</t>
  </si>
  <si>
    <t>外壁ひび割れ・チョーキング・住宅外観</t>
  </si>
  <si>
    <t>職人＋困った住人</t>
  </si>
  <si>
    <t>外壁塗装訴求</t>
  </si>
  <si>
    <t>https://www.sunadatosou.com/?p=21961</t>
  </si>
  <si>
    <t>2026-06-27 17:11:18</t>
  </si>
  <si>
    <t>不足(目安4,500〜6,000字)</t>
  </si>
  <si>
    <t>関連：外壁塗装工期、足場代、防水工事、屋根カバーへリンク。</t>
  </si>
  <si>
    <t>レオハウス 外壁塗装 松山市</t>
  </si>
  <si>
    <t>レオハウスの外壁塗装を松山市で行う際の注意点を解説</t>
  </si>
  <si>
    <t>021.md</t>
  </si>
  <si>
    <t>021.webp</t>
  </si>
  <si>
    <t>leo-house-exterior-paint-matsuyama</t>
  </si>
  <si>
    <t>レオハウス 外壁塗装 松山市について、特徴、注意点、費用目安、業者選びのポイントを初心者にもわかりやすく解説します。</t>
  </si>
  <si>
    <t>https://www.sunadatosou.com/?p=21963</t>
  </si>
  <si>
    <t>2026-06-27 17:11:25</t>
  </si>
  <si>
    <t>アットハウジング 外壁塗装 松山市</t>
  </si>
  <si>
    <t>アットハウジングの外壁塗装を松山市で行う際の注意点を解説</t>
  </si>
  <si>
    <t>022.md</t>
  </si>
  <si>
    <t>022.webp</t>
  </si>
  <si>
    <t>at-housing-exterior-paint-matsuyama</t>
  </si>
  <si>
    <t>アットハウジング 外壁塗装 松山市について、特徴、注意点、費用目安、業者選びのポイントを初心者にもわかりやすく解説します。</t>
  </si>
  <si>
    <t>https://www.sunadatosou.com/?p=21965</t>
  </si>
  <si>
    <t>2026-06-27 17:11:33</t>
  </si>
  <si>
    <t>日本ハウスHD 外壁塗装 松山市</t>
  </si>
  <si>
    <t>日本ハウスHDの外壁塗装を松山市で行う際の注意点を解説</t>
  </si>
  <si>
    <t>023.md</t>
  </si>
  <si>
    <t>023.webp</t>
  </si>
  <si>
    <t>nihon-house-hd-exterior-paint-matsuyama</t>
  </si>
  <si>
    <t>日本ハウスHD 外壁塗装 松山市について、特徴、注意点、費用目安、業者選びのポイントを初心者にもわかりやすく解説します。</t>
  </si>
  <si>
    <t>https://www.sunadatosou.com/?p=21967</t>
  </si>
  <si>
    <t>2026-06-27 17:11:41</t>
  </si>
  <si>
    <t>アイフルホーム 外壁塗装 松山市</t>
  </si>
  <si>
    <t>アイフルホームの外壁塗装を松山市で行う際の注意点を解説</t>
  </si>
  <si>
    <t>024.md</t>
  </si>
  <si>
    <t>024.webp</t>
  </si>
  <si>
    <t>eyeful-home-exterior-paint-matsuyama</t>
  </si>
  <si>
    <t>アイフルホーム 外壁塗装 松山市について、特徴、注意点、費用目安、業者選びのポイントを初心者にもわかりやすく解説します。</t>
  </si>
  <si>
    <t>https://www.sunadatosou.com/?p=21969</t>
  </si>
  <si>
    <t>2026-06-27 17:11:49</t>
  </si>
  <si>
    <t>外壁から雨漏りする原因</t>
  </si>
  <si>
    <t>外壁から雨漏りする原因とは？ひび割れ・コーキング劣化の対策</t>
  </si>
  <si>
    <t>原因・症状型</t>
  </si>
  <si>
    <t>025.md</t>
  </si>
  <si>
    <t>025.webp</t>
  </si>
  <si>
    <t>exterior-wall-leak-cause</t>
  </si>
  <si>
    <t>外壁から雨漏りする原因について、主な原因、放置リスク、修理方法、業者選びのポイントを松山市で検討中の方向けに解説します。</t>
  </si>
  <si>
    <t>雨漏り、雨漏り修理</t>
  </si>
  <si>
    <t>外壁から雨漏りする原因の原因は？</t>
  </si>
  <si>
    <t>https://www.sunadatosou.com/?p=21971</t>
  </si>
  <si>
    <t>2026-06-27 17:11:58</t>
  </si>
  <si>
    <t>窓枠から雨漏りする原因</t>
  </si>
  <si>
    <t>窓枠から雨漏りする原因とは？サッシまわりの劣化と修理方法</t>
  </si>
  <si>
    <t>026.md</t>
  </si>
  <si>
    <t>026.webp</t>
  </si>
  <si>
    <t>window-frame-leak-cause</t>
  </si>
  <si>
    <t>窓枠から雨漏りする原因について、主な原因、放置リスク、修理方法、業者選びのポイントを松山市で検討中の方向けに解説します。</t>
  </si>
  <si>
    <t>窓枠から雨漏りする原因の原因は？</t>
  </si>
  <si>
    <t>https://www.sunadatosou.com/?p=21973</t>
  </si>
  <si>
    <t>2026-06-27 17:12:06</t>
  </si>
  <si>
    <t>天窓雨漏り修理</t>
  </si>
  <si>
    <t>天窓の雨漏り修理はどうする？原因・費用・放置リスクを解説</t>
  </si>
  <si>
    <t>027.md</t>
  </si>
  <si>
    <t>027.webp</t>
  </si>
  <si>
    <t>skylight-leak-repair</t>
  </si>
  <si>
    <t>天窓雨漏り修理について、主な原因、放置リスク、修理方法、業者選びのポイントを松山市で検討中の方向けに解説します。</t>
  </si>
  <si>
    <t>https://www.sunadatosou.com/?p=21975</t>
  </si>
  <si>
    <t>2026-06-27 17:12:13</t>
  </si>
  <si>
    <t>笠木雨漏り</t>
  </si>
  <si>
    <t>笠木雨漏りの原因とは？ベランダ・外壁まわりの防水対策</t>
  </si>
  <si>
    <t>028.md</t>
  </si>
  <si>
    <t>028.webp</t>
  </si>
  <si>
    <t>coping-leak</t>
  </si>
  <si>
    <t>笠木雨漏りについて、主な原因、放置リスク、修理方法、業者選びのポイントを松山市で検討中の方向けに解説します。</t>
  </si>
  <si>
    <t>https://www.sunadatosou.com/?p=21977</t>
  </si>
  <si>
    <t>2026-06-27 17:12:21</t>
  </si>
  <si>
    <t>幕板雨漏り</t>
  </si>
  <si>
    <t>幕板から雨漏りする原因とは？劣化症状と補修方法を解説</t>
  </si>
  <si>
    <t>029.md</t>
  </si>
  <si>
    <t>029.webp</t>
  </si>
  <si>
    <t>decorative-trim-leak</t>
  </si>
  <si>
    <t>幕板雨漏りについて、主な原因、放置リスク、修理方法、業者選びのポイントを松山市で検討中の方向けに解説します。</t>
  </si>
  <si>
    <t>https://www.sunadatosou.com/?p=21979</t>
  </si>
  <si>
    <t>2026-06-27 17:12:29</t>
  </si>
  <si>
    <t>バルコニー雨漏り</t>
  </si>
  <si>
    <t>バルコニー雨漏りの原因と修理方法｜防水工事の費用目安も解説</t>
  </si>
  <si>
    <t>030.md</t>
  </si>
  <si>
    <t>030.webp</t>
  </si>
  <si>
    <t>balcony-leak</t>
  </si>
  <si>
    <t>バルコニー雨漏りについて、主な原因、放置リスク、修理方法、業者選びのポイントを松山市で検討中の方向けに解説します。</t>
  </si>
  <si>
    <t>https://www.sunadatosou.com/?p=21981</t>
  </si>
  <si>
    <t>2026-06-27 17:12:37</t>
  </si>
  <si>
    <t>軒天雨漏り</t>
  </si>
  <si>
    <t>軒天の雨漏りは危険？シミ・剥がれの原因と補修方法</t>
  </si>
  <si>
    <t>031.md</t>
  </si>
  <si>
    <t>031.webp</t>
  </si>
  <si>
    <t>soffit-leak</t>
  </si>
  <si>
    <t>軒天雨漏りについて、主な原因、放置リスク、修理方法、業者選びのポイントを松山市で検討中の方向けに解説します。</t>
  </si>
  <si>
    <t>雨漏り、軒天、雨漏り修理</t>
  </si>
  <si>
    <t>シミ・黒ずみ・剥がれは要注意</t>
  </si>
  <si>
    <t>補修と塗装の判断ポイント</t>
  </si>
  <si>
    <t>軒天シミ・黒ずみ・住宅軒下</t>
  </si>
  <si>
    <t>見上げる住人＋職人</t>
  </si>
  <si>
    <t>軒天訴求</t>
  </si>
  <si>
    <t>https://www.sunadatosou.com/?p=21983</t>
  </si>
  <si>
    <t>2026-06-27 17:12:46</t>
  </si>
  <si>
    <t>雨漏り火災保険</t>
  </si>
  <si>
    <t>雨漏り修理に火災保険は使える？対象条件と申請前の注意点</t>
  </si>
  <si>
    <t>032.md</t>
  </si>
  <si>
    <t>032.webp</t>
  </si>
  <si>
    <t>leak-fire-insurance</t>
  </si>
  <si>
    <t>雨漏り火災保険について、主な原因、放置リスク、修理方法、業者選びのポイントを松山市で検討中の方向けに解説します。</t>
  </si>
  <si>
    <t>https://www.sunadatosou.com/?p=21985</t>
  </si>
  <si>
    <t>2026-06-27 17:12:57</t>
  </si>
  <si>
    <t>コーキング劣化 雨漏り</t>
  </si>
  <si>
    <t>コーキング劣化で雨漏りする原因とは？補修時期と費用を解説</t>
  </si>
  <si>
    <t>防水・シーリング</t>
  </si>
  <si>
    <t>防水・シーリング型</t>
  </si>
  <si>
    <t>033.md</t>
  </si>
  <si>
    <t>033.webp</t>
  </si>
  <si>
    <t>caulking-deterioration-leak</t>
  </si>
  <si>
    <t>コーキング劣化 雨漏りについて、工事内容、耐用年数、費用目安、雨漏りを防ぐための注意点をわかりやすく解説します。</t>
  </si>
  <si>
    <t>雨漏り、防水・シーリング</t>
  </si>
  <si>
    <t>https://www.sunadatosou.com/?p=21987</t>
  </si>
  <si>
    <t>2026-06-27 17:13:05</t>
  </si>
  <si>
    <t>関連：ベランダ防水費用、シーリング打ち替え費用、外壁雨漏りへリンク。</t>
  </si>
  <si>
    <t>外壁ひび割れ 雨漏り</t>
  </si>
  <si>
    <t>外壁ひび割れで雨漏りする？危険な症状と補修方法を解説</t>
  </si>
  <si>
    <t>034.md</t>
  </si>
  <si>
    <t>034.webp</t>
  </si>
  <si>
    <t>exterior-wall-crack-leak</t>
  </si>
  <si>
    <t>外壁ひび割れ 雨漏りについて、工事内容、耐用年数、費用目安、雨漏りを防ぐための注意点をわかりやすく解説します。</t>
  </si>
  <si>
    <t>https://www.sunadatosou.com/?p=21989</t>
  </si>
  <si>
    <t>2026-06-27 17:13:13</t>
  </si>
  <si>
    <t>シーリング打ち替え 費用</t>
  </si>
  <si>
    <t>シーリング打ち替え費用はいくら？相場・内訳・注意点を解説</t>
  </si>
  <si>
    <t>035.md</t>
  </si>
  <si>
    <t>035.webp</t>
  </si>
  <si>
    <t>sealing-replacement-cost</t>
  </si>
  <si>
    <t>シーリング打ち替え 費用について、費用相場、内訳、金額が変わる要因、見積もり時の注意点をわかりやすく解説します。</t>
  </si>
  <si>
    <t>シーリング、費用、防水・シーリング</t>
  </si>
  <si>
    <t>https://www.sunadatosou.com/?p=21991</t>
  </si>
  <si>
    <t>2026-06-27 17:13:25</t>
  </si>
  <si>
    <t>オートンイクシード 費用</t>
  </si>
  <si>
    <t>オートンイクシードの費用は高い？特徴・相場・向いている住宅</t>
  </si>
  <si>
    <t>036.md</t>
  </si>
  <si>
    <t>036.webp</t>
  </si>
  <si>
    <t>auton-exceed-cost</t>
  </si>
  <si>
    <t>オートンイクシード 費用について、費用相場、内訳、金額が変わる要因、見積もり時の注意点をわかりやすく解説します。</t>
  </si>
  <si>
    <t>費用、防水・シーリング</t>
  </si>
  <si>
    <t>https://www.sunadatosou.com/?p=21993</t>
  </si>
  <si>
    <t>2026-06-27 17:13:33</t>
  </si>
  <si>
    <t>ベランダ防水 費用</t>
  </si>
  <si>
    <t>ベランダ防水の費用相場はいくら？工法別の違いと注意点</t>
  </si>
  <si>
    <t>037.md</t>
  </si>
  <si>
    <t>037.webp</t>
  </si>
  <si>
    <t>balcony-waterproof-cost</t>
  </si>
  <si>
    <t>ベランダ防水 費用について、費用相場、内訳、金額が変わる要因、見積もり時の注意点をわかりやすく解説します。</t>
  </si>
  <si>
    <t>防水、費用、防水・シーリング</t>
  </si>
  <si>
    <t>https://www.sunadatosou.com/?p=21995</t>
  </si>
  <si>
    <t>2026-06-27 17:13:43</t>
  </si>
  <si>
    <t>FRP防水 耐用年数</t>
  </si>
  <si>
    <t>FRP防水の耐用年数はどれくらい？劣化症状とメンテナンス時期</t>
  </si>
  <si>
    <t>038.md</t>
  </si>
  <si>
    <t>038.webp</t>
  </si>
  <si>
    <t>frp-waterproof-lifespan</t>
  </si>
  <si>
    <t>FRP防水 耐用年数について、工事内容、耐用年数、費用目安、雨漏りを防ぐための注意点をわかりやすく解説します。</t>
  </si>
  <si>
    <t>防水、防水・シーリング</t>
  </si>
  <si>
    <t>防水工事・シーリング工事</t>
  </si>
  <si>
    <t>防水点検CTA</t>
  </si>
  <si>
    <t>ベランダや外壁目地の防水状態を確認し、雨漏り前の早めのメンテナンスをご提案します。</t>
  </si>
  <si>
    <t>https://www.sunadatosou.com/?p=21997</t>
  </si>
  <si>
    <t>2026-06-27 17:13:51</t>
  </si>
  <si>
    <t>ウレタン防水 耐用年数</t>
  </si>
  <si>
    <t>ウレタン防水の耐用年数は？メリット・劣化症状・補修時期</t>
  </si>
  <si>
    <t>039.md</t>
  </si>
  <si>
    <t>039.webp</t>
  </si>
  <si>
    <t>urethane-waterproof-lifespan</t>
  </si>
  <si>
    <t>ウレタン防水 耐用年数について、工事内容、耐用年数、費用目安、雨漏りを防ぐための注意点をわかりやすく解説します。</t>
  </si>
  <si>
    <t>https://www.sunadatosou.com/?p=21999</t>
  </si>
  <si>
    <t>2026-06-27 17:14:01</t>
  </si>
  <si>
    <t>塩ビシート防水 耐用年数</t>
  </si>
  <si>
    <t>塩ビシート防水の耐用年数は？特徴・劣化症状・注意点</t>
  </si>
  <si>
    <t>040.md</t>
  </si>
  <si>
    <t>040.webp</t>
  </si>
  <si>
    <t>pvc-sheet-waterproof-lifespan</t>
  </si>
  <si>
    <t>塩ビシート防水 耐用年数について、工事内容、耐用年数、費用目安、雨漏りを防ぐための注意点をわかりやすく解説します。</t>
  </si>
  <si>
    <t>https://www.sunadatosou.com/?p=22001</t>
  </si>
  <si>
    <t>2026-06-27 17:14:12</t>
  </si>
  <si>
    <t>屋根カバー メリット</t>
  </si>
  <si>
    <t>屋根カバー工法のメリットとは？費用・注意点・向いている屋根</t>
  </si>
  <si>
    <t>041.md</t>
  </si>
  <si>
    <t>041.webp</t>
  </si>
  <si>
    <t>roof-cover-method-merit</t>
  </si>
  <si>
    <t>屋根カバー メリットについて、劣化症状、修理方法、費用目安、依頼前に確認したいポイントをわかりやすく解説します。</t>
  </si>
  <si>
    <t>https://www.sunadatosou.com/?p=22003</t>
  </si>
  <si>
    <t>2026-06-27 17:14:22</t>
  </si>
  <si>
    <t>ガルテクト デメリット</t>
  </si>
  <si>
    <t>ガルテクトのデメリットとは？屋根カバー前に知りたい注意点</t>
  </si>
  <si>
    <t>042.md</t>
  </si>
  <si>
    <t>042.webp</t>
  </si>
  <si>
    <t>galtect-demerit</t>
  </si>
  <si>
    <t>ガルテクト デメリットについて、劣化症状、修理方法、費用目安、依頼前に確認したいポイントをわかりやすく解説します。</t>
  </si>
  <si>
    <t>https://www.sunadatosou.com/?p=22066</t>
  </si>
  <si>
    <t>2026-06-28 10:55:44</t>
  </si>
  <si>
    <t>ヴェルウッド デメリット</t>
  </si>
  <si>
    <t>ヴェルウッドのデメリットとは？屋根材選びで確認したいポイント</t>
  </si>
  <si>
    <t>043.md</t>
  </si>
  <si>
    <t>043.webp</t>
  </si>
  <si>
    <t>velwood-demerit</t>
  </si>
  <si>
    <t>ヴェルウッド デメリットについて、劣化症状、修理方法、費用目安、依頼前に確認したいポイントをわかりやすく解説します。</t>
  </si>
  <si>
    <t>https://www.sunadatosou.com/?p=22005</t>
  </si>
  <si>
    <t>2026-06-27 17:14:31</t>
  </si>
  <si>
    <t>パミール 屋根 対策</t>
  </si>
  <si>
    <t>パミール屋根の対策とは？塗装できない理由と修理方法を解説</t>
  </si>
  <si>
    <t>044.md</t>
  </si>
  <si>
    <t>044.webp</t>
  </si>
  <si>
    <t>pamir-roof-countermeasure</t>
  </si>
  <si>
    <t>パミール 屋根 対策について、劣化症状、修理方法、費用目安、依頼前に確認したいポイントをわかりやすく解説します。</t>
  </si>
  <si>
    <t>https://www.sunadatosou.com/?p=22007</t>
  </si>
  <si>
    <t>2026-06-27 17:14:39</t>
  </si>
  <si>
    <t>コロニアルNEO 雨漏り</t>
  </si>
  <si>
    <t>コロニアルNEOは雨漏りしやすい？劣化症状と対策を解説</t>
  </si>
  <si>
    <t>045.md</t>
  </si>
  <si>
    <t>045.webp</t>
  </si>
  <si>
    <t>colonial-neo-leak</t>
  </si>
  <si>
    <t>コロニアルNEO 雨漏りについて、劣化症状、修理方法、費用目安、依頼前に確認したいポイントをわかりやすく解説します。</t>
  </si>
  <si>
    <t>雨漏り、屋根修理</t>
  </si>
  <si>
    <t>https://www.sunadatosou.com/?p=22009</t>
  </si>
  <si>
    <t>2026-06-27 17:14:47</t>
  </si>
  <si>
    <t>アーバニー 屋根 修理</t>
  </si>
  <si>
    <t>アーバニー屋根の修理方法｜割れ・剥がれ・雨漏り対策</t>
  </si>
  <si>
    <t>046.md</t>
  </si>
  <si>
    <t>046.webp</t>
  </si>
  <si>
    <t>urbany-roof-repair</t>
  </si>
  <si>
    <t>アーバニー 屋根 修理について、劣化症状、修理方法、費用目安、依頼前に確認したいポイントをわかりやすく解説します。</t>
  </si>
  <si>
    <t>https://www.sunadatosou.com/?p=22011</t>
  </si>
  <si>
    <t>2026-06-27 17:14:55</t>
  </si>
  <si>
    <t>セキスイかわらU 修理</t>
  </si>
  <si>
    <t>セキスイかわらUの修理はどうする？塗装前に知るべき注意点</t>
  </si>
  <si>
    <t>047.md</t>
  </si>
  <si>
    <t>047.webp</t>
  </si>
  <si>
    <t>sekisui-kawara-u-repair</t>
  </si>
  <si>
    <t>セキスイかわらU 修理について、劣化症状、修理方法、費用目安、依頼前に確認したいポイントをわかりやすく解説します。</t>
  </si>
  <si>
    <t>https://www.sunadatosou.com/?p=22013</t>
  </si>
  <si>
    <t>2026-06-27 17:15:06</t>
  </si>
  <si>
    <t>モニエル瓦 塗装</t>
  </si>
  <si>
    <t>モニエル瓦の塗装は難しい？特徴・注意点・業者選びを解説</t>
  </si>
  <si>
    <t>048.md</t>
  </si>
  <si>
    <t>048.webp</t>
  </si>
  <si>
    <t>monier-tile-paint</t>
  </si>
  <si>
    <t>モニエル瓦 塗装について、劣化症状、修理方法、費用目安、依頼前に確認したいポイントをわかりやすく解説します。</t>
  </si>
  <si>
    <t>https://www.sunadatosou.com/?p=22015</t>
  </si>
  <si>
    <t>2026-06-27 17:15:18</t>
  </si>
  <si>
    <t>屋根塗装しない方がいい屋根</t>
  </si>
  <si>
    <t>屋根塗装しない方がいい屋根とは？塗装できない屋根材と対策</t>
  </si>
  <si>
    <t>049.md</t>
  </si>
  <si>
    <t>049.webp</t>
  </si>
  <si>
    <t>roof-not-suitable-for-painting</t>
  </si>
  <si>
    <t>屋根塗装しない方がいい屋根について、劣化症状、修理方法、費用目安、依頼前に確認したいポイントをわかりやすく解説します。</t>
  </si>
  <si>
    <t>https://www.sunadatosou.com/?p=22017</t>
  </si>
  <si>
    <t>2026-06-27 17:15:29</t>
  </si>
  <si>
    <t>外壁塗装と防水工事</t>
  </si>
  <si>
    <t>外壁塗装と防水工事は同時にできる？違い・費用・注意点</t>
  </si>
  <si>
    <t>050.md</t>
  </si>
  <si>
    <t>050.webp</t>
  </si>
  <si>
    <t>exterior-paint-waterproofing</t>
  </si>
  <si>
    <t>外壁塗装と防水工事について、工事内容、耐用年数、費用目安、雨漏りを防ぐための注意点をわかりやすく解説します。</t>
  </si>
  <si>
    <t>外壁塗装、防水、防水・シーリング</t>
  </si>
  <si>
    <t>https://www.sunadatosou.com/?p=22019</t>
  </si>
  <si>
    <t>2026-06-27 17:15:39</t>
  </si>
  <si>
    <t>外壁塗装と屋根カバー</t>
  </si>
  <si>
    <t>051.md</t>
  </si>
  <si>
    <t>051.webp</t>
  </si>
  <si>
    <t>exterior-paint-roof-cover</t>
  </si>
  <si>
    <t>外壁塗装と屋根カバーについて、劣化症状、修理方法、費用目安、依頼前に確認したいポイントをわかりやすく解説します。</t>
  </si>
  <si>
    <t>外壁塗装、屋根修理</t>
  </si>
  <si>
    <t>https://www.sunadatosou.com/?p=22021</t>
  </si>
  <si>
    <t>2026-06-27 17:15:49</t>
  </si>
  <si>
    <t>外壁塗装 雨の日</t>
  </si>
  <si>
    <t>外壁塗装は雨の日にできる？季節ごとの注意点を解説</t>
  </si>
  <si>
    <t>季節・時期型</t>
  </si>
  <si>
    <t>052.md</t>
  </si>
  <si>
    <t>052.webp</t>
  </si>
  <si>
    <t>exterior-paint-rainy-day</t>
  </si>
  <si>
    <t>外壁塗装 雨の日について、特徴、注意点、費用目安、業者選びのポイントを初心者にもわかりやすく解説します。</t>
  </si>
  <si>
    <t>https://www.sunadatosou.com/?p=22023</t>
  </si>
  <si>
    <t>2026-06-27 17:15:58</t>
  </si>
  <si>
    <t>外壁塗装 梅雨</t>
  </si>
  <si>
    <t>外壁塗装は梅雨にできる？季節ごとの注意点を解説</t>
  </si>
  <si>
    <t>053.md</t>
  </si>
  <si>
    <t>053.webp</t>
  </si>
  <si>
    <t>exterior-paint-rainy-season</t>
  </si>
  <si>
    <t>外壁塗装 梅雨について、特徴、注意点、費用目安、業者選びのポイントを初心者にもわかりやすく解説します。</t>
  </si>
  <si>
    <t>https://www.sunadatosou.com/?p=22025</t>
  </si>
  <si>
    <t>2026-06-27 17:16:06</t>
  </si>
  <si>
    <t>外壁塗装 台風前</t>
  </si>
  <si>
    <t>外壁塗装は台風前にできる？季節ごとの注意点を解説</t>
  </si>
  <si>
    <t>054.md</t>
  </si>
  <si>
    <t>054.webp</t>
  </si>
  <si>
    <t>exterior-paint-before-typhoon</t>
  </si>
  <si>
    <t>外壁塗装 台風前について、特徴、注意点、費用目安、業者選びのポイントを初心者にもわかりやすく解説します。</t>
  </si>
  <si>
    <t>https://www.sunadatosou.com/?p=22027</t>
  </si>
  <si>
    <t>2026-06-27 17:16:14</t>
  </si>
  <si>
    <t>外壁塗装 冬</t>
  </si>
  <si>
    <t>外壁塗装は冬にできる？季節ごとの注意点を解説</t>
  </si>
  <si>
    <t>055.md</t>
  </si>
  <si>
    <t>055.webp</t>
  </si>
  <si>
    <t>exterior-paint-winter</t>
  </si>
  <si>
    <t>外壁塗装 冬について、特徴、注意点、費用目安、業者選びのポイントを初心者にもわかりやすく解説します。</t>
  </si>
  <si>
    <t>https://www.sunadatosou.com/?p=22029</t>
  </si>
  <si>
    <t>2026-06-27 17:16:23</t>
  </si>
  <si>
    <t>外壁塗装 夏</t>
  </si>
  <si>
    <t>外壁塗装は夏にできる？季節ごとの注意点を解説</t>
  </si>
  <si>
    <t>056.md</t>
  </si>
  <si>
    <t>056.webp</t>
  </si>
  <si>
    <t>exterior-paint-summer</t>
  </si>
  <si>
    <t>外壁塗装 夏について、特徴、注意点、費用目安、業者選びのポイントを初心者にもわかりやすく解説します。</t>
  </si>
  <si>
    <t>https://www.sunadatosou.com/?p=22031</t>
  </si>
  <si>
    <t>2026-06-27 17:16:32</t>
  </si>
  <si>
    <t>外壁塗装 春</t>
  </si>
  <si>
    <t>外壁塗装は春にできる？季節ごとの注意点を解説</t>
  </si>
  <si>
    <t>057.md</t>
  </si>
  <si>
    <t>057.webp</t>
  </si>
  <si>
    <t>exterior-paint-spring</t>
  </si>
  <si>
    <t>外壁塗装 春について、特徴、注意点、費用目安、業者選びのポイントを初心者にもわかりやすく解説します。</t>
  </si>
  <si>
    <t>https://www.sunadatosou.com/?p=22033</t>
  </si>
  <si>
    <t>2026-06-27 17:16:44</t>
  </si>
  <si>
    <t>外壁塗装 秋</t>
  </si>
  <si>
    <t>外壁塗装は秋にできる？季節ごとの注意点を解説</t>
  </si>
  <si>
    <t>058.md</t>
  </si>
  <si>
    <t>058.webp</t>
  </si>
  <si>
    <t>exterior-paint-autumn</t>
  </si>
  <si>
    <t>外壁塗装 秋について、特徴、注意点、費用目安、業者選びのポイントを初心者にもわかりやすく解説します。</t>
  </si>
  <si>
    <t>https://www.sunadatosou.com/?p=22035</t>
  </si>
  <si>
    <t>2026-06-27 17:16:56</t>
  </si>
  <si>
    <t>外壁塗装 工期</t>
  </si>
  <si>
    <t>外壁塗装の工期はどれくらい？工程・日数・遅れる原因を解説</t>
  </si>
  <si>
    <t>059.md</t>
  </si>
  <si>
    <t>059.webp</t>
  </si>
  <si>
    <t>exterior-paint-duration</t>
  </si>
  <si>
    <t>外壁塗装 工期について、特徴、注意点、費用目安、業者選びのポイントを初心者にもわかりやすく解説します。</t>
  </si>
  <si>
    <t>https://www.sunadatosou.com/?p=22037</t>
  </si>
  <si>
    <t>2026-06-27 17:17:05</t>
  </si>
  <si>
    <t>外壁塗装 足場代</t>
  </si>
  <si>
    <t>外壁塗装の足場代はいくら？費用相場と節約の考え方</t>
  </si>
  <si>
    <t>060.md</t>
  </si>
  <si>
    <t>060.webp</t>
  </si>
  <si>
    <t>exterior-paint-scaffold-cost</t>
  </si>
  <si>
    <t>外壁塗装 足場代について、費用相場、内訳、金額が変わる要因、見積もり時の注意点をわかりやすく解説します。</t>
  </si>
  <si>
    <t>https://www.sunadatosou.com/?p=22039</t>
  </si>
  <si>
    <t>2026-06-27 17:17:15</t>
  </si>
  <si>
    <t>樋 塗装 松山市</t>
  </si>
  <si>
    <t>雨樋 塗装 松山市</t>
  </si>
  <si>
    <t>松山市の雨樋塗装は必要？費用・劣化症状・塗り替え時期を解説</t>
  </si>
  <si>
    <t>付帯部</t>
  </si>
  <si>
    <t>付帯部型</t>
  </si>
  <si>
    <t>061.md</t>
  </si>
  <si>
    <t>061.webp</t>
  </si>
  <si>
    <t>gutter-paint-matsuyama</t>
  </si>
  <si>
    <t>雨樋 塗装 松山市について、劣化症状、補修・塗装の判断基準、費用目安、外壁塗装と同時施工するメリットを解説します。</t>
  </si>
  <si>
    <t>松山市、雨樋、付帯部</t>
  </si>
  <si>
    <t>付帯部点検・外装劣化診断</t>
  </si>
  <si>
    <t>付帯部点検CTA</t>
  </si>
  <si>
    <t>割れ・外れ・劣化を放置NG</t>
  </si>
  <si>
    <t>交換と塗装の判断ポイント</t>
  </si>
  <si>
    <t>雨樋の割れ・外れ・雨水</t>
  </si>
  <si>
    <t>付帯部訴求</t>
  </si>
  <si>
    <t>https://www.sunadatosou.com/?p=22041</t>
  </si>
  <si>
    <t>2026-06-27 17:17:27</t>
  </si>
  <si>
    <t>関連：外壁塗装、雨樋、軒天、付帯部補修記事へリンク。</t>
  </si>
  <si>
    <t>雨樋 交換 松山市</t>
  </si>
  <si>
    <t>松山市の雨樋交換はいつ必要？費用・修理との違いを解説</t>
  </si>
  <si>
    <t>062.md</t>
  </si>
  <si>
    <t>062.webp</t>
  </si>
  <si>
    <t>gutter-replacement-matsuyama</t>
  </si>
  <si>
    <t>雨樋 交換 松山市について、劣化症状、補修・塗装の判断基準、費用目安、外壁塗装と同時施工するメリットを解説します。</t>
  </si>
  <si>
    <t>https://www.sunadatosou.com/?p=22043</t>
  </si>
  <si>
    <t>2026-06-27 17:17:35</t>
  </si>
  <si>
    <t>雨樋 色あせ</t>
  </si>
  <si>
    <t>雨樋の色あせは塗装すべき？劣化サインとメンテナンス方法</t>
  </si>
  <si>
    <t>4,000〜5,500字</t>
  </si>
  <si>
    <t>063.md</t>
  </si>
  <si>
    <t>063.webp</t>
  </si>
  <si>
    <t>gutter-fading</t>
  </si>
  <si>
    <t>雨樋 色あせについて、劣化症状、補修・塗装の判断基準、費用目安、外壁塗装と同時施工するメリットを解説します。</t>
  </si>
  <si>
    <t>雨樋、付帯部</t>
  </si>
  <si>
    <t>https://www.sunadatosou.com/?p=22045</t>
  </si>
  <si>
    <t>2026-06-27 17:17:46</t>
  </si>
  <si>
    <t>不足(目安4,000〜5,500字)</t>
  </si>
  <si>
    <t>雨樋 塗装 必要</t>
  </si>
  <si>
    <t>雨樋塗装は必要？塗り替えの目的・不要なケースも解説</t>
  </si>
  <si>
    <t>064.md</t>
  </si>
  <si>
    <t>064.webp</t>
  </si>
  <si>
    <t>gutter-paint-necessity</t>
  </si>
  <si>
    <t>雨樋 塗装 必要について、劣化症状、補修・塗装の判断基準、費用目安、外壁塗装と同時施工するメリットを解説します。</t>
  </si>
  <si>
    <t>https://www.sunadatosou.com/?p=22047</t>
  </si>
  <si>
    <t>2026-06-27 17:17:58</t>
  </si>
  <si>
    <t>雨樋 塗装 費用</t>
  </si>
  <si>
    <t>雨樋塗装の費用相場はいくら？単価・足場代・注意点を解説</t>
  </si>
  <si>
    <t>065.md</t>
  </si>
  <si>
    <t>065.webp</t>
  </si>
  <si>
    <t>gutter-paint-cost</t>
  </si>
  <si>
    <t>雨樋 塗装 費用について、費用相場、内訳、金額が変わる要因、見積もり時の注意点をわかりやすく解説します。</t>
  </si>
  <si>
    <t>雨樋、費用、付帯部</t>
  </si>
  <si>
    <t>https://www.sunadatosou.com/?p=22049</t>
  </si>
  <si>
    <t>2026-06-27 17:18:08</t>
  </si>
  <si>
    <t>雨樋 割れ 補修</t>
  </si>
  <si>
    <t>雨樋の割れは補修できる？修理・交換の判断ポイント</t>
  </si>
  <si>
    <t>066.md</t>
  </si>
  <si>
    <t>066.webp</t>
  </si>
  <si>
    <t>gutter-crack-repair</t>
  </si>
  <si>
    <t>雨樋 割れ 補修について、劣化症状、補修・塗装の判断基準、費用目安、外壁塗装と同時施工するメリットを解説します。</t>
  </si>
  <si>
    <t>https://www.sunadatosou.com/?p=22051</t>
  </si>
  <si>
    <t>2026-06-27 17:18:17</t>
  </si>
  <si>
    <t>雨樋 外れ 修理</t>
  </si>
  <si>
    <t>雨樋が外れたときの修理方法｜原因・費用・放置リスク</t>
  </si>
  <si>
    <t>067.md</t>
  </si>
  <si>
    <t>067.webp</t>
  </si>
  <si>
    <t>gutter-detached-repair</t>
  </si>
  <si>
    <t>雨樋 外れ 修理について、劣化症状、補修・塗装の判断基準、費用目安、外壁塗装と同時施工するメリットを解説します。</t>
  </si>
  <si>
    <t>https://www.sunadatosou.com/?p=22053</t>
  </si>
  <si>
    <t>2026-06-27 17:18:27</t>
  </si>
  <si>
    <t>雨樋 劣化 症状</t>
  </si>
  <si>
    <t>雨樋の劣化症状とは？塗装・補修・交換の判断基準</t>
  </si>
  <si>
    <t>068.md</t>
  </si>
  <si>
    <t>068.webp</t>
  </si>
  <si>
    <t>gutter-deterioration-symptoms</t>
  </si>
  <si>
    <t>雨樋 劣化 症状について、劣化症状、補修・塗装の判断基準、費用目安、外壁塗装と同時施工するメリットを解説します。</t>
  </si>
  <si>
    <t>https://www.sunadatosou.com/?p=22055</t>
  </si>
  <si>
    <t>2026-06-27 17:18:34</t>
  </si>
  <si>
    <t>雨樋 チョーキング</t>
  </si>
  <si>
    <t>雨樋のチョーキングとは？塗装時期と劣化の見分け方</t>
  </si>
  <si>
    <t>069.md</t>
  </si>
  <si>
    <t>069.webp</t>
  </si>
  <si>
    <t>gutter-chalking</t>
  </si>
  <si>
    <t>雨樋 チョーキングについて、劣化症状、補修・塗装の判断基準、費用目安、外壁塗装と同時施工するメリットを解説します。</t>
  </si>
  <si>
    <t>https://www.sunadatosou.com/?p=22057</t>
  </si>
  <si>
    <t>2026-06-27 17:18:44</t>
  </si>
  <si>
    <t>雨樋 塗り替え時期</t>
  </si>
  <si>
    <t>雨樋の塗り替え時期はいつ？劣化サインと費用目安</t>
  </si>
  <si>
    <t>070.md</t>
  </si>
  <si>
    <t>070.webp</t>
  </si>
  <si>
    <t>gutter-repaint-timing</t>
  </si>
  <si>
    <t>雨樋 塗り替え時期について、劣化症状、補修・塗装の判断基準、費用目安、外壁塗装と同時施工するメリットを解説します。</t>
  </si>
  <si>
    <t>https://www.sunadatosou.com/?p=22059</t>
  </si>
  <si>
    <t>2026-06-27 17:18:53</t>
  </si>
  <si>
    <t>軒天 塗装 松山市</t>
  </si>
  <si>
    <t>松山市の軒天塗装はいつ必要？費用・劣化症状・注意点</t>
  </si>
  <si>
    <t>071.md</t>
  </si>
  <si>
    <t>071.webp</t>
  </si>
  <si>
    <t>soffit-paint-matsuyama</t>
  </si>
  <si>
    <t>軒天 塗装 松山市について、劣化症状、補修・塗装の判断基準、費用目安、外壁塗装と同時施工するメリットを解説します。</t>
  </si>
  <si>
    <t>松山市、軒天、付帯部</t>
  </si>
  <si>
    <t>https://www.sunadatosou.com/?p=22068</t>
  </si>
  <si>
    <t>2026-06-28 10:55:55</t>
  </si>
  <si>
    <t>軒天 シミ 原因</t>
  </si>
  <si>
    <t>軒天のシミの原因とは？雨漏りとの関係と補修方法</t>
  </si>
  <si>
    <t>072.md</t>
  </si>
  <si>
    <t>072.webp</t>
  </si>
  <si>
    <t>soffit-stain-cause</t>
  </si>
  <si>
    <t>軒天 シミ 原因について、劣化症状、補修・塗装の判断基準、費用目安、外壁塗装と同時施工するメリットを解説します。</t>
  </si>
  <si>
    <t>軒天、付帯部</t>
  </si>
  <si>
    <t>軒天 シミ 原因の原因は？</t>
  </si>
  <si>
    <t>https://www.sunadatosou.com/?p=22070</t>
  </si>
  <si>
    <t>2026-06-28 10:56:04</t>
  </si>
  <si>
    <t>軒天 黒ずみ</t>
  </si>
  <si>
    <t>軒天の黒ずみは放置して大丈夫？原因・掃除・塗装の判断</t>
  </si>
  <si>
    <t>073.md</t>
  </si>
  <si>
    <t>073.webp</t>
  </si>
  <si>
    <t>soffit-black-stain</t>
  </si>
  <si>
    <t>軒天 黒ずみについて、劣化症状、補修・塗装の判断基準、費用目安、外壁塗装と同時施工するメリットを解説します。</t>
  </si>
  <si>
    <t>https://www.sunadatosou.com/?p=22072</t>
  </si>
  <si>
    <t>2026-06-28 10:56:13</t>
  </si>
  <si>
    <t>軒天 カビ</t>
  </si>
  <si>
    <t>軒天のカビの原因とは？雨漏りリスクと補修方法を解説</t>
  </si>
  <si>
    <t>074.md</t>
  </si>
  <si>
    <t>074.webp</t>
  </si>
  <si>
    <t>soffit-mold</t>
  </si>
  <si>
    <t>軒天 カビについて、劣化症状、補修・塗装の判断基準、費用目安、外壁塗装と同時施工するメリットを解説します。</t>
  </si>
  <si>
    <t>https://www.sunadatosou.com/?p=22074</t>
  </si>
  <si>
    <t>2026-06-28 10:56:23</t>
  </si>
  <si>
    <t>軒天 剥がれ</t>
  </si>
  <si>
    <t>軒天の剥がれは補修が必要？原因・費用・放置リスク</t>
  </si>
  <si>
    <t>075.md</t>
  </si>
  <si>
    <t>075.webp</t>
  </si>
  <si>
    <t>soffit-peeling</t>
  </si>
  <si>
    <t>軒天 剥がれについて、劣化症状、補修・塗装の判断基準、費用目安、外壁塗装と同時施工するメリットを解説します。</t>
  </si>
  <si>
    <t>https://www.sunadatosou.com/?p=22076</t>
  </si>
  <si>
    <t>2026-06-28 10:56:33</t>
  </si>
  <si>
    <t>軒天 ベニヤ 張り替え</t>
  </si>
  <si>
    <t>軒天ベニヤの張り替えはいつ必要？費用・材料・注意点</t>
  </si>
  <si>
    <t>076.md</t>
  </si>
  <si>
    <t>076.webp</t>
  </si>
  <si>
    <t>soffit-plywood-replacement</t>
  </si>
  <si>
    <t>軒天 ベニヤ 張り替えについて、劣化症状、補修・塗装の判断基準、費用目安、外壁塗装と同時施工するメリットを解説します。</t>
  </si>
  <si>
    <t>https://www.sunadatosou.com/?p=22079</t>
  </si>
  <si>
    <t>2026-06-28 10:56:46</t>
  </si>
  <si>
    <t>軒天 雨漏り</t>
  </si>
  <si>
    <t>軒天の雨漏りはどこから？原因調査と補修方法を解説</t>
  </si>
  <si>
    <t>077.md</t>
  </si>
  <si>
    <t>077.webp</t>
  </si>
  <si>
    <t>軒天 雨漏りについて、劣化症状、補修・塗装の判断基準、費用目安、外壁塗装と同時施工するメリットを解説します。</t>
  </si>
  <si>
    <t>雨漏り、軒天、付帯部</t>
  </si>
  <si>
    <t>skipped</t>
  </si>
  <si>
    <t>同一 slug の投稿が既に存在するためスキップ（更新するには write_mode=update_only/upsert）</t>
  </si>
  <si>
    <t>軒天 塗装 費用</t>
  </si>
  <si>
    <t>軒天塗装の費用相場はいくら？単価・足場代・注意点</t>
  </si>
  <si>
    <t>078.md</t>
  </si>
  <si>
    <t>078.webp</t>
  </si>
  <si>
    <t>soffit-paint-cost</t>
  </si>
  <si>
    <t>軒天 塗装 費用について、費用相場、内訳、金額が変わる要因、見積もり時の注意点をわかりやすく解説します。</t>
  </si>
  <si>
    <t>軒天、費用、付帯部</t>
  </si>
  <si>
    <t>https://www.sunadatosou.com/?p=22081</t>
  </si>
  <si>
    <t>2026-06-28 10:56:57</t>
  </si>
  <si>
    <t>軒天 補修</t>
  </si>
  <si>
    <t>軒天補修の方法とは？剥がれ・シミ・雨漏り症状別に解説</t>
  </si>
  <si>
    <t>079.md</t>
  </si>
  <si>
    <t>079.webp</t>
  </si>
  <si>
    <t>soffit-repair</t>
  </si>
  <si>
    <t>軒天 補修について、劣化症状、補修・塗装の判断基準、費用目安、外壁塗装と同時施工するメリットを解説します。</t>
  </si>
  <si>
    <t>https://www.sunadatosou.com/?p=22083</t>
  </si>
  <si>
    <t>2026-06-28 10:57:07</t>
  </si>
  <si>
    <t>軒天 材料 種類</t>
  </si>
  <si>
    <t>軒天の材料には何がある？種類・特徴・選び方を解説</t>
  </si>
  <si>
    <t>080.md</t>
  </si>
  <si>
    <t>080.webp</t>
  </si>
  <si>
    <t>soffit-material-types</t>
  </si>
  <si>
    <t>軒天 材料 種類について、劣化症状、補修・塗装の判断基準、費用目安、外壁塗装と同時施工するメリットを解説します。</t>
  </si>
  <si>
    <t>https://www.sunadatosou.com/?p=22085</t>
  </si>
  <si>
    <t>2026-06-28 10:57:17</t>
  </si>
  <si>
    <t>補助コピー</t>
  </si>
  <si>
    <t>方向性</t>
  </si>
  <si>
    <t>区分</t>
  </si>
  <si>
    <t>ルール</t>
  </si>
  <si>
    <t>詳細</t>
  </si>
  <si>
    <t>記事本文</t>
  </si>
  <si>
    <t>H1は入れない</t>
  </si>
  <si>
    <t>WordPress投稿タイトルでH1が出るため、MD本文は導入文から開始する。</t>
  </si>
  <si>
    <t>砂田塗装ブログ型</t>
  </si>
  <si>
    <t>症状の悩み→この記事でわかること→地域事情→原因・症状→事例→費用→業者選び→CTA→FAQ→まとめ。</t>
  </si>
  <si>
    <t>地域性</t>
  </si>
  <si>
    <t>松山市の紫外線・台風・湿気・塩害・地域名（久米、石井、余戸、三津、北条、道後など）を自然に入れる。</t>
  </si>
  <si>
    <t>訴求サービス</t>
  </si>
  <si>
    <t>無料点検、外装劣化診断、写真付き劣化診断書、必要な工事だけ提案、職人目線を入れる。</t>
  </si>
  <si>
    <t>内部リンク</t>
  </si>
  <si>
    <t>雨漏り修理、外装劣化診断、料金目安、関連ブログ、施工事例へ自然に誘導する。</t>
  </si>
  <si>
    <t>アイキャッチ</t>
  </si>
  <si>
    <t>記事ごとに作り分け</t>
  </si>
  <si>
    <t>背景・人物・症状・訴求をKWごとに変更する。共通テンプレートだけにしない。</t>
  </si>
  <si>
    <t>文字後乗せ</t>
  </si>
  <si>
    <t>日本語文字は画像生成AIではなく、後から合成して誤字崩れを防ぐ。</t>
  </si>
  <si>
    <t>GitHub</t>
  </si>
  <si>
    <t>ファイル名</t>
  </si>
  <si>
    <t>記事は articles/001.md、画像は eyecatches/001.webp の形式で管理する。</t>
  </si>
  <si>
    <t>Actions</t>
  </si>
  <si>
    <t>実行順</t>
  </si>
  <si>
    <t>dry-run → post/create_only limit=1 → WordPress確認 → 5〜10件投稿 → 管理簿更新。</t>
  </si>
  <si>
    <t>更新テスト</t>
  </si>
  <si>
    <t>既存下書きを更新する場合は write_mode=update_only、または upsert を使う。</t>
  </si>
  <si>
    <t>未投稿</t>
  </si>
  <si>
    <t>create_only</t>
  </si>
  <si>
    <t>OK</t>
  </si>
  <si>
    <t>作成中</t>
  </si>
  <si>
    <t>dry-run済</t>
  </si>
  <si>
    <t>update_only</t>
  </si>
  <si>
    <t>不足</t>
  </si>
  <si>
    <t>作成済</t>
  </si>
  <si>
    <t>反映済</t>
  </si>
  <si>
    <t>下書き投稿済</t>
  </si>
  <si>
    <t>upsert</t>
  </si>
  <si>
    <t>超過</t>
  </si>
  <si>
    <t>差替必要</t>
  </si>
  <si>
    <t>反映失敗</t>
  </si>
  <si>
    <t>投稿済</t>
  </si>
  <si>
    <t>修正中</t>
  </si>
  <si>
    <t>更新済</t>
  </si>
  <si>
    <t>完了</t>
  </si>
  <si>
    <t>要更新確認</t>
  </si>
  <si>
    <t>error</t>
  </si>
  <si>
    <t>実行日時</t>
  </si>
  <si>
    <t>mode</t>
  </si>
  <si>
    <t>write_mode</t>
  </si>
  <si>
    <t>status</t>
  </si>
  <si>
    <t>記事ファイル</t>
  </si>
  <si>
    <t>画像ファイル</t>
  </si>
  <si>
    <t>message</t>
  </si>
  <si>
    <t>項目</t>
  </si>
  <si>
    <t>内容</t>
  </si>
  <si>
    <t>GitHub必須構成</t>
  </si>
  <si>
    <t>articles/001.md、eyecatches/001.webp、data/seo_80kw_production_management_v2.xlsx</t>
  </si>
  <si>
    <t>wp_auto_post.pyが読む主な列</t>
  </si>
  <si>
    <t>No、指定KW、記事タイトル案、スラッグ、メタディスクリプション案、WPカテゴリ、タグ案、画像ファイル名</t>
  </si>
  <si>
    <t>追加で更新したい列</t>
  </si>
  <si>
    <t>投稿ステータス、WP投稿ID、WP投稿URL、最終投稿日時、最終更新日時、最終実行モード、エラー内容、文字数実績、文字数判定</t>
  </si>
  <si>
    <t>update_excelの方針</t>
  </si>
  <si>
    <t>update_excel=true のときだけExcelを書き換え、GitHubへcommit/pushする。通常はCSV出力のみ。</t>
  </si>
  <si>
    <t>新規投稿</t>
  </si>
  <si>
    <t>mode=post / write_mode=create_only / post_status=draft / limit=1から開始</t>
  </si>
  <si>
    <t>mode=post / write_mode=update_only / post_status=draft / limit=1</t>
  </si>
  <si>
    <t>まとめ投稿</t>
  </si>
  <si>
    <t>mode=post / write_mode=upsert / post_status=draft / limit=5〜10</t>
  </si>
  <si>
    <t>注意</t>
  </si>
  <si>
    <t>publishは最後まで使わず、基本はdraftで目視確認してから公開する。</t>
  </si>
  <si>
    <t>アイキャッチ型</t>
  </si>
  <si>
    <t>画像内テキスト</t>
  </si>
  <si>
    <t>制作ステータス</t>
  </si>
  <si>
    <t>構成ステータス</t>
  </si>
  <si>
    <t>本文ステータス</t>
  </si>
  <si>
    <t>アイキャッチステータス</t>
  </si>
  <si>
    <t>記事URL</t>
  </si>
  <si>
    <t>雨漏り系</t>
  </si>
  <si>
    <t>松山市の雨漏り修理
症状・費用・注意点</t>
  </si>
  <si>
    <t>matsuyama-leak-repair.webp</t>
  </si>
  <si>
    <t>松山市の雨漏り調査
症状・費用・注意点</t>
  </si>
  <si>
    <t>matsuyama-leak-investigation.webp</t>
  </si>
  <si>
    <t>松山市の雨漏り診断
症状・費用・注意点</t>
  </si>
  <si>
    <t>matsuyama-leak-diagnosis.webp</t>
  </si>
  <si>
    <t>松山市の雨漏り業者
症状・費用・注意点</t>
  </si>
  <si>
    <t>matsuyama-leak-contractor.webp</t>
  </si>
  <si>
    <t>雨漏り修理 費用
相場と注意点を解説</t>
  </si>
  <si>
    <t>matsuyama-leak-repair-cost.webp</t>
  </si>
  <si>
    <t>雨漏り 原因
放置リスクと対処法</t>
  </si>
  <si>
    <t>matsuyama-leak-cause.webp</t>
  </si>
  <si>
    <t>松山市のベランダ雨漏り
症状・費用・注意点</t>
  </si>
  <si>
    <t>matsuyama-balcony-leak.webp</t>
  </si>
  <si>
    <t>松山市のサッシ雨漏り
症状・費用・注意点</t>
  </si>
  <si>
    <t>matsuyama-sash-leak.webp</t>
  </si>
  <si>
    <t>松山市の外壁雨漏り
症状・費用・注意点</t>
  </si>
  <si>
    <t>matsuyama-exterior-wall-leak.webp</t>
  </si>
  <si>
    <t>松山市の屋根雨漏り
症状・費用・注意点</t>
  </si>
  <si>
    <t>matsuyama-roof-leak.webp</t>
  </si>
  <si>
    <t>屋根修理系</t>
  </si>
  <si>
    <t>松山市の屋根修理
症状・費用・注意点</t>
  </si>
  <si>
    <t>matsuyama-roof-repair.webp</t>
  </si>
  <si>
    <t>松山市の棟板金修理
症状・費用・注意点</t>
  </si>
  <si>
    <t>matsuyama-ridge-flashing-repair.webp</t>
  </si>
  <si>
    <t>松山市の谷板金修理
症状・費用・注意点</t>
  </si>
  <si>
    <t>matsuyama-valley-flashing-repair.webp</t>
  </si>
  <si>
    <t>松山市の瓦修理
症状・費用・注意点</t>
  </si>
  <si>
    <t>matsuyama-tile-roof-repair.webp</t>
  </si>
  <si>
    <t>松山市の漆喰補修
症状・費用・注意点</t>
  </si>
  <si>
    <t>matsuyama-plaster-repair.webp</t>
  </si>
  <si>
    <t>松山市の屋根リフォーム
症状・費用・注意点</t>
  </si>
  <si>
    <t>matsuyama-roof-remodel.webp</t>
  </si>
  <si>
    <t>松山市のガルテクト
症状・費用・注意点</t>
  </si>
  <si>
    <t>matsuyama-galtect.webp</t>
  </si>
  <si>
    <t>松山市のヴェルウッド
症状・費用・注意点</t>
  </si>
  <si>
    <t>matsuyama-velwood.webp</t>
  </si>
  <si>
    <t>松山市のパミール屋根
症状・費用・注意点</t>
  </si>
  <si>
    <t>matsuyama-pamir-roof.webp</t>
  </si>
  <si>
    <t>外壁塗装系</t>
  </si>
  <si>
    <t>パナソニックホームズ 外壁塗装 松山市
症状・費用・注意点</t>
  </si>
  <si>
    <t>panasonic-homes-exterior-paint-matsuyama.webp</t>
  </si>
  <si>
    <t>レオハウス 外壁塗装 松山市
症状・費用・注意点</t>
  </si>
  <si>
    <t>leo-house-exterior-paint-matsuyama.webp</t>
  </si>
  <si>
    <t>アットハウジング 外壁塗装 松山市
症状・費用・注意点</t>
  </si>
  <si>
    <t>at-housing-exterior-paint-matsuyama.webp</t>
  </si>
  <si>
    <t>日本ハウスHD 外壁塗装 松山市
症状・費用・注意点</t>
  </si>
  <si>
    <t>nihon-house-hd-exterior-paint-matsuyama.webp</t>
  </si>
  <si>
    <t>アイフルホーム 外壁塗装 松山市
症状・費用・注意点</t>
  </si>
  <si>
    <t>eyeful-home-exterior-paint-matsuyama.webp</t>
  </si>
  <si>
    <t>外壁から雨漏りの原因
放置リスクと対処法</t>
  </si>
  <si>
    <t>exterior-wall-leak-cause.webp</t>
  </si>
  <si>
    <t>窓枠から雨漏りの原因
放置リスクと対処法</t>
  </si>
  <si>
    <t>window-frame-leak-cause.webp</t>
  </si>
  <si>
    <t>天窓雨漏り修理
原因と修理方法</t>
  </si>
  <si>
    <t>skylight-leak-repair.webp</t>
  </si>
  <si>
    <t>笠木雨漏り
原因と修理方法</t>
  </si>
  <si>
    <t>coping-leak.webp</t>
  </si>
  <si>
    <t>幕板雨漏り
原因と修理方法</t>
  </si>
  <si>
    <t>decorative-trim-leak.webp</t>
  </si>
  <si>
    <t>バルコニー雨漏り
原因と修理方法</t>
  </si>
  <si>
    <t>balcony-leak.webp</t>
  </si>
  <si>
    <t>軒天雨漏り
原因と修理方法</t>
  </si>
  <si>
    <t>soffit-leak.webp</t>
  </si>
  <si>
    <t>雨漏り火災保険
原因と修理方法</t>
  </si>
  <si>
    <t>leak-fire-insurance.webp</t>
  </si>
  <si>
    <t>防水系</t>
  </si>
  <si>
    <t>コーキング劣化 雨漏り
原因と修理方法</t>
  </si>
  <si>
    <t>caulking-deterioration-leak.webp</t>
  </si>
  <si>
    <t>外壁ひび割れ 雨漏り
原因と修理方法</t>
  </si>
  <si>
    <t>exterior-wall-crack-leak.webp</t>
  </si>
  <si>
    <t>シーリング打ち替え 費用
相場と注意点を解説</t>
  </si>
  <si>
    <t>sealing-replacement-cost.webp</t>
  </si>
  <si>
    <t>オートンイクシード 費用
相場と注意点を解説</t>
  </si>
  <si>
    <t>auton-exceed-cost.webp</t>
  </si>
  <si>
    <t>ベランダ防水 費用
相場と注意点を解説</t>
  </si>
  <si>
    <t>balcony-waterproof-cost.webp</t>
  </si>
  <si>
    <t>FRP防水の耐用年数
劣化症状と時期</t>
  </si>
  <si>
    <t>frp-waterproof-lifespan.webp</t>
  </si>
  <si>
    <t>ウレタン防水の耐用年数
劣化症状と時期</t>
  </si>
  <si>
    <t>urethane-waterproof-lifespan.webp</t>
  </si>
  <si>
    <t>塩ビシート防水の耐用年数
劣化症状と時期</t>
  </si>
  <si>
    <t>pvc-sheet-waterproof-lifespan.webp</t>
  </si>
  <si>
    <t>屋根カバー メリット
ポイントを解説</t>
  </si>
  <si>
    <t>roof-cover-method-merit.webp</t>
  </si>
  <si>
    <t>ガルテクトのデメリット
施工前の注意点</t>
  </si>
  <si>
    <t>galtect-demerit.webp</t>
  </si>
  <si>
    <t>ヴェルウッドのデメリット
施工前の注意点</t>
  </si>
  <si>
    <t>velwood-demerit.webp</t>
  </si>
  <si>
    <t>パミール 屋根 対策
ポイントを解説</t>
  </si>
  <si>
    <t>pamir-roof-countermeasure.webp</t>
  </si>
  <si>
    <t>コロニアルNEO 雨漏り
原因と修理方法</t>
  </si>
  <si>
    <t>colonial-neo-leak.webp</t>
  </si>
  <si>
    <t>アーバニー 屋根 修理
ポイントを解説</t>
  </si>
  <si>
    <t>urbany-roof-repair.webp</t>
  </si>
  <si>
    <t>セキスイかわらU 修理
ポイントを解説</t>
  </si>
  <si>
    <t>sekisui-kawara-u-repair.webp</t>
  </si>
  <si>
    <t>モニエル瓦 塗装
特徴・費用・注意点</t>
  </si>
  <si>
    <t>monier-tile-paint.webp</t>
  </si>
  <si>
    <t>屋根塗装しない方がいい屋根
特徴・費用・注意点</t>
  </si>
  <si>
    <t>roof-not-suitable-for-painting.webp</t>
  </si>
  <si>
    <t>外壁塗装と防水工事
特徴・費用・注意点</t>
  </si>
  <si>
    <t>exterior-paint-waterproofing.webp</t>
  </si>
  <si>
    <t>外壁塗装と屋根カバー
特徴・費用・注意点</t>
  </si>
  <si>
    <t>exterior-paint-roof-cover.webp</t>
  </si>
  <si>
    <t>外壁塗装 雨の日
特徴・費用・注意点</t>
  </si>
  <si>
    <t>exterior-paint-rainy-day.webp</t>
  </si>
  <si>
    <t>外壁塗装 梅雨
特徴・費用・注意点</t>
  </si>
  <si>
    <t>exterior-paint-rainy-season.webp</t>
  </si>
  <si>
    <t>外壁塗装 台風前
特徴・費用・注意点</t>
  </si>
  <si>
    <t>exterior-paint-before-typhoon.webp</t>
  </si>
  <si>
    <t>外壁塗装 冬
特徴・費用・注意点</t>
  </si>
  <si>
    <t>exterior-paint-winter.webp</t>
  </si>
  <si>
    <t>外壁塗装 夏
特徴・費用・注意点</t>
  </si>
  <si>
    <t>exterior-paint-summer.webp</t>
  </si>
  <si>
    <t>外壁塗装 春
特徴・費用・注意点</t>
  </si>
  <si>
    <t>exterior-paint-spring.webp</t>
  </si>
  <si>
    <t>外壁塗装 秋
特徴・費用・注意点</t>
  </si>
  <si>
    <t>exterior-paint-autumn.webp</t>
  </si>
  <si>
    <t>外壁塗装 工期
特徴・費用・注意点</t>
  </si>
  <si>
    <t>exterior-paint-duration.webp</t>
  </si>
  <si>
    <t>外壁塗装 足場代
相場と注意点を解説</t>
  </si>
  <si>
    <t>exterior-paint-scaffold-cost.webp</t>
  </si>
  <si>
    <t>付帯部系</t>
  </si>
  <si>
    <t>雨樋 塗装 松山市
症状・費用・注意点</t>
  </si>
  <si>
    <t>gutter-paint-matsuyama.webp</t>
  </si>
  <si>
    <t>雨樋 交換 松山市
症状・費用・注意点</t>
  </si>
  <si>
    <t>gutter-replacement-matsuyama.webp</t>
  </si>
  <si>
    <t>雨樋 色あせ
ポイントを解説</t>
  </si>
  <si>
    <t>gutter-fading.webp</t>
  </si>
  <si>
    <t>雨樋 塗装 必要
特徴・費用・注意点</t>
  </si>
  <si>
    <t>gutter-paint-necessity.webp</t>
  </si>
  <si>
    <t>雨樋 塗装 費用
相場と注意点を解説</t>
  </si>
  <si>
    <t>gutter-paint-cost.webp</t>
  </si>
  <si>
    <t>雨樋 割れ 補修
ポイントを解説</t>
  </si>
  <si>
    <t>gutter-crack-repair.webp</t>
  </si>
  <si>
    <t>雨樋 外れ 修理
ポイントを解説</t>
  </si>
  <si>
    <t>gutter-detached-repair.webp</t>
  </si>
  <si>
    <t>雨樋 劣化 症状
ポイントを解説</t>
  </si>
  <si>
    <t>gutter-deterioration-symptoms.webp</t>
  </si>
  <si>
    <t>雨樋 チョーキング
ポイントを解説</t>
  </si>
  <si>
    <t>gutter-chalking.webp</t>
  </si>
  <si>
    <t>雨樋 塗り替え時期
ポイントを解説</t>
  </si>
  <si>
    <t>gutter-repaint-timing.webp</t>
  </si>
  <si>
    <t>軒天 塗装 松山市
症状・費用・注意点</t>
  </si>
  <si>
    <t>soffit-paint-matsuyama.webp</t>
  </si>
  <si>
    <t>軒天 シミ 原因
放置リスクと対処法</t>
  </si>
  <si>
    <t>soffit-stain-cause.webp</t>
  </si>
  <si>
    <t>軒天 黒ずみ
ポイントを解説</t>
  </si>
  <si>
    <t>soffit-black-stain.webp</t>
  </si>
  <si>
    <t>軒天 カビ
ポイントを解説</t>
  </si>
  <si>
    <t>soffit-mold.webp</t>
  </si>
  <si>
    <t>軒天 剥がれ
ポイントを解説</t>
  </si>
  <si>
    <t>soffit-peeling.webp</t>
  </si>
  <si>
    <t>軒天 ベニヤ 張り替え
ポイントを解説</t>
  </si>
  <si>
    <t>soffit-plywood-replacement.webp</t>
  </si>
  <si>
    <t>軒天 雨漏り
原因と修理方法</t>
  </si>
  <si>
    <t>軒天 塗装 費用
相場と注意点を解説</t>
  </si>
  <si>
    <t>soffit-paint-cost.webp</t>
  </si>
  <si>
    <t>軒天 補修
ポイントを解説</t>
  </si>
  <si>
    <t>soffit-repair.webp</t>
  </si>
  <si>
    <t>軒天 材料 種類
ポイントを解説</t>
  </si>
  <si>
    <t>soffit-material-types.webp</t>
  </si>
  <si>
    <t>画像生成 共通プロンプト</t>
  </si>
  <si>
    <t>使い方</t>
  </si>
  <si>
    <t>1. 画像生成は必ず1記事ずつ行う</t>
  </si>
  <si>
    <t>2. 『画像生成プロンプト一覧』シートの完成プロンプト列をコピーして使う</t>
  </si>
  <si>
    <t>3. 保存名は eyecatches/001.png のように管理する</t>
  </si>
  <si>
    <t>共通プロンプト</t>
  </si>
  <si>
    <t xml:space="preserve">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t>
  </si>
  <si>
    <t>記事タイトル</t>
  </si>
  <si>
    <t>画像ファイル名(PNG)</t>
  </si>
  <si>
    <t>メインコピー</t>
  </si>
  <si>
    <t>サブコピー</t>
  </si>
  <si>
    <t>小見出し・チェック項目</t>
  </si>
  <si>
    <t>背景・構図</t>
  </si>
  <si>
    <t>画像の印象</t>
  </si>
  <si>
    <t>個別プロンプト</t>
  </si>
  <si>
    <t>完成プロンプト</t>
  </si>
  <si>
    <t>『画像生成共通プロンプト』シートを確認し、完成プロンプト列を1記事ずつ画像生成トークへ貼り付けて使用する。</t>
  </si>
  <si>
    <t>001</t>
  </si>
  <si>
    <t>eyecatches/001.png</t>
  </si>
  <si>
    <t>・天井のシミ
・屋根の劣化
・外壁の雨染み</t>
  </si>
  <si>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</si>
  <si>
    <t>強めサムネ・雨漏り訴求を意識しつつ、記事テーマが一目で伝わる強めのアイキャッチにする。
読者が『この記事で何が分かるか』を瞬時に理解できる印象にする。</t>
  </si>
  <si>
    <t xml:space="preserve">【対象記事】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</si>
  <si>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</si>
  <si>
    <t>002</t>
  </si>
  <si>
    <t>eyecatches/002.png</t>
  </si>
  <si>
    <t>・散水調査
・赤外線調査
・写真付き診断書</t>
  </si>
  <si>
    <t>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t>
  </si>
  <si>
    <t>修理ではなく「調査・原因特定」が主役の画像にする。
雨漏りの見えない原因をプロが調べる、という印象を強く出す。</t>
  </si>
  <si>
    <t xml:space="preserve">【対象記事】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</si>
  <si>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t>
  </si>
  <si>
    <t>003</t>
  </si>
  <si>
    <t>eyecatches/003.png</t>
  </si>
  <si>
    <t>・天井のシミ
・壁紙の浮き
・カビ臭い
・雨の日だけ濡れる</t>
  </si>
  <si>
    <t>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t>
  </si>
  <si>
    <t>不安をあおりすぎず、まずは現地診断で状態を確認できる安心感を出す。
雨漏りかどうか分からない読者が相談しやすい印象にする。</t>
  </si>
  <si>
    <t xml:space="preserve">【対象記事】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</si>
  <si>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t>
  </si>
  <si>
    <t>004</t>
  </si>
  <si>
    <t>eyecatches/004.png</t>
  </si>
  <si>
    <t>・見積りの内容
・原因の説明
・保証・アフター
・地域での実績</t>
  </si>
  <si>
    <t>見積書、住宅外観、比較表が分かる背景にする。
考える住人＋職人が、見積書や比較ポイントを示しながら相談に乗っている。
見積書、比較表、保証のアイコンなどを分かりやすく配置する。
「松山市版」の小さなラベルを入れる。</t>
  </si>
  <si>
    <t>業者選びで失敗したくない読者に向けて、比較ポイントが一目で伝わる画像にする。
安さだけではなく、説明・見積り・保証が大切だと感じられる印象にする。</t>
  </si>
  <si>
    <t xml:space="preserve">【対象記事】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</si>
  <si>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t>
  </si>
  <si>
    <t>005</t>
  </si>
  <si>
    <t>eyecatches/005.png</t>
  </si>
  <si>
    <t>・応急処置
・屋根補修
・防水工事
・費用の内訳</t>
  </si>
  <si>
    <t>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t>
  </si>
  <si>
    <t>費用への不安を持つ読者に向けて、相場や内訳が分かりやすい印象にする。
安売り感ではなく、無料見積りで納得して相談できる安心感を出す。</t>
  </si>
  <si>
    <t xml:space="preserve">【対象記事】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</si>
  <si>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</si>
  <si>
    <t>006</t>
  </si>
  <si>
    <t>eyecatches/006.png</t>
  </si>
  <si>
    <t>・屋根からの侵入
・外壁のひび割れ
・サッシまわり
・ベランダ防水の劣化</t>
  </si>
  <si>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</si>
  <si>
    <t>原因や症状が一目で伝わる、分かりやすい解説型の画像にする。
放置リスクと早めの対策の大切さが伝わる印象にする。</t>
  </si>
  <si>
    <t xml:space="preserve">【対象記事】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</si>
  <si>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</si>
  <si>
    <t>007</t>
  </si>
  <si>
    <t>eyecatches/007.png</t>
  </si>
  <si>
    <t>・防水層の劣化
・ひび割れ
・排水不良
・トップコートの傷み</t>
  </si>
  <si>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</si>
  <si>
    <t>防水訴求を意識しつつ、記事テーマが一目で伝わる強めのアイキャッチにする。
読者が『この記事で何が分かるか』を瞬時に理解できる印象にする。</t>
  </si>
  <si>
    <t xml:space="preserve">【対象記事】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</si>
  <si>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t>
  </si>
  <si>
    <t>008</t>
  </si>
  <si>
    <t>eyecatches/008.png</t>
  </si>
  <si>
    <t>・サッシまわり
・コーキング劣化
・外壁の取り合い
・雨水の侵入口</t>
  </si>
  <si>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</si>
  <si>
    <t>汎用外装訴求を意識しつつ、記事テーマが一目で伝わる強めのアイキャッチにする。
読者が『この記事で何が分かるか』を瞬時に理解できる印象にする。</t>
  </si>
  <si>
    <t xml:space="preserve">【対象記事】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</si>
  <si>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</si>
  <si>
    <t>009</t>
  </si>
  <si>
    <t>eyecatches/009.png</t>
  </si>
  <si>
    <t>・外壁のひび割れ
・コーキング劣化
・塗膜の劣化
・雨染み</t>
  </si>
  <si>
    <t xml:space="preserve">【対象記事】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</si>
  <si>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</si>
  <si>
    <t>010</t>
  </si>
  <si>
    <t>eyecatches/010.png</t>
  </si>
  <si>
    <t>・瓦のズレ
・板金の浮き
・漆喰の傷み
・屋根下地の劣化</t>
  </si>
  <si>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</si>
  <si>
    <t>屋根の劣化や修理の必要性がひと目で伝わる画像にする。
専門性を感じさせつつ、地域で相談できる安心感も出す。</t>
  </si>
  <si>
    <t xml:space="preserve">【対象記事】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</si>
  <si>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</si>
  <si>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011</t>
  </si>
  <si>
    <t>eyecatches/011.png</t>
  </si>
  <si>
    <t>・劣化症状
・修理方法
・費用相場
・放置リスク</t>
  </si>
  <si>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</si>
  <si>
    <t xml:space="preserve">【対象記事】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</si>
  <si>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</si>
  <si>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012</t>
  </si>
  <si>
    <t>eyecatches/012.png</t>
  </si>
  <si>
    <t xml:space="preserve">【対象記事】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</si>
  <si>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</si>
  <si>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013</t>
  </si>
  <si>
    <t>eyecatches/013.png</t>
  </si>
  <si>
    <t xml:space="preserve">【対象記事】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</si>
  <si>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</si>
  <si>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014</t>
  </si>
  <si>
    <t>eyecatches/014.png</t>
  </si>
  <si>
    <t xml:space="preserve">【対象記事】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</si>
  <si>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</si>
  <si>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015</t>
  </si>
  <si>
    <t>eyecatches/015.png</t>
  </si>
  <si>
    <t xml:space="preserve">【対象記事】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</si>
  <si>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</si>
  <si>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016</t>
  </si>
  <si>
    <t>eyecatches/016.png</t>
  </si>
  <si>
    <t xml:space="preserve">【対象記事】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</si>
  <si>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</si>
  <si>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017</t>
  </si>
  <si>
    <t>eyecatches/017.png</t>
  </si>
  <si>
    <t>・屋根材の特徴
・注意点
・劣化症状
・対策</t>
  </si>
  <si>
    <t xml:space="preserve">【対象記事】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</si>
  <si>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</si>
  <si>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018</t>
  </si>
  <si>
    <t>eyecatches/018.png</t>
  </si>
  <si>
    <t xml:space="preserve">【対象記事】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</si>
  <si>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</si>
  <si>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019</t>
  </si>
  <si>
    <t>eyecatches/019.png</t>
  </si>
  <si>
    <t xml:space="preserve">【対象記事】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</si>
  <si>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</si>
  <si>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020</t>
  </si>
  <si>
    <t>eyecatches/020.png</t>
  </si>
  <si>
    <t>・外壁の特徴
・注意点
・塗装時期
・業者選び</t>
  </si>
  <si>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</si>
  <si>
    <t>外壁塗装の必要性や注意点が分かる、強めで分かりやすい画像にする。
塗り替え時期や工事のポイントを知りたい読者に向けた印象にする。</t>
  </si>
  <si>
    <t xml:space="preserve">【対象記事】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</si>
  <si>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</si>
  <si>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021</t>
  </si>
  <si>
    <t>eyecatches/021.png</t>
  </si>
  <si>
    <t xml:space="preserve">【対象記事】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</si>
  <si>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</si>
  <si>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022</t>
  </si>
  <si>
    <t>eyecatches/022.png</t>
  </si>
  <si>
    <t xml:space="preserve">【対象記事】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</si>
  <si>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</si>
  <si>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023</t>
  </si>
  <si>
    <t>eyecatches/023.png</t>
  </si>
  <si>
    <t xml:space="preserve">【対象記事】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</si>
  <si>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</si>
  <si>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024</t>
  </si>
  <si>
    <t>eyecatches/024.png</t>
  </si>
  <si>
    <t xml:space="preserve">【対象記事】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</si>
  <si>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</si>
  <si>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025</t>
  </si>
  <si>
    <t>eyecatches/025.png</t>
  </si>
  <si>
    <t>・劣化箇所の拡大
・雨染み
・ひび割れ</t>
  </si>
  <si>
    <t xml:space="preserve">【対象記事】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</si>
  <si>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</si>
  <si>
    <t>026</t>
  </si>
  <si>
    <t>eyecatches/026.png</t>
  </si>
  <si>
    <t xml:space="preserve">【対象記事】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</si>
  <si>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</si>
  <si>
    <t>027</t>
  </si>
  <si>
    <t>eyecatches/027.png</t>
  </si>
  <si>
    <t>・天井シミ
・雨だれ
・屋根点検</t>
  </si>
  <si>
    <t xml:space="preserve">【対象記事】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</si>
  <si>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</si>
  <si>
    <t>028</t>
  </si>
  <si>
    <t>eyecatches/028.png</t>
  </si>
  <si>
    <t>・住宅外観
・劣化箇所</t>
  </si>
  <si>
    <t xml:space="preserve">【対象記事】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</si>
  <si>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</si>
  <si>
    <t>029</t>
  </si>
  <si>
    <t>eyecatches/029.png</t>
  </si>
  <si>
    <t>・劣化症状
・補修・塗装方法
・費用相場
・メンテ時期</t>
  </si>
  <si>
    <t xml:space="preserve">【対象記事】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</si>
  <si>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</si>
  <si>
    <t>030</t>
  </si>
  <si>
    <t>eyecatches/030.png</t>
  </si>
  <si>
    <t xml:space="preserve">【対象記事】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</si>
  <si>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</si>
  <si>
    <t>031</t>
  </si>
  <si>
    <t>eyecatches/031.png</t>
  </si>
  <si>
    <t>・劣化症状
・原因
・補修・塗装方法
・費用相場</t>
  </si>
  <si>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</si>
  <si>
    <t>軒天訴求を意識しつつ、記事テーマが一目で伝わる強めのアイキャッチにする。
読者が『この記事で何が分かるか』を瞬時に理解できる印象にする。</t>
  </si>
  <si>
    <t xml:space="preserve">【対象記事】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</si>
  <si>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t>
  </si>
  <si>
    <t>032</t>
  </si>
  <si>
    <t>eyecatches/032.png</t>
  </si>
  <si>
    <t>・適用条件
・対象工事
・申請の流れ
・注意点</t>
  </si>
  <si>
    <t>住宅外観、劣化箇所が分かる背景にする。
職人が、住まいの状態を確認しながら、ポイントを説明している。
保険申請、書類、屋根被害のイメージを分かりやすく配置する。
「松山市版」の小さなラベルを入れる。</t>
  </si>
  <si>
    <t xml:space="preserve">【対象記事】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</si>
  <si>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</si>
  <si>
    <t>033</t>
  </si>
  <si>
    <t>eyecatches/033.png</t>
  </si>
  <si>
    <t>・劣化症状
・工法の違い
・費用相場
・メンテ時期</t>
  </si>
  <si>
    <t>防水やシーリングの重要性が一目で伝わる画像にする。
劣化症状、費用、工法の違いが分かる実用的な印象にする。</t>
  </si>
  <si>
    <t xml:space="preserve">【対象記事】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</si>
  <si>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</si>
  <si>
    <t>034</t>
  </si>
  <si>
    <t>eyecatches/034.png</t>
  </si>
  <si>
    <t>・ベランダ床
・防水層
・排水口</t>
  </si>
  <si>
    <t xml:space="preserve">【対象記事】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</si>
  <si>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</si>
  <si>
    <t>035</t>
  </si>
  <si>
    <t>eyecatches/035.png</t>
  </si>
  <si>
    <t>・既存撤去
・打ち替え工程
・材料の違い
・費用相場</t>
  </si>
  <si>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</si>
  <si>
    <t xml:space="preserve">【対象記事】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</si>
  <si>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</si>
  <si>
    <t>036</t>
  </si>
  <si>
    <t>eyecatches/036.png</t>
  </si>
  <si>
    <t>・高耐久シーリング
・耐久性
・費用相場
・選び方</t>
  </si>
  <si>
    <t xml:space="preserve">【対象記事】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</si>
  <si>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</si>
  <si>
    <t>037</t>
  </si>
  <si>
    <t>eyecatches/037.png</t>
  </si>
  <si>
    <t>・費用相場
・内訳
・工事内容
・見積りの見方</t>
  </si>
  <si>
    <t xml:space="preserve">【対象記事】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</si>
  <si>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</si>
  <si>
    <t>038</t>
  </si>
  <si>
    <t>eyecatches/038.png</t>
  </si>
  <si>
    <t>・耐用年数
・劣化サイン
・メンテ時期
・注意点</t>
  </si>
  <si>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</si>
  <si>
    <t xml:space="preserve">【対象記事】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</si>
  <si>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</si>
  <si>
    <t>039</t>
  </si>
  <si>
    <t>eyecatches/039.png</t>
  </si>
  <si>
    <t xml:space="preserve">【対象記事】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</si>
  <si>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</si>
  <si>
    <t>040</t>
  </si>
  <si>
    <t>eyecatches/040.png</t>
  </si>
  <si>
    <t xml:space="preserve">【対象記事】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</si>
  <si>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</si>
  <si>
    <t>041</t>
  </si>
  <si>
    <t>eyecatches/041.png</t>
  </si>
  <si>
    <t>・主なメリット
・向いている家
・注意点
・選び方</t>
  </si>
  <si>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</si>
  <si>
    <t xml:space="preserve">【対象記事】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</si>
  <si>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</si>
  <si>
    <t>042</t>
  </si>
  <si>
    <t>eyecatches/042.png</t>
  </si>
  <si>
    <t xml:space="preserve">【対象記事】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</si>
  <si>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</si>
  <si>
    <t>043</t>
  </si>
  <si>
    <t>eyecatches/043.png</t>
  </si>
  <si>
    <t xml:space="preserve">【対象記事】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</si>
  <si>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</si>
  <si>
    <t>044</t>
  </si>
  <si>
    <t>eyecatches/044.png</t>
  </si>
  <si>
    <t>・劣化症状
・原因
・補修方法
・再発防止</t>
  </si>
  <si>
    <t xml:space="preserve">【対象記事】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</si>
  <si>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</si>
  <si>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045</t>
  </si>
  <si>
    <t>eyecatches/045.png</t>
  </si>
  <si>
    <t xml:space="preserve">【対象記事】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</si>
  <si>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</si>
  <si>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046</t>
  </si>
  <si>
    <t>eyecatches/046.png</t>
  </si>
  <si>
    <t xml:space="preserve">【対象記事】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</si>
  <si>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</si>
  <si>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047</t>
  </si>
  <si>
    <t>eyecatches/047.png</t>
  </si>
  <si>
    <t xml:space="preserve">【対象記事】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</si>
  <si>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</si>
  <si>
    <t>048</t>
  </si>
  <si>
    <t>eyecatches/048.png</t>
  </si>
  <si>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</si>
  <si>
    <t xml:space="preserve">【対象記事】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</si>
  <si>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</si>
  <si>
    <t>049</t>
  </si>
  <si>
    <t>eyecatches/049.png</t>
  </si>
  <si>
    <t>・塗装NGの屋根材
・劣化症状
・正しい対策
・注意点</t>
  </si>
  <si>
    <t xml:space="preserve">【対象記事】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</si>
  <si>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</si>
  <si>
    <t>050</t>
  </si>
  <si>
    <t>eyecatches/050.png</t>
  </si>
  <si>
    <t>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t>
  </si>
  <si>
    <t xml:space="preserve">【対象記事】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</si>
  <si>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</si>
  <si>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051</t>
  </si>
  <si>
    <t>eyecatches/051.png</t>
  </si>
  <si>
    <t xml:space="preserve">【対象記事】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</si>
  <si>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</si>
  <si>
    <t>052</t>
  </si>
  <si>
    <t>eyecatches/052.png</t>
  </si>
  <si>
    <t>・施工できる？
・注意点
・メリット
・工期への影響</t>
  </si>
  <si>
    <t xml:space="preserve">【対象記事】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</si>
  <si>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</si>
  <si>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053</t>
  </si>
  <si>
    <t>eyecatches/053.png</t>
  </si>
  <si>
    <t xml:space="preserve">【対象記事】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</si>
  <si>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</si>
  <si>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054</t>
  </si>
  <si>
    <t>eyecatches/054.png</t>
  </si>
  <si>
    <t xml:space="preserve">【対象記事】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</si>
  <si>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</si>
  <si>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055</t>
  </si>
  <si>
    <t>eyecatches/055.png</t>
  </si>
  <si>
    <t xml:space="preserve">【対象記事】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</si>
  <si>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</si>
  <si>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056</t>
  </si>
  <si>
    <t>eyecatches/056.png</t>
  </si>
  <si>
    <t xml:space="preserve">【対象記事】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</si>
  <si>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</si>
  <si>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057</t>
  </si>
  <si>
    <t>eyecatches/057.png</t>
  </si>
  <si>
    <t xml:space="preserve">【対象記事】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</si>
  <si>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</si>
  <si>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058</t>
  </si>
  <si>
    <t>eyecatches/058.png</t>
  </si>
  <si>
    <t xml:space="preserve">【対象記事】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</si>
  <si>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</si>
  <si>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059</t>
  </si>
  <si>
    <t>eyecatches/059.png</t>
  </si>
  <si>
    <t>・工程の流れ
・日数の目安
・遅れる要因
・事前準備</t>
  </si>
  <si>
    <t xml:space="preserve">【対象記事】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</si>
  <si>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</si>
  <si>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060</t>
  </si>
  <si>
    <t>eyecatches/060.png</t>
  </si>
  <si>
    <t>・工事内容
・メリット
・注意点
・選び方</t>
  </si>
  <si>
    <t xml:space="preserve">【対象記事】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</si>
  <si>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</si>
  <si>
    <t>061</t>
  </si>
  <si>
    <t>eyecatches/061.png</t>
  </si>
  <si>
    <t>・劣化症状
・塗装・修理方法
・費用相場
・放置リスク</t>
  </si>
  <si>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</si>
  <si>
    <t>部位ごとの劣化症状やメンテナンスの必要性が直感的に伝わる画像にする。
小さな部位でも放置しない大切さが分かる印象にする。</t>
  </si>
  <si>
    <t xml:space="preserve">【対象記事】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</si>
  <si>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</si>
  <si>
    <t>062</t>
  </si>
  <si>
    <t>eyecatches/062.png</t>
  </si>
  <si>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</si>
  <si>
    <t xml:space="preserve">【対象記事】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</si>
  <si>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</si>
  <si>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063</t>
  </si>
  <si>
    <t>eyecatches/063.png</t>
  </si>
  <si>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</si>
  <si>
    <t xml:space="preserve">【対象記事】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</si>
  <si>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</si>
  <si>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064</t>
  </si>
  <si>
    <t>eyecatches/064.png</t>
  </si>
  <si>
    <t xml:space="preserve">【対象記事】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</si>
  <si>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</si>
  <si>
    <t>065</t>
  </si>
  <si>
    <t>eyecatches/065.png</t>
  </si>
  <si>
    <t>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t>
  </si>
  <si>
    <t xml:space="preserve">【対象記事】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</si>
  <si>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</si>
  <si>
    <t>066</t>
  </si>
  <si>
    <t>eyecatches/066.png</t>
  </si>
  <si>
    <t xml:space="preserve">【対象記事】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</si>
  <si>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</si>
  <si>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067</t>
  </si>
  <si>
    <t>eyecatches/067.png</t>
  </si>
  <si>
    <t xml:space="preserve">【対象記事】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</si>
  <si>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</si>
  <si>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068</t>
  </si>
  <si>
    <t>eyecatches/068.png</t>
  </si>
  <si>
    <t xml:space="preserve">【対象記事】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</si>
  <si>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</si>
  <si>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069</t>
  </si>
  <si>
    <t>eyecatches/069.png</t>
  </si>
  <si>
    <t xml:space="preserve">【対象記事】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</si>
  <si>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</si>
  <si>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070</t>
  </si>
  <si>
    <t>eyecatches/070.png</t>
  </si>
  <si>
    <t xml:space="preserve">【対象記事】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</si>
  <si>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</si>
  <si>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071</t>
  </si>
  <si>
    <t>eyecatches/071.png</t>
  </si>
  <si>
    <t>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t>
  </si>
  <si>
    <t xml:space="preserve">【対象記事】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</si>
  <si>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</si>
  <si>
    <t>072</t>
  </si>
  <si>
    <t>eyecatches/072.png</t>
  </si>
  <si>
    <t xml:space="preserve">【対象記事】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</si>
  <si>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</si>
  <si>
    <t>073</t>
  </si>
  <si>
    <t>eyecatches/073.png</t>
  </si>
  <si>
    <t xml:space="preserve">【対象記事】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</si>
  <si>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</si>
  <si>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074</t>
  </si>
  <si>
    <t>eyecatches/074.png</t>
  </si>
  <si>
    <t xml:space="preserve">【対象記事】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</si>
  <si>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</si>
  <si>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075</t>
  </si>
  <si>
    <t>eyecatches/075.png</t>
  </si>
  <si>
    <t xml:space="preserve">【対象記事】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</si>
  <si>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</si>
  <si>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076</t>
  </si>
  <si>
    <t>eyecatches/076.png</t>
  </si>
  <si>
    <t xml:space="preserve">【対象記事】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</si>
  <si>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</si>
  <si>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077</t>
  </si>
  <si>
    <t>eyecatches/077.png</t>
  </si>
  <si>
    <t xml:space="preserve">【対象記事】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</si>
  <si>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</si>
  <si>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078</t>
  </si>
  <si>
    <t>eyecatches/078.png</t>
  </si>
  <si>
    <t>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t>
  </si>
  <si>
    <t xml:space="preserve">【対象記事】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</si>
  <si>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</si>
  <si>
    <t>079</t>
  </si>
  <si>
    <t>eyecatches/079.png</t>
  </si>
  <si>
    <t>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t>
  </si>
  <si>
    <t xml:space="preserve">【対象記事】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</si>
  <si>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</si>
  <si>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080</t>
  </si>
  <si>
    <t>eyecatches/080.png</t>
  </si>
  <si>
    <t>・材料の種類
・特徴
・選び方
・注意点</t>
  </si>
  <si>
    <t xml:space="preserve">【対象記事】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</si>
  <si>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</si>
  <si>
    <t>soffit-leak-cause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</si>
</sst>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hh:mm"/>
  </numFmts>
  <fonts count="8">
    <font>
      <sz val="11"/>
      <name val="Carlito"/>
    </font>
    <font>
      <b/>
      <sz val="11"/>
      <color rgb="FFFFFFFF"/>
      <name val="Carlito"/>
    </font>
    <font>
      <b/>
      <sz val="18"/>
      <color rgb="FFFFFFFF"/>
      <name val="Carlito"/>
    </font>
    <font>
      <b/>
      <sz val="14"/>
      <color rgb="FFFFFFFF"/>
      <name val="Carlito"/>
    </font>
    <font>
      <b/>
      <sz val="11"/>
      <name val="Carlito"/>
    </font>
    <font>
      <b/>
      <sz val="11"/>
      <color rgb="FFFFFFFF"/>
      <name val="Carlito"/>
    </font>
    <font>
      <sz val="11"/>
      <name val="Carlito"/>
    </font>
    <font>
      <sz val="6"/>
      <name val="ＭＳ Ｐゴシック"/>
      <family val="3"/>
      <charset val="128"/>
    </font>
  </fonts>
  <fills count="10">
    <fill>
      <patternFill patternType="none"/>
    </fill>
    <fill>
      <patternFill patternType="gray125"/>
    </fill>
    <fill>
      <patternFill patternType="solid">
        <fgColor rgb="FF0F3A2E"/>
      </patternFill>
    </fill>
    <fill>
      <patternFill patternType="solid">
        <fgColor rgb="FF7A1F2B"/>
      </patternFill>
    </fill>
    <fill>
      <patternFill patternType="solid">
        <fgColor rgb="FF173763"/>
      </patternFill>
    </fill>
    <fill>
      <patternFill patternType="solid">
        <fgColor rgb="FFC89B5B"/>
      </patternFill>
    </fill>
    <fill>
      <patternFill patternType="solid">
        <fgColor rgb="FF4B5563"/>
      </patternFill>
    </fill>
    <fill>
      <patternFill patternType="solid">
        <fgColor rgb="FF6B7280"/>
      </patternFill>
    </fill>
    <fill>
      <patternFill patternType="solid">
        <fgColor rgb="FF1F4E78"/>
      </patternFill>
    </fill>
    <fill>
      <patternFill patternType="solid">
        <fgColor rgb="FFFFF2CC"/>
      </patternFill>
    </fill>
  </fills>
  <borders count="5">
    <border>
      <left/>
      <right/>
      <top/>
      <bottom/>
      <diagonal/>
    </border>
    <border>
      <left/>
      <right/>
      <top/>
      <bottom/>
      <diagonal/>
    </border>
    <border>
      <left style="thin">
        <color rgb="FFB7B7B7"/>
      </left>
      <right style="thin">
        <color rgb="FFB7B7B7"/>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s>
  <cellStyleXfs count="2">
    <xf numFmtId="0" fontId="0" fillId="0" borderId="1"/>
    <xf numFmtId="0" fontId="6" fillId="0" borderId="1"/>
  </cellStyleXfs>
  <cellXfs count="29">
    <xf numFmtId="0" fontId="0" fillId="0" borderId="0" xfId="0" applyBorder="1"/>
    <xf numFmtId="0" fontId="1" fillId="2" borderId="0" xfId="1" applyFont="1" applyFill="1" applyBorder="1" applyAlignment="1">
      <alignment wrapText="1"/>
    </xf>
    <xf numFmtId="0" fontId="1" fillId="2" borderId="0" xfId="1" applyFont="1" applyFill="1" applyBorder="1" applyAlignment="1">
      <alignment horizontal="center" vertical="center" wrapText="1"/>
    </xf>
    <xf numFmtId="0" fontId="0" fillId="0" borderId="0" xfId="1" applyFont="1" applyBorder="1" applyAlignment="1">
      <alignment wrapText="1"/>
    </xf>
    <xf numFmtId="0" fontId="1" fillId="2" borderId="0" xfId="1" applyFont="1" applyFill="1" applyBorder="1" applyAlignment="1">
      <alignment horizontal="center" vertical="top" wrapText="1"/>
    </xf>
    <xf numFmtId="0" fontId="0" fillId="0" borderId="0" xfId="1" applyFont="1" applyBorder="1" applyAlignment="1">
      <alignment vertical="top" wrapText="1"/>
    </xf>
    <xf numFmtId="0" fontId="1" fillId="3" borderId="0" xfId="1" applyFont="1" applyFill="1" applyBorder="1" applyAlignment="1">
      <alignment horizontal="center" vertical="top" wrapText="1"/>
    </xf>
    <xf numFmtId="0" fontId="1" fillId="4" borderId="0" xfId="1" applyFont="1" applyFill="1" applyBorder="1" applyAlignment="1">
      <alignment horizontal="center" vertical="top" wrapText="1"/>
    </xf>
    <xf numFmtId="0" fontId="1" fillId="5" borderId="0" xfId="1" applyFont="1" applyFill="1" applyBorder="1" applyAlignment="1">
      <alignment horizontal="center" vertical="top" wrapText="1"/>
    </xf>
    <xf numFmtId="0" fontId="1" fillId="6" borderId="0" xfId="1" applyFont="1" applyFill="1" applyBorder="1" applyAlignment="1">
      <alignment horizontal="center" vertical="top" wrapText="1"/>
    </xf>
    <xf numFmtId="0" fontId="1" fillId="4" borderId="0" xfId="1" applyFont="1" applyFill="1" applyBorder="1" applyAlignment="1">
      <alignment horizontal="center" wrapText="1"/>
    </xf>
    <xf numFmtId="0" fontId="1" fillId="3" borderId="0" xfId="1" applyFont="1" applyFill="1" applyBorder="1" applyAlignment="1">
      <alignment horizontal="center" wrapText="1"/>
    </xf>
    <xf numFmtId="0" fontId="1" fillId="6" borderId="0" xfId="1" applyFont="1" applyFill="1" applyBorder="1" applyAlignment="1">
      <alignment horizontal="center" wrapText="1"/>
    </xf>
    <xf numFmtId="0" fontId="1" fillId="7" borderId="0" xfId="1" applyFont="1" applyFill="1" applyBorder="1" applyAlignment="1">
      <alignment horizontal="center" wrapText="1"/>
    </xf>
    <xf numFmtId="176" fontId="0" fillId="0" borderId="0" xfId="1" applyNumberFormat="1" applyFont="1" applyBorder="1" applyAlignment="1">
      <alignment vertical="top" wrapText="1"/>
    </xf>
    <xf numFmtId="176" fontId="1" fillId="6" borderId="0" xfId="1" applyNumberFormat="1" applyFont="1" applyFill="1" applyBorder="1" applyAlignment="1">
      <alignment horizontal="center" wrapText="1"/>
    </xf>
    <xf numFmtId="0" fontId="4" fillId="0" borderId="0" xfId="1" applyFont="1" applyBorder="1"/>
    <xf numFmtId="0" fontId="5" fillId="8" borderId="2" xfId="1" applyFont="1" applyFill="1" applyBorder="1" applyAlignment="1">
      <alignment horizontal="center" vertical="center" wrapText="1"/>
    </xf>
    <xf numFmtId="0" fontId="4" fillId="9" borderId="2" xfId="1" applyFont="1" applyFill="1" applyBorder="1"/>
    <xf numFmtId="0" fontId="0" fillId="0" borderId="2" xfId="1" applyFont="1" applyBorder="1" applyAlignment="1">
      <alignment horizontal="center" vertical="center" wrapText="1"/>
    </xf>
    <xf numFmtId="0" fontId="0" fillId="0" borderId="2" xfId="1" applyFont="1" applyBorder="1" applyAlignment="1">
      <alignment vertical="top" wrapText="1"/>
    </xf>
    <xf numFmtId="0" fontId="2" fillId="2" borderId="1" xfId="1" applyFont="1" applyFill="1" applyAlignment="1">
      <alignment horizontal="center" wrapText="1"/>
    </xf>
    <xf numFmtId="0" fontId="0" fillId="0" borderId="1" xfId="1" applyFont="1"/>
    <xf numFmtId="0" fontId="0" fillId="0" borderId="1" xfId="1" applyFont="1" applyAlignment="1">
      <alignment vertical="top" wrapText="1"/>
    </xf>
    <xf numFmtId="0" fontId="0" fillId="0" borderId="0" xfId="0" applyBorder="1"/>
    <xf numFmtId="0" fontId="3" fillId="8" borderId="1" xfId="1" applyFont="1" applyFill="1" applyAlignment="1">
      <alignment horizontal="center" vertical="center" wrapText="1"/>
    </xf>
    <xf numFmtId="0" fontId="0" fillId="9" borderId="2" xfId="1" applyFont="1" applyFill="1" applyBorder="1" applyAlignment="1">
      <alignment vertical="top" wrapText="1"/>
    </xf>
    <xf numFmtId="0" fontId="0" fillId="0" borderId="3" xfId="1" applyFont="1" applyBorder="1"/>
    <xf numFmtId="0" fontId="0" fillId="0" borderId="4" xfId="1" applyFont="1" applyBorder="1"/>
  </cellXfs>
  <cellStyles count="2">
    <cellStyle name="Normal" xfId="1" xr:uid="{00000000-0005-0000-0000-000000000000}"/>
    <cellStyle name="標準" xfId="0" builtinId="0"/>
  </cellStyles>
  <dxfs count="35">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1"/>
  <c:style val="2"/>
  <c:chart>
    <c:title>
      <c:tx>
        <c:rich>
          <a:bodyPr/>
          <a:lstStyle/>
          <a:p>
            <a:r>
              <a:rPr lang="ja-JP" altLang="en-US"/>
              <a:t>ロット別 進捗</a:t>
            </a:r>
          </a:p>
        </c:rich>
      </c:tx>
      <c:overlay val="0"/>
    </c:title>
    <c:autoTitleDeleted val="0"/>
    <c:plotArea>
      <c:layout/>
      <c:barChart>
        <c:barDir val="col"/>
        <c:grouping val="clustered"/>
        <c:varyColors val="0"/>
        <c:ser>
          <c:idx val="0"/>
          <c:order val="0"/>
          <c:tx>
            <c:v>#NAME?</c:v>
          </c:tx>
          <c:spPr>
            <a:ln>
              <a:prstDash val="solid"/>
            </a:ln>
          </c:spPr>
          <c:invertIfNegative val="1"/>
          <c:cat>
            <c:strRef>
              <c:f>ダッシュボード!$A$11:$A$13</c:f>
              <c:strCache>
                <c:ptCount val="3"/>
                <c:pt idx="0">
                  <c:v>第2ロット：屋根修理・屋根材系</c:v>
                </c:pt>
                <c:pt idx="1">
                  <c:v>第3ロット：外壁塗装・防水系</c:v>
                </c:pt>
                <c:pt idx="2">
                  <c:v>第4ロット：雨樋・軒天・付帯部系</c:v>
                </c:pt>
              </c:strCache>
            </c:strRef>
          </c:cat>
          <c:val>
            <c:numRef>
              <c:f>ダッシュボード!$B$11:$B$13</c:f>
              <c:numCache>
                <c:formatCode>General</c:formatCode>
                <c:ptCount val="3"/>
                <c:pt idx="0">
                  <c:v>19</c:v>
                </c:pt>
                <c:pt idx="1">
                  <c:v>23</c:v>
                </c:pt>
                <c:pt idx="2">
                  <c:v>20</c:v>
                </c:pt>
              </c:numCache>
            </c:numRef>
          </c:val>
          <c:extLst>
            <c:ext xmlns:c16="http://schemas.microsoft.com/office/drawing/2014/chart" uri="{C3380CC4-5D6E-409C-BE32-E72D297353CC}">
              <c16:uniqueId val="{00000000-7F53-44B1-9898-8BEE2ECE7E72}"/>
            </c:ext>
          </c:extLst>
        </c:ser>
        <c:ser>
          <c:idx val="1"/>
          <c:order val="1"/>
          <c:tx>
            <c:v>#NAME?</c:v>
          </c:tx>
          <c:spPr>
            <a:ln>
              <a:prstDash val="solid"/>
            </a:ln>
          </c:spPr>
          <c:invertIfNegative val="1"/>
          <c:cat>
            <c:strRef>
              <c:f>ダッシュボード!$A$11:$A$13</c:f>
              <c:strCache>
                <c:ptCount val="3"/>
                <c:pt idx="0">
                  <c:v>第2ロット：屋根修理・屋根材系</c:v>
                </c:pt>
                <c:pt idx="1">
                  <c:v>第3ロット：外壁塗装・防水系</c:v>
                </c:pt>
                <c:pt idx="2">
                  <c:v>第4ロット：雨樋・軒天・付帯部系</c:v>
                </c:pt>
              </c:strCache>
            </c:strRef>
          </c:cat>
          <c:val>
            <c:numRef>
              <c:f>ダッシュボード!$C$11:$C$13</c:f>
              <c:numCache>
                <c:formatCode>General</c:formatCode>
                <c:ptCount val="3"/>
                <c:pt idx="0">
                  <c:v>0</c:v>
                </c:pt>
                <c:pt idx="1">
                  <c:v>0</c:v>
                </c:pt>
                <c:pt idx="2">
                  <c:v>0</c:v>
                </c:pt>
              </c:numCache>
            </c:numRef>
          </c:val>
          <c:extLst>
            <c:ext xmlns:c16="http://schemas.microsoft.com/office/drawing/2014/chart" uri="{C3380CC4-5D6E-409C-BE32-E72D297353CC}">
              <c16:uniqueId val="{00000001-7F53-44B1-9898-8BEE2ECE7E72}"/>
            </c:ext>
          </c:extLst>
        </c:ser>
        <c:ser>
          <c:idx val="2"/>
          <c:order val="2"/>
          <c:tx>
            <c:v>#NAME?</c:v>
          </c:tx>
          <c:spPr>
            <a:ln>
              <a:prstDash val="solid"/>
            </a:ln>
          </c:spPr>
          <c:invertIfNegative val="1"/>
          <c:cat>
            <c:strRef>
              <c:f>ダッシュボード!$A$11:$A$13</c:f>
              <c:strCache>
                <c:ptCount val="3"/>
                <c:pt idx="0">
                  <c:v>第2ロット：屋根修理・屋根材系</c:v>
                </c:pt>
                <c:pt idx="1">
                  <c:v>第3ロット：外壁塗装・防水系</c:v>
                </c:pt>
                <c:pt idx="2">
                  <c:v>第4ロット：雨樋・軒天・付帯部系</c:v>
                </c:pt>
              </c:strCache>
            </c:strRef>
          </c:cat>
          <c:val>
            <c:numRef>
              <c:f>ダッシュボード!$D$11:$D$13</c:f>
              <c:numCache>
                <c:formatCode>General</c:formatCode>
                <c:ptCount val="3"/>
                <c:pt idx="0">
                  <c:v>0</c:v>
                </c:pt>
                <c:pt idx="1">
                  <c:v>0</c:v>
                </c:pt>
                <c:pt idx="2">
                  <c:v>0</c:v>
                </c:pt>
              </c:numCache>
            </c:numRef>
          </c:val>
          <c:extLst>
            <c:ext xmlns:c16="http://schemas.microsoft.com/office/drawing/2014/chart" uri="{C3380CC4-5D6E-409C-BE32-E72D297353CC}">
              <c16:uniqueId val="{00000002-7F53-44B1-9898-8BEE2ECE7E72}"/>
            </c:ext>
          </c:extLst>
        </c:ser>
        <c:ser>
          <c:idx val="3"/>
          <c:order val="3"/>
          <c:tx>
            <c:v>#NAME?</c:v>
          </c:tx>
          <c:spPr>
            <a:ln>
              <a:prstDash val="solid"/>
            </a:ln>
          </c:spPr>
          <c:invertIfNegative val="1"/>
          <c:cat>
            <c:strRef>
              <c:f>ダッシュボード!$A$11:$A$13</c:f>
              <c:strCache>
                <c:ptCount val="3"/>
                <c:pt idx="0">
                  <c:v>第2ロット：屋根修理・屋根材系</c:v>
                </c:pt>
                <c:pt idx="1">
                  <c:v>第3ロット：外壁塗装・防水系</c:v>
                </c:pt>
                <c:pt idx="2">
                  <c:v>第4ロット：雨樋・軒天・付帯部系</c:v>
                </c:pt>
              </c:strCache>
            </c:strRef>
          </c:cat>
          <c:val>
            <c:numRef>
              <c:f>ダッシュボード!$E$11:$E$13</c:f>
              <c:numCache>
                <c:formatCode>General</c:formatCode>
                <c:ptCount val="3"/>
                <c:pt idx="0">
                  <c:v>0</c:v>
                </c:pt>
                <c:pt idx="1">
                  <c:v>0</c:v>
                </c:pt>
                <c:pt idx="2">
                  <c:v>0</c:v>
                </c:pt>
              </c:numCache>
            </c:numRef>
          </c:val>
          <c:extLst>
            <c:ext xmlns:c16="http://schemas.microsoft.com/office/drawing/2014/chart" uri="{C3380CC4-5D6E-409C-BE32-E72D297353CC}">
              <c16:uniqueId val="{00000003-7F53-44B1-9898-8BEE2ECE7E7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18</xdr:row>
      <xdr:rowOff>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ductionTable" displayName="ProductionTable" ref="A1:AQ81">
  <tableColumns count="43">
    <tableColumn id="1" xr3:uid="{00000000-0010-0000-0000-000001000000}" name="No"/>
    <tableColumn id="2" xr3:uid="{00000000-0010-0000-0000-000002000000}" name="指定KW"/>
    <tableColumn id="3" xr3:uid="{00000000-0010-0000-0000-000003000000}" name="管理KW"/>
    <tableColumn id="4" xr3:uid="{00000000-0010-0000-0000-000004000000}" name="記事タイトル案"/>
    <tableColumn id="5" xr3:uid="{00000000-0010-0000-0000-000005000000}" name="記事カテゴリ"/>
    <tableColumn id="6" xr3:uid="{00000000-0010-0000-0000-000006000000}" name="記事タイプ"/>
    <tableColumn id="7" xr3:uid="{00000000-0010-0000-0000-000007000000}" name="記事構成型"/>
    <tableColumn id="8" xr3:uid="{00000000-0010-0000-0000-000008000000}" name="文字数目安"/>
    <tableColumn id="9" xr3:uid="{00000000-0010-0000-0000-000009000000}" name="文字数下限"/>
    <tableColumn id="10" xr3:uid="{00000000-0010-0000-0000-00000A000000}" name="文字数上限"/>
    <tableColumn id="11" xr3:uid="{00000000-0010-0000-0000-00000B000000}" name="優先度"/>
    <tableColumn id="12" xr3:uid="{00000000-0010-0000-0000-00000C000000}" name="ロット"/>
    <tableColumn id="13" xr3:uid="{00000000-0010-0000-0000-00000D000000}" name="記事ファイル名"/>
    <tableColumn id="14" xr3:uid="{00000000-0010-0000-0000-00000E000000}" name="画像ファイル名"/>
    <tableColumn id="15" xr3:uid="{00000000-0010-0000-0000-00000F000000}" name="スラッグ"/>
    <tableColumn id="16" xr3:uid="{00000000-0010-0000-0000-000010000000}" name="メタディスクリプション案"/>
    <tableColumn id="17" xr3:uid="{00000000-0010-0000-0000-000011000000}" name="WPカテゴリ"/>
    <tableColumn id="18" xr3:uid="{00000000-0010-0000-0000-000012000000}" name="タグ案"/>
    <tableColumn id="19" xr3:uid="{00000000-0010-0000-0000-000013000000}" name="主訴求サービス"/>
    <tableColumn id="20" xr3:uid="{00000000-0010-0000-0000-000014000000}" name="CTAタイプ"/>
    <tableColumn id="21" xr3:uid="{00000000-0010-0000-0000-000015000000}" name="CTA文"/>
    <tableColumn id="22" xr3:uid="{00000000-0010-0000-0000-000016000000}" name="アイキャッチ主コピー"/>
    <tableColumn id="23" xr3:uid="{00000000-0010-0000-0000-000017000000}" name="アイキャッチサブコピー"/>
    <tableColumn id="24" xr3:uid="{00000000-0010-0000-0000-000018000000}" name="アイキャッチ補助コピー"/>
    <tableColumn id="25" xr3:uid="{00000000-0010-0000-0000-000019000000}" name="背景モチーフ"/>
    <tableColumn id="26" xr3:uid="{00000000-0010-0000-0000-00001A000000}" name="人物モチーフ"/>
    <tableColumn id="27" xr3:uid="{00000000-0010-0000-0000-00001B000000}" name="地域要素"/>
    <tableColumn id="28" xr3:uid="{00000000-0010-0000-0000-00001C000000}" name="アイキャッチ方向性"/>
    <tableColumn id="29" xr3:uid="{00000000-0010-0000-0000-00001D000000}" name="記事制作ステータス"/>
    <tableColumn id="30" xr3:uid="{00000000-0010-0000-0000-00001E000000}" name="画像制作ステータス"/>
    <tableColumn id="31" xr3:uid="{00000000-0010-0000-0000-00001F000000}" name="GitHub反映ステータス"/>
    <tableColumn id="32" xr3:uid="{00000000-0010-0000-0000-000020000000}" name="投稿ステータス"/>
    <tableColumn id="33" xr3:uid="{00000000-0010-0000-0000-000021000000}" name="最終実行モード"/>
    <tableColumn id="34" xr3:uid="{00000000-0010-0000-0000-000022000000}" name="WP投稿ID"/>
    <tableColumn id="35" xr3:uid="{00000000-0010-0000-0000-000023000000}" name="WP投稿URL"/>
    <tableColumn id="36" xr3:uid="{00000000-0010-0000-0000-000024000000}" name="最終投稿日時"/>
    <tableColumn id="37" xr3:uid="{00000000-0010-0000-0000-000025000000}" name="最終更新日時"/>
    <tableColumn id="38" xr3:uid="{00000000-0010-0000-0000-000026000000}" name="文字数実績"/>
    <tableColumn id="39" xr3:uid="{00000000-0010-0000-0000-000027000000}" name="文字数判定"/>
    <tableColumn id="40" xr3:uid="{00000000-0010-0000-0000-000028000000}" name="エラー内容"/>
    <tableColumn id="41" xr3:uid="{00000000-0010-0000-0000-000029000000}" name="内部リンク方針"/>
    <tableColumn id="42" xr3:uid="{00000000-0010-0000-0000-00002A000000}" name="砂田塗装型チェック"/>
    <tableColumn id="43" xr3:uid="{00000000-0010-0000-0000-00002B000000}" name="備考"/>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yecatchTable" displayName="EyecatchTable" ref="A1:K81">
  <tableColumns count="11">
    <tableColumn id="1" xr3:uid="{00000000-0010-0000-0100-000001000000}" name="No"/>
    <tableColumn id="2" xr3:uid="{00000000-0010-0000-0100-000002000000}" name="指定KW"/>
    <tableColumn id="3" xr3:uid="{00000000-0010-0000-0100-000003000000}" name="画像ファイル名"/>
    <tableColumn id="4" xr3:uid="{00000000-0010-0000-0100-000004000000}" name="アイキャッチ主コピー"/>
    <tableColumn id="5" xr3:uid="{00000000-0010-0000-0100-000005000000}" name="アイキャッチサブコピー"/>
    <tableColumn id="6" xr3:uid="{00000000-0010-0000-0100-000006000000}" name="補助コピー"/>
    <tableColumn id="7" xr3:uid="{00000000-0010-0000-0100-000007000000}" name="背景モチーフ"/>
    <tableColumn id="8" xr3:uid="{00000000-0010-0000-0100-000008000000}" name="人物モチーフ"/>
    <tableColumn id="9" xr3:uid="{00000000-0010-0000-0100-000009000000}" name="地域要素"/>
    <tableColumn id="10" xr3:uid="{00000000-0010-0000-0100-00000A000000}" name="方向性"/>
    <tableColumn id="11" xr3:uid="{00000000-0010-0000-0100-00000B000000}" name="備考"/>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RulesTable" displayName="RulesTable" ref="A1:C11">
  <tableColumns count="3">
    <tableColumn id="1" xr3:uid="{00000000-0010-0000-0200-000001000000}" name="区分"/>
    <tableColumn id="2" xr3:uid="{00000000-0010-0000-0200-000002000000}" name="ルール"/>
    <tableColumn id="3" xr3:uid="{00000000-0010-0000-0200-000003000000}" name="詳細"/>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ostLogTable" displayName="PostLogTable" ref="A1:K2">
  <tableColumns count="11">
    <tableColumn id="1" xr3:uid="{00000000-0010-0000-0300-000001000000}" name="実行日時"/>
    <tableColumn id="2" xr3:uid="{00000000-0010-0000-0300-000002000000}" name="No"/>
    <tableColumn id="3" xr3:uid="{00000000-0010-0000-0300-000003000000}" name="指定KW"/>
    <tableColumn id="4" xr3:uid="{00000000-0010-0000-0300-000004000000}" name="mode"/>
    <tableColumn id="5" xr3:uid="{00000000-0010-0000-0300-000005000000}" name="write_mode"/>
    <tableColumn id="6" xr3:uid="{00000000-0010-0000-0300-000006000000}" name="status"/>
    <tableColumn id="7" xr3:uid="{00000000-0010-0000-0300-000007000000}" name="WP投稿ID"/>
    <tableColumn id="8" xr3:uid="{00000000-0010-0000-0300-000008000000}" name="WP投稿URL"/>
    <tableColumn id="9" xr3:uid="{00000000-0010-0000-0300-000009000000}" name="記事ファイル"/>
    <tableColumn id="10" xr3:uid="{00000000-0010-0000-0300-00000A000000}" name="画像ファイル"/>
    <tableColumn id="11" xr3:uid="{00000000-0010-0000-0300-00000B000000}" name="messag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laudeMemoTable" displayName="ClaudeMemoTable" ref="A1:B9">
  <tableColumns count="2">
    <tableColumn id="1" xr3:uid="{00000000-0010-0000-0400-000001000000}" name="項目"/>
    <tableColumn id="2" xr3:uid="{00000000-0010-0000-0400-000002000000}" name="内容"/>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ldManagementTable" displayName="OldManagementTable" ref="A1:W81">
  <tableColumns count="23">
    <tableColumn id="1" xr3:uid="{00000000-0010-0000-0500-000001000000}" name="No"/>
    <tableColumn id="2" xr3:uid="{00000000-0010-0000-0500-000002000000}" name="指定KW"/>
    <tableColumn id="3" xr3:uid="{00000000-0010-0000-0500-000003000000}" name="管理KW"/>
    <tableColumn id="4" xr3:uid="{00000000-0010-0000-0500-000004000000}" name="記事タイトル案"/>
    <tableColumn id="5" xr3:uid="{00000000-0010-0000-0500-000005000000}" name="記事カテゴリ"/>
    <tableColumn id="6" xr3:uid="{00000000-0010-0000-0500-000006000000}" name="記事タイプ"/>
    <tableColumn id="7" xr3:uid="{00000000-0010-0000-0500-000007000000}" name="文字数目安"/>
    <tableColumn id="8" xr3:uid="{00000000-0010-0000-0500-000008000000}" name="優先度"/>
    <tableColumn id="9" xr3:uid="{00000000-0010-0000-0500-000009000000}" name="ロット"/>
    <tableColumn id="10" xr3:uid="{00000000-0010-0000-0500-00000A000000}" name="アイキャッチ型"/>
    <tableColumn id="11" xr3:uid="{00000000-0010-0000-0500-00000B000000}" name="画像内テキスト"/>
    <tableColumn id="12" xr3:uid="{00000000-0010-0000-0500-00000C000000}" name="スラッグ"/>
    <tableColumn id="13" xr3:uid="{00000000-0010-0000-0500-00000D000000}" name="画像ファイル名"/>
    <tableColumn id="14" xr3:uid="{00000000-0010-0000-0500-00000E000000}" name="メタディスクリプション案"/>
    <tableColumn id="15" xr3:uid="{00000000-0010-0000-0500-00000F000000}" name="WPカテゴリ"/>
    <tableColumn id="16" xr3:uid="{00000000-0010-0000-0500-000010000000}" name="タグ案"/>
    <tableColumn id="17" xr3:uid="{00000000-0010-0000-0500-000011000000}" name="制作ステータス"/>
    <tableColumn id="18" xr3:uid="{00000000-0010-0000-0500-000012000000}" name="構成ステータス"/>
    <tableColumn id="19" xr3:uid="{00000000-0010-0000-0500-000013000000}" name="本文ステータス"/>
    <tableColumn id="20" xr3:uid="{00000000-0010-0000-0500-000014000000}" name="アイキャッチステータス"/>
    <tableColumn id="21" xr3:uid="{00000000-0010-0000-0500-000015000000}" name="記事URL"/>
    <tableColumn id="22" xr3:uid="{00000000-0010-0000-0500-000016000000}" name="内部リンク方針"/>
    <tableColumn id="23" xr3:uid="{00000000-0010-0000-0500-000017000000}" name="備考"/>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5"/>
  <sheetViews>
    <sheetView workbookViewId="0">
      <selection activeCell="A5" sqref="A5"/>
    </sheetView>
  </sheetViews>
  <sheetFormatPr defaultRowHeight="14.25"/>
  <cols>
    <col min="1" max="1" width="28" customWidth="1"/>
    <col min="2" max="2" width="16" customWidth="1"/>
    <col min="3" max="3" width="22" customWidth="1"/>
    <col min="4" max="4" width="6" customWidth="1"/>
    <col min="5" max="5" width="24" customWidth="1"/>
    <col min="6" max="6" width="16" customWidth="1"/>
    <col min="7" max="7" width="8" customWidth="1"/>
  </cols>
  <sheetData>
    <row r="1" spans="1:7" ht="64.900000000000006" customHeight="1">
      <c r="A1" s="21" t="s">
        <v>0</v>
      </c>
      <c r="B1" s="22"/>
      <c r="C1" s="22"/>
      <c r="D1" s="22"/>
      <c r="E1" s="22"/>
      <c r="F1" s="22"/>
      <c r="G1" s="22"/>
    </row>
    <row r="2" spans="1:7" ht="15" customHeight="1">
      <c r="A2" s="3" t="s">
        <v>1</v>
      </c>
      <c r="B2" s="3" t="s">
        <v>2</v>
      </c>
      <c r="C2" s="3"/>
      <c r="D2" s="3"/>
      <c r="E2" s="3"/>
      <c r="F2" s="3"/>
      <c r="G2" s="3"/>
    </row>
    <row r="3" spans="1:7" ht="15" customHeight="1">
      <c r="A3" s="10" t="s">
        <v>3</v>
      </c>
      <c r="B3" s="10" t="s">
        <v>4</v>
      </c>
      <c r="C3" s="10" t="s">
        <v>5</v>
      </c>
      <c r="D3" s="10"/>
      <c r="E3" s="10" t="s">
        <v>6</v>
      </c>
      <c r="F3" s="10" t="s">
        <v>4</v>
      </c>
      <c r="G3" s="10"/>
    </row>
    <row r="4" spans="1:7" ht="15" customHeight="1">
      <c r="A4" s="3" t="s">
        <v>7</v>
      </c>
      <c r="B4" s="3">
        <f>COUNTA(制作管理表!A2:A81)</f>
        <v>80</v>
      </c>
      <c r="C4" s="3" t="s">
        <v>8</v>
      </c>
      <c r="D4" s="3"/>
      <c r="E4" s="3" t="s">
        <v>9</v>
      </c>
      <c r="F4" s="3">
        <f>COUNTIF(制作管理表!AC2:AC81,"完了")</f>
        <v>0</v>
      </c>
      <c r="G4" s="3"/>
    </row>
    <row r="5" spans="1:7" ht="15" customHeight="1">
      <c r="A5" s="3" t="s">
        <v>10</v>
      </c>
      <c r="B5" s="3">
        <f>COUNTIF(制作管理表!AC2:AC81,"要再編集")</f>
        <v>5</v>
      </c>
      <c r="C5" s="3" t="s">
        <v>11</v>
      </c>
      <c r="D5" s="3"/>
      <c r="E5" s="3" t="s">
        <v>12</v>
      </c>
      <c r="F5" s="3">
        <f>COUNTIF(制作管理表!AD2:AD81,"完了")</f>
        <v>0</v>
      </c>
      <c r="G5" s="3"/>
    </row>
    <row r="6" spans="1:7" ht="26.45" customHeight="1">
      <c r="A6" s="3" t="s">
        <v>13</v>
      </c>
      <c r="B6" s="3">
        <f>COUNTIF(制作管理表!AD2:AD81,"差替必要")</f>
        <v>0</v>
      </c>
      <c r="C6" s="3" t="s">
        <v>14</v>
      </c>
      <c r="D6" s="3"/>
      <c r="E6" s="3" t="s">
        <v>15</v>
      </c>
      <c r="F6" s="3">
        <f>COUNTIF(制作管理表!AF2:AF81,"下書き投稿済")</f>
        <v>0</v>
      </c>
      <c r="G6" s="3"/>
    </row>
    <row r="7" spans="1:7" ht="15" customHeight="1">
      <c r="A7" s="3" t="s">
        <v>16</v>
      </c>
      <c r="B7" s="3">
        <f>COUNTIF(制作管理表!AF2:AF81,"error")</f>
        <v>0</v>
      </c>
      <c r="C7" s="3" t="s">
        <v>17</v>
      </c>
      <c r="D7" s="3"/>
      <c r="E7" s="3" t="s">
        <v>18</v>
      </c>
      <c r="F7" s="3">
        <f>COUNTIF(制作管理表!AM2:AM81,"OK")</f>
        <v>0</v>
      </c>
      <c r="G7" s="3"/>
    </row>
    <row r="8" spans="1:7" ht="15" customHeight="1">
      <c r="A8" s="3"/>
      <c r="B8" s="3"/>
      <c r="C8" s="3"/>
      <c r="D8" s="3"/>
      <c r="E8" s="3"/>
      <c r="F8" s="3"/>
      <c r="G8" s="3"/>
    </row>
    <row r="9" spans="1:7" ht="26.45" customHeight="1">
      <c r="A9" s="11" t="s">
        <v>19</v>
      </c>
      <c r="B9" s="11" t="s">
        <v>20</v>
      </c>
      <c r="C9" s="11" t="s">
        <v>21</v>
      </c>
      <c r="D9" s="11" t="s">
        <v>22</v>
      </c>
      <c r="E9" s="11" t="s">
        <v>23</v>
      </c>
      <c r="F9" s="11" t="s">
        <v>24</v>
      </c>
      <c r="G9" s="11"/>
    </row>
    <row r="10" spans="1:7" ht="26.45" customHeight="1">
      <c r="A10" s="3" t="s">
        <v>25</v>
      </c>
      <c r="B10" s="3">
        <f>COUNTIF(制作管理表!L2:L81,"第1ロット：雨漏り系")</f>
        <v>18</v>
      </c>
      <c r="C10" s="3">
        <f>COUNTIFS(制作管理表!L2:L81,"第1ロット：雨漏り系",制作管理表!AC2:AC81,"完了")</f>
        <v>0</v>
      </c>
      <c r="D10" s="3">
        <f>COUNTIFS(制作管理表!L2:L81,"第1ロット：雨漏り系",制作管理表!AD2:AD81,"完了")</f>
        <v>0</v>
      </c>
      <c r="E10" s="3">
        <f>COUNTIFS(制作管理表!L2:L81,"第1ロット：雨漏り系",制作管理表!AF2:AF81,"更新済")+COUNTIFS(制作管理表!L2:L81,"第1ロット：雨漏り系",制作管理表!AF2:AF81,"下書き投稿済")</f>
        <v>0</v>
      </c>
      <c r="F10" s="3">
        <f>COUNTIFS(制作管理表!L2:L81,"第1ロット：雨漏り系",制作管理表!AF2:AF81,"error")</f>
        <v>0</v>
      </c>
      <c r="G10" s="3"/>
    </row>
    <row r="11" spans="1:7" ht="26.45" customHeight="1">
      <c r="A11" s="3" t="s">
        <v>26</v>
      </c>
      <c r="B11" s="3">
        <f>COUNTIF(制作管理表!L2:L81,"第2ロット：屋根修理・屋根材系")</f>
        <v>19</v>
      </c>
      <c r="C11" s="3">
        <f>COUNTIFS(制作管理表!L2:L81,"第2ロット：屋根修理・屋根材系",制作管理表!AC2:AC81,"完了")</f>
        <v>0</v>
      </c>
      <c r="D11" s="3">
        <f>COUNTIFS(制作管理表!L2:L81,"第2ロット：屋根修理・屋根材系",制作管理表!AD2:AD81,"完了")</f>
        <v>0</v>
      </c>
      <c r="E11" s="3">
        <f>COUNTIFS(制作管理表!L2:L81,"第2ロット：屋根修理・屋根材系",制作管理表!AF2:AF81,"更新済")+COUNTIFS(制作管理表!L2:L81,"第2ロット：屋根修理・屋根材系",制作管理表!AF2:AF81,"下書き投稿済")</f>
        <v>0</v>
      </c>
      <c r="F11" s="3">
        <f>COUNTIFS(制作管理表!L2:L81,"第2ロット：屋根修理・屋根材系",制作管理表!AF2:AF81,"error")</f>
        <v>0</v>
      </c>
      <c r="G11" s="3"/>
    </row>
    <row r="12" spans="1:7" ht="26.45" customHeight="1">
      <c r="A12" s="3" t="s">
        <v>27</v>
      </c>
      <c r="B12" s="3">
        <f>COUNTIF(制作管理表!L2:L81,"第3ロット：外壁塗装・防水系")</f>
        <v>23</v>
      </c>
      <c r="C12" s="3">
        <f>COUNTIFS(制作管理表!L2:L81,"第3ロット：外壁塗装・防水系",制作管理表!AC2:AC81,"完了")</f>
        <v>0</v>
      </c>
      <c r="D12" s="3">
        <f>COUNTIFS(制作管理表!L2:L81,"第3ロット：外壁塗装・防水系",制作管理表!AD2:AD81,"完了")</f>
        <v>0</v>
      </c>
      <c r="E12" s="3">
        <f>COUNTIFS(制作管理表!L2:L81,"第3ロット：外壁塗装・防水系",制作管理表!AF2:AF81,"更新済")+COUNTIFS(制作管理表!L2:L81,"第3ロット：外壁塗装・防水系",制作管理表!AF2:AF81,"下書き投稿済")</f>
        <v>0</v>
      </c>
      <c r="F12" s="3">
        <f>COUNTIFS(制作管理表!L2:L81,"第3ロット：外壁塗装・防水系",制作管理表!AF2:AF81,"error")</f>
        <v>0</v>
      </c>
      <c r="G12" s="3"/>
    </row>
    <row r="13" spans="1:7" ht="26.45" customHeight="1">
      <c r="A13" s="3" t="s">
        <v>28</v>
      </c>
      <c r="B13" s="3">
        <f>COUNTIF(制作管理表!L2:L81,"第4ロット：雨樋・軒天・付帯部系")</f>
        <v>20</v>
      </c>
      <c r="C13" s="3">
        <f>COUNTIFS(制作管理表!L2:L81,"第4ロット：雨樋・軒天・付帯部系",制作管理表!AC2:AC81,"完了")</f>
        <v>0</v>
      </c>
      <c r="D13" s="3">
        <f>COUNTIFS(制作管理表!L2:L81,"第4ロット：雨樋・軒天・付帯部系",制作管理表!AD2:AD81,"完了")</f>
        <v>0</v>
      </c>
      <c r="E13" s="3">
        <f>COUNTIFS(制作管理表!L2:L81,"第4ロット：雨樋・軒天・付帯部系",制作管理表!AF2:AF81,"更新済")+COUNTIFS(制作管理表!L2:L81,"第4ロット：雨樋・軒天・付帯部系",制作管理表!AF2:AF81,"下書き投稿済")</f>
        <v>0</v>
      </c>
      <c r="F13" s="3">
        <f>COUNTIFS(制作管理表!L2:L81,"第4ロット：雨樋・軒天・付帯部系",制作管理表!AF2:AF81,"error")</f>
        <v>0</v>
      </c>
      <c r="G13" s="3"/>
    </row>
    <row r="14" spans="1:7" ht="15" customHeight="1">
      <c r="A14" s="3"/>
      <c r="B14" s="3"/>
      <c r="C14" s="3"/>
      <c r="D14" s="3"/>
      <c r="E14" s="3"/>
      <c r="F14" s="3"/>
      <c r="G14" s="3"/>
    </row>
    <row r="15" spans="1:7" ht="52.7" customHeight="1">
      <c r="A15" s="3" t="s">
        <v>29</v>
      </c>
      <c r="B15" s="3" t="s">
        <v>30</v>
      </c>
      <c r="C15" s="3" t="s">
        <v>31</v>
      </c>
      <c r="D15" s="3" t="s">
        <v>32</v>
      </c>
      <c r="E15" s="3" t="s">
        <v>33</v>
      </c>
      <c r="F15" s="3" t="s">
        <v>34</v>
      </c>
      <c r="G15" s="3"/>
    </row>
  </sheetData>
  <mergeCells count="1">
    <mergeCell ref="A1:G1"/>
  </mergeCells>
  <phoneticPr fontId="7"/>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81"/>
  <sheetViews>
    <sheetView tabSelected="1" topLeftCell="G66" workbookViewId="0">
      <selection activeCell="O77" sqref="O77"/>
    </sheetView>
  </sheetViews>
  <sheetFormatPr defaultRowHeight="14.25"/>
  <cols>
    <col min="1" max="1" width="6" customWidth="1"/>
    <col min="2" max="3" width="22" customWidth="1"/>
    <col min="4" max="4" width="38" customWidth="1"/>
    <col min="5" max="5" width="14" customWidth="1"/>
    <col min="6" max="6" width="16" customWidth="1"/>
    <col min="7" max="7" width="18" customWidth="1"/>
    <col min="8" max="8" width="14" customWidth="1"/>
    <col min="9" max="11" width="10" customWidth="1"/>
    <col min="12" max="12" width="22" customWidth="1"/>
    <col min="13" max="14" width="12" customWidth="1"/>
    <col min="15" max="15" width="28" customWidth="1"/>
    <col min="16" max="16" width="42" customWidth="1"/>
    <col min="17" max="17" width="18" customWidth="1"/>
    <col min="18" max="18" width="28" customWidth="1"/>
    <col min="19" max="19" width="24" customWidth="1"/>
    <col min="20" max="20" width="18" customWidth="1"/>
    <col min="21" max="21" width="44" customWidth="1"/>
    <col min="22" max="22" width="24" customWidth="1"/>
    <col min="23" max="23" width="34" customWidth="1"/>
    <col min="24" max="24" width="32" customWidth="1"/>
    <col min="25" max="25" width="36" customWidth="1"/>
    <col min="26" max="26" width="24" customWidth="1"/>
    <col min="27" max="27" width="12" customWidth="1"/>
    <col min="28" max="28" width="24" customWidth="1"/>
    <col min="29" max="32" width="14" customWidth="1"/>
    <col min="33" max="33" width="16" customWidth="1"/>
    <col min="34" max="34" width="12" customWidth="1"/>
    <col min="35" max="35" width="28" customWidth="1"/>
    <col min="36" max="37" width="18" customWidth="1"/>
    <col min="38" max="39" width="10" customWidth="1"/>
    <col min="40" max="40" width="34" customWidth="1"/>
    <col min="41" max="41" width="42" customWidth="1"/>
    <col min="42" max="42" width="38" customWidth="1"/>
    <col min="43" max="43" width="24" customWidth="1"/>
  </cols>
  <sheetData>
    <row r="1" spans="1:43" ht="33.950000000000003" customHeight="1">
      <c r="A1" s="4" t="s">
        <v>35</v>
      </c>
      <c r="B1" s="4" t="s">
        <v>36</v>
      </c>
      <c r="C1" s="4" t="s">
        <v>37</v>
      </c>
      <c r="D1" s="4" t="s">
        <v>38</v>
      </c>
      <c r="E1" s="4" t="s">
        <v>39</v>
      </c>
      <c r="F1" s="4" t="s">
        <v>40</v>
      </c>
      <c r="G1" s="4" t="s">
        <v>41</v>
      </c>
      <c r="H1" s="4" t="s">
        <v>42</v>
      </c>
      <c r="I1" s="4" t="s">
        <v>43</v>
      </c>
      <c r="J1" s="4" t="s">
        <v>44</v>
      </c>
      <c r="K1" s="4" t="s">
        <v>45</v>
      </c>
      <c r="L1" s="4" t="s">
        <v>19</v>
      </c>
      <c r="M1" s="4" t="s">
        <v>46</v>
      </c>
      <c r="N1" s="4" t="s">
        <v>47</v>
      </c>
      <c r="O1" s="4" t="s">
        <v>48</v>
      </c>
      <c r="P1" s="4" t="s">
        <v>49</v>
      </c>
      <c r="Q1" s="4" t="s">
        <v>50</v>
      </c>
      <c r="R1" s="4" t="s">
        <v>51</v>
      </c>
      <c r="S1" s="6" t="s">
        <v>52</v>
      </c>
      <c r="T1" s="6" t="s">
        <v>53</v>
      </c>
      <c r="U1" s="6" t="s">
        <v>54</v>
      </c>
      <c r="V1" s="7" t="s">
        <v>55</v>
      </c>
      <c r="W1" s="7" t="s">
        <v>56</v>
      </c>
      <c r="X1" s="7" t="s">
        <v>57</v>
      </c>
      <c r="Y1" s="7" t="s">
        <v>58</v>
      </c>
      <c r="Z1" s="7" t="s">
        <v>59</v>
      </c>
      <c r="AA1" s="7" t="s">
        <v>60</v>
      </c>
      <c r="AB1" s="7" t="s">
        <v>61</v>
      </c>
      <c r="AC1" s="8" t="s">
        <v>62</v>
      </c>
      <c r="AD1" s="8" t="s">
        <v>63</v>
      </c>
      <c r="AE1" s="8" t="s">
        <v>64</v>
      </c>
      <c r="AF1" s="8" t="s">
        <v>65</v>
      </c>
      <c r="AG1" s="8" t="s">
        <v>66</v>
      </c>
      <c r="AH1" s="8" t="s">
        <v>67</v>
      </c>
      <c r="AI1" s="8" t="s">
        <v>68</v>
      </c>
      <c r="AJ1" s="8" t="s">
        <v>69</v>
      </c>
      <c r="AK1" s="8" t="s">
        <v>70</v>
      </c>
      <c r="AL1" s="8" t="s">
        <v>71</v>
      </c>
      <c r="AM1" s="8" t="s">
        <v>72</v>
      </c>
      <c r="AN1" s="8" t="s">
        <v>73</v>
      </c>
      <c r="AO1" s="9" t="s">
        <v>74</v>
      </c>
      <c r="AP1" s="9" t="s">
        <v>75</v>
      </c>
      <c r="AQ1" s="9" t="s">
        <v>76</v>
      </c>
    </row>
    <row r="2" spans="1:43" ht="42.75">
      <c r="A2" s="5">
        <v>1</v>
      </c>
      <c r="B2" s="5" t="s">
        <v>77</v>
      </c>
      <c r="C2" s="5" t="s">
        <v>77</v>
      </c>
      <c r="D2" s="5" t="s">
        <v>78</v>
      </c>
      <c r="E2" s="5" t="s">
        <v>79</v>
      </c>
      <c r="F2" s="5" t="s">
        <v>80</v>
      </c>
      <c r="G2" s="5" t="s">
        <v>80</v>
      </c>
      <c r="H2" s="5" t="s">
        <v>81</v>
      </c>
      <c r="I2" s="5">
        <v>4500</v>
      </c>
      <c r="J2" s="5">
        <v>6500</v>
      </c>
      <c r="K2" s="5" t="s">
        <v>82</v>
      </c>
      <c r="L2" s="5" t="s">
        <v>25</v>
      </c>
      <c r="M2" s="5" t="s">
        <v>83</v>
      </c>
      <c r="N2" s="5" t="s">
        <v>84</v>
      </c>
      <c r="O2" s="5" t="s">
        <v>85</v>
      </c>
      <c r="P2" s="5" t="s">
        <v>86</v>
      </c>
      <c r="Q2" s="5" t="s">
        <v>87</v>
      </c>
      <c r="R2" s="5" t="s">
        <v>88</v>
      </c>
      <c r="S2" s="5" t="s">
        <v>89</v>
      </c>
      <c r="T2" s="5" t="s">
        <v>90</v>
      </c>
      <c r="U2" s="5" t="s">
        <v>91</v>
      </c>
      <c r="V2" s="5" t="s">
        <v>92</v>
      </c>
      <c r="W2" s="5" t="s">
        <v>93</v>
      </c>
      <c r="X2" s="5" t="s">
        <v>94</v>
      </c>
      <c r="Y2" s="5" t="s">
        <v>95</v>
      </c>
      <c r="Z2" s="5" t="s">
        <v>96</v>
      </c>
      <c r="AA2" s="5" t="s">
        <v>97</v>
      </c>
      <c r="AB2" s="5" t="s">
        <v>98</v>
      </c>
      <c r="AC2" s="5" t="s">
        <v>10</v>
      </c>
      <c r="AD2" s="5" t="s">
        <v>99</v>
      </c>
      <c r="AE2" s="5" t="s">
        <v>100</v>
      </c>
      <c r="AF2" s="5" t="s">
        <v>101</v>
      </c>
      <c r="AG2" s="5" t="s">
        <v>102</v>
      </c>
      <c r="AH2" s="5">
        <v>21921</v>
      </c>
      <c r="AI2" s="5" t="s">
        <v>103</v>
      </c>
      <c r="AJ2" s="14" t="s">
        <v>104</v>
      </c>
      <c r="AK2" s="14"/>
      <c r="AL2" s="5">
        <v>4011</v>
      </c>
      <c r="AM2" s="5" t="s">
        <v>105</v>
      </c>
      <c r="AN2" s="5"/>
      <c r="AO2" s="5" t="s">
        <v>106</v>
      </c>
      <c r="AP2" s="5" t="s">
        <v>107</v>
      </c>
      <c r="AQ2" s="5"/>
    </row>
    <row r="3" spans="1:43" ht="42.75">
      <c r="A3" s="5">
        <v>2</v>
      </c>
      <c r="B3" s="5" t="s">
        <v>108</v>
      </c>
      <c r="C3" s="5" t="s">
        <v>108</v>
      </c>
      <c r="D3" s="5" t="s">
        <v>109</v>
      </c>
      <c r="E3" s="5" t="s">
        <v>79</v>
      </c>
      <c r="F3" s="5" t="s">
        <v>80</v>
      </c>
      <c r="G3" s="5" t="s">
        <v>80</v>
      </c>
      <c r="H3" s="5" t="s">
        <v>81</v>
      </c>
      <c r="I3" s="5">
        <v>4500</v>
      </c>
      <c r="J3" s="5">
        <v>6500</v>
      </c>
      <c r="K3" s="5" t="s">
        <v>82</v>
      </c>
      <c r="L3" s="5" t="s">
        <v>25</v>
      </c>
      <c r="M3" s="5" t="s">
        <v>110</v>
      </c>
      <c r="N3" s="5" t="s">
        <v>111</v>
      </c>
      <c r="O3" s="5" t="s">
        <v>112</v>
      </c>
      <c r="P3" s="5" t="s">
        <v>113</v>
      </c>
      <c r="Q3" s="5" t="s">
        <v>87</v>
      </c>
      <c r="R3" s="5" t="s">
        <v>88</v>
      </c>
      <c r="S3" s="5" t="s">
        <v>114</v>
      </c>
      <c r="T3" s="5" t="s">
        <v>115</v>
      </c>
      <c r="U3" s="5" t="s">
        <v>116</v>
      </c>
      <c r="V3" s="5" t="s">
        <v>117</v>
      </c>
      <c r="W3" s="5" t="s">
        <v>118</v>
      </c>
      <c r="X3" s="5" t="s">
        <v>119</v>
      </c>
      <c r="Y3" s="5" t="s">
        <v>120</v>
      </c>
      <c r="Z3" s="5" t="s">
        <v>121</v>
      </c>
      <c r="AA3" s="5" t="s">
        <v>97</v>
      </c>
      <c r="AB3" s="5" t="s">
        <v>122</v>
      </c>
      <c r="AC3" s="5" t="s">
        <v>10</v>
      </c>
      <c r="AD3" s="5" t="s">
        <v>99</v>
      </c>
      <c r="AE3" s="5" t="s">
        <v>100</v>
      </c>
      <c r="AF3" s="5" t="s">
        <v>101</v>
      </c>
      <c r="AG3" s="5" t="s">
        <v>102</v>
      </c>
      <c r="AH3" s="5">
        <v>21923</v>
      </c>
      <c r="AI3" s="5" t="s">
        <v>123</v>
      </c>
      <c r="AJ3" s="14" t="s">
        <v>124</v>
      </c>
      <c r="AK3" s="14"/>
      <c r="AL3" s="5">
        <v>4123</v>
      </c>
      <c r="AM3" s="5" t="s">
        <v>105</v>
      </c>
      <c r="AN3" s="5"/>
      <c r="AO3" s="5" t="s">
        <v>106</v>
      </c>
      <c r="AP3" s="5" t="s">
        <v>107</v>
      </c>
      <c r="AQ3" s="5"/>
    </row>
    <row r="4" spans="1:43" ht="42.75">
      <c r="A4" s="5">
        <v>3</v>
      </c>
      <c r="B4" s="5" t="s">
        <v>125</v>
      </c>
      <c r="C4" s="5" t="s">
        <v>125</v>
      </c>
      <c r="D4" s="5" t="s">
        <v>126</v>
      </c>
      <c r="E4" s="5" t="s">
        <v>79</v>
      </c>
      <c r="F4" s="5" t="s">
        <v>80</v>
      </c>
      <c r="G4" s="5" t="s">
        <v>80</v>
      </c>
      <c r="H4" s="5" t="s">
        <v>81</v>
      </c>
      <c r="I4" s="5">
        <v>4500</v>
      </c>
      <c r="J4" s="5">
        <v>6500</v>
      </c>
      <c r="K4" s="5" t="s">
        <v>82</v>
      </c>
      <c r="L4" s="5" t="s">
        <v>25</v>
      </c>
      <c r="M4" s="5" t="s">
        <v>127</v>
      </c>
      <c r="N4" s="5" t="s">
        <v>128</v>
      </c>
      <c r="O4" s="5" t="s">
        <v>129</v>
      </c>
      <c r="P4" s="5" t="s">
        <v>130</v>
      </c>
      <c r="Q4" s="5" t="s">
        <v>87</v>
      </c>
      <c r="R4" s="5" t="s">
        <v>88</v>
      </c>
      <c r="S4" s="5" t="s">
        <v>131</v>
      </c>
      <c r="T4" s="5" t="s">
        <v>132</v>
      </c>
      <c r="U4" s="5" t="s">
        <v>133</v>
      </c>
      <c r="V4" s="5" t="s">
        <v>134</v>
      </c>
      <c r="W4" s="5" t="s">
        <v>135</v>
      </c>
      <c r="X4" s="5" t="s">
        <v>136</v>
      </c>
      <c r="Y4" s="5" t="s">
        <v>137</v>
      </c>
      <c r="Z4" s="5" t="s">
        <v>138</v>
      </c>
      <c r="AA4" s="5" t="s">
        <v>97</v>
      </c>
      <c r="AB4" s="5" t="s">
        <v>139</v>
      </c>
      <c r="AC4" s="5" t="s">
        <v>10</v>
      </c>
      <c r="AD4" s="5" t="s">
        <v>99</v>
      </c>
      <c r="AE4" s="5" t="s">
        <v>100</v>
      </c>
      <c r="AF4" s="5" t="s">
        <v>101</v>
      </c>
      <c r="AG4" s="5" t="s">
        <v>102</v>
      </c>
      <c r="AH4" s="5">
        <v>21925</v>
      </c>
      <c r="AI4" s="5" t="s">
        <v>140</v>
      </c>
      <c r="AJ4" s="14" t="s">
        <v>141</v>
      </c>
      <c r="AK4" s="14"/>
      <c r="AL4" s="5">
        <v>4024</v>
      </c>
      <c r="AM4" s="5" t="s">
        <v>105</v>
      </c>
      <c r="AN4" s="5"/>
      <c r="AO4" s="5" t="s">
        <v>106</v>
      </c>
      <c r="AP4" s="5" t="s">
        <v>107</v>
      </c>
      <c r="AQ4" s="5"/>
    </row>
    <row r="5" spans="1:43" ht="42.75">
      <c r="A5" s="5">
        <v>4</v>
      </c>
      <c r="B5" s="5" t="s">
        <v>142</v>
      </c>
      <c r="C5" s="5" t="s">
        <v>142</v>
      </c>
      <c r="D5" s="5" t="s">
        <v>143</v>
      </c>
      <c r="E5" s="5" t="s">
        <v>79</v>
      </c>
      <c r="F5" s="5" t="s">
        <v>80</v>
      </c>
      <c r="G5" s="5" t="s">
        <v>144</v>
      </c>
      <c r="H5" s="5" t="s">
        <v>145</v>
      </c>
      <c r="I5" s="5">
        <v>5000</v>
      </c>
      <c r="J5" s="5">
        <v>7000</v>
      </c>
      <c r="K5" s="5" t="s">
        <v>82</v>
      </c>
      <c r="L5" s="5" t="s">
        <v>25</v>
      </c>
      <c r="M5" s="5" t="s">
        <v>146</v>
      </c>
      <c r="N5" s="5" t="s">
        <v>147</v>
      </c>
      <c r="O5" s="5" t="s">
        <v>148</v>
      </c>
      <c r="P5" s="5" t="s">
        <v>149</v>
      </c>
      <c r="Q5" s="5" t="s">
        <v>87</v>
      </c>
      <c r="R5" s="5" t="s">
        <v>88</v>
      </c>
      <c r="S5" s="5" t="s">
        <v>150</v>
      </c>
      <c r="T5" s="5" t="s">
        <v>132</v>
      </c>
      <c r="U5" s="5" t="s">
        <v>133</v>
      </c>
      <c r="V5" s="5" t="s">
        <v>151</v>
      </c>
      <c r="W5" s="5" t="s">
        <v>152</v>
      </c>
      <c r="X5" s="5" t="s">
        <v>153</v>
      </c>
      <c r="Y5" s="5" t="s">
        <v>154</v>
      </c>
      <c r="Z5" s="5" t="s">
        <v>155</v>
      </c>
      <c r="AA5" s="5" t="s">
        <v>97</v>
      </c>
      <c r="AB5" s="5" t="s">
        <v>156</v>
      </c>
      <c r="AC5" s="5" t="s">
        <v>10</v>
      </c>
      <c r="AD5" s="5" t="s">
        <v>99</v>
      </c>
      <c r="AE5" s="5" t="s">
        <v>100</v>
      </c>
      <c r="AF5" s="5" t="s">
        <v>101</v>
      </c>
      <c r="AG5" s="5" t="s">
        <v>102</v>
      </c>
      <c r="AH5" s="5">
        <v>21927</v>
      </c>
      <c r="AI5" s="5" t="s">
        <v>157</v>
      </c>
      <c r="AJ5" s="14" t="s">
        <v>158</v>
      </c>
      <c r="AK5" s="14"/>
      <c r="AL5" s="5">
        <v>4450</v>
      </c>
      <c r="AM5" s="5" t="s">
        <v>159</v>
      </c>
      <c r="AN5" s="5"/>
      <c r="AO5" s="5" t="s">
        <v>106</v>
      </c>
      <c r="AP5" s="5" t="s">
        <v>107</v>
      </c>
      <c r="AQ5" s="5"/>
    </row>
    <row r="6" spans="1:43" ht="42.75">
      <c r="A6" s="5">
        <v>5</v>
      </c>
      <c r="B6" s="5" t="s">
        <v>160</v>
      </c>
      <c r="C6" s="5" t="s">
        <v>160</v>
      </c>
      <c r="D6" s="5" t="s">
        <v>161</v>
      </c>
      <c r="E6" s="5" t="s">
        <v>79</v>
      </c>
      <c r="F6" s="5" t="s">
        <v>80</v>
      </c>
      <c r="G6" s="5" t="s">
        <v>162</v>
      </c>
      <c r="H6" s="5" t="s">
        <v>145</v>
      </c>
      <c r="I6" s="5">
        <v>5000</v>
      </c>
      <c r="J6" s="5">
        <v>7000</v>
      </c>
      <c r="K6" s="5" t="s">
        <v>82</v>
      </c>
      <c r="L6" s="5" t="s">
        <v>25</v>
      </c>
      <c r="M6" s="5" t="s">
        <v>163</v>
      </c>
      <c r="N6" s="5" t="s">
        <v>164</v>
      </c>
      <c r="O6" s="5" t="s">
        <v>165</v>
      </c>
      <c r="P6" s="5" t="s">
        <v>166</v>
      </c>
      <c r="Q6" s="5" t="s">
        <v>87</v>
      </c>
      <c r="R6" s="5" t="s">
        <v>167</v>
      </c>
      <c r="S6" s="5" t="s">
        <v>168</v>
      </c>
      <c r="T6" s="5" t="s">
        <v>169</v>
      </c>
      <c r="U6" s="5" t="s">
        <v>170</v>
      </c>
      <c r="V6" s="5" t="s">
        <v>171</v>
      </c>
      <c r="W6" s="5" t="s">
        <v>172</v>
      </c>
      <c r="X6" s="5" t="s">
        <v>173</v>
      </c>
      <c r="Y6" s="5" t="s">
        <v>174</v>
      </c>
      <c r="Z6" s="5" t="s">
        <v>175</v>
      </c>
      <c r="AA6" s="5" t="s">
        <v>97</v>
      </c>
      <c r="AB6" s="5" t="s">
        <v>176</v>
      </c>
      <c r="AC6" s="5" t="s">
        <v>10</v>
      </c>
      <c r="AD6" s="5" t="s">
        <v>99</v>
      </c>
      <c r="AE6" s="5" t="s">
        <v>100</v>
      </c>
      <c r="AF6" s="5" t="s">
        <v>101</v>
      </c>
      <c r="AG6" s="5" t="s">
        <v>102</v>
      </c>
      <c r="AH6" s="5">
        <v>21929</v>
      </c>
      <c r="AI6" s="5" t="s">
        <v>177</v>
      </c>
      <c r="AJ6" s="14" t="s">
        <v>178</v>
      </c>
      <c r="AK6" s="14"/>
      <c r="AL6" s="5">
        <v>4414</v>
      </c>
      <c r="AM6" s="5" t="s">
        <v>159</v>
      </c>
      <c r="AN6" s="5"/>
      <c r="AO6" s="5" t="s">
        <v>106</v>
      </c>
      <c r="AP6" s="5" t="s">
        <v>107</v>
      </c>
      <c r="AQ6" s="5"/>
    </row>
    <row r="7" spans="1:43" ht="42.75">
      <c r="A7" s="5">
        <v>6</v>
      </c>
      <c r="B7" s="5" t="s">
        <v>179</v>
      </c>
      <c r="C7" s="5" t="s">
        <v>179</v>
      </c>
      <c r="D7" s="5" t="s">
        <v>180</v>
      </c>
      <c r="E7" s="5" t="s">
        <v>79</v>
      </c>
      <c r="F7" s="5" t="s">
        <v>80</v>
      </c>
      <c r="G7" s="5" t="s">
        <v>181</v>
      </c>
      <c r="H7" s="5" t="s">
        <v>81</v>
      </c>
      <c r="I7" s="5">
        <v>4500</v>
      </c>
      <c r="J7" s="5">
        <v>6500</v>
      </c>
      <c r="K7" s="5" t="s">
        <v>82</v>
      </c>
      <c r="L7" s="5" t="s">
        <v>25</v>
      </c>
      <c r="M7" s="5" t="s">
        <v>182</v>
      </c>
      <c r="N7" s="5" t="s">
        <v>183</v>
      </c>
      <c r="O7" s="5" t="s">
        <v>184</v>
      </c>
      <c r="P7" s="5" t="s">
        <v>185</v>
      </c>
      <c r="Q7" s="5" t="s">
        <v>87</v>
      </c>
      <c r="R7" s="5" t="s">
        <v>88</v>
      </c>
      <c r="S7" s="5" t="s">
        <v>89</v>
      </c>
      <c r="T7" s="5" t="s">
        <v>90</v>
      </c>
      <c r="U7" s="5" t="s">
        <v>91</v>
      </c>
      <c r="V7" s="5" t="s">
        <v>186</v>
      </c>
      <c r="W7" s="5" t="s">
        <v>187</v>
      </c>
      <c r="X7" s="5" t="s">
        <v>188</v>
      </c>
      <c r="Y7" s="5" t="s">
        <v>189</v>
      </c>
      <c r="Z7" s="5" t="s">
        <v>190</v>
      </c>
      <c r="AA7" s="5" t="s">
        <v>97</v>
      </c>
      <c r="AB7" s="5" t="s">
        <v>191</v>
      </c>
      <c r="AC7" s="5" t="s">
        <v>192</v>
      </c>
      <c r="AD7" s="5" t="s">
        <v>99</v>
      </c>
      <c r="AE7" s="5" t="s">
        <v>193</v>
      </c>
      <c r="AF7" s="5" t="s">
        <v>101</v>
      </c>
      <c r="AG7" s="5" t="s">
        <v>102</v>
      </c>
      <c r="AH7" s="5">
        <v>21933</v>
      </c>
      <c r="AI7" s="5" t="s">
        <v>194</v>
      </c>
      <c r="AJ7" s="14" t="s">
        <v>195</v>
      </c>
      <c r="AK7" s="14"/>
      <c r="AL7" s="5">
        <v>4011</v>
      </c>
      <c r="AM7" s="5" t="s">
        <v>105</v>
      </c>
      <c r="AN7" s="5"/>
      <c r="AO7" s="5" t="s">
        <v>106</v>
      </c>
      <c r="AP7" s="5" t="s">
        <v>107</v>
      </c>
      <c r="AQ7" s="5"/>
    </row>
    <row r="8" spans="1:43" ht="42.75">
      <c r="A8" s="5">
        <v>7</v>
      </c>
      <c r="B8" s="5" t="s">
        <v>196</v>
      </c>
      <c r="C8" s="5" t="s">
        <v>196</v>
      </c>
      <c r="D8" s="5" t="s">
        <v>197</v>
      </c>
      <c r="E8" s="5" t="s">
        <v>79</v>
      </c>
      <c r="F8" s="5" t="s">
        <v>80</v>
      </c>
      <c r="G8" s="5" t="s">
        <v>80</v>
      </c>
      <c r="H8" s="5" t="s">
        <v>81</v>
      </c>
      <c r="I8" s="5">
        <v>4500</v>
      </c>
      <c r="J8" s="5">
        <v>6500</v>
      </c>
      <c r="K8" s="5" t="s">
        <v>82</v>
      </c>
      <c r="L8" s="5" t="s">
        <v>25</v>
      </c>
      <c r="M8" s="5" t="s">
        <v>198</v>
      </c>
      <c r="N8" s="5" t="s">
        <v>199</v>
      </c>
      <c r="O8" s="5" t="s">
        <v>200</v>
      </c>
      <c r="P8" s="5" t="s">
        <v>201</v>
      </c>
      <c r="Q8" s="5" t="s">
        <v>87</v>
      </c>
      <c r="R8" s="5" t="s">
        <v>88</v>
      </c>
      <c r="S8" s="5" t="s">
        <v>89</v>
      </c>
      <c r="T8" s="5" t="s">
        <v>90</v>
      </c>
      <c r="U8" s="5" t="s">
        <v>91</v>
      </c>
      <c r="V8" s="5" t="s">
        <v>202</v>
      </c>
      <c r="W8" s="5" t="s">
        <v>203</v>
      </c>
      <c r="X8" s="5" t="s">
        <v>204</v>
      </c>
      <c r="Y8" s="5" t="s">
        <v>205</v>
      </c>
      <c r="Z8" s="5" t="s">
        <v>206</v>
      </c>
      <c r="AA8" s="5" t="s">
        <v>97</v>
      </c>
      <c r="AB8" s="5" t="s">
        <v>207</v>
      </c>
      <c r="AC8" s="5" t="s">
        <v>192</v>
      </c>
      <c r="AD8" s="5" t="s">
        <v>99</v>
      </c>
      <c r="AE8" s="5" t="s">
        <v>193</v>
      </c>
      <c r="AF8" s="5" t="s">
        <v>101</v>
      </c>
      <c r="AG8" s="5" t="s">
        <v>102</v>
      </c>
      <c r="AH8" s="5">
        <v>21935</v>
      </c>
      <c r="AI8" s="5" t="s">
        <v>208</v>
      </c>
      <c r="AJ8" s="14" t="s">
        <v>209</v>
      </c>
      <c r="AK8" s="14"/>
      <c r="AL8" s="5">
        <v>4009</v>
      </c>
      <c r="AM8" s="5" t="s">
        <v>105</v>
      </c>
      <c r="AN8" s="5"/>
      <c r="AO8" s="5" t="s">
        <v>106</v>
      </c>
      <c r="AP8" s="5" t="s">
        <v>107</v>
      </c>
      <c r="AQ8" s="5"/>
    </row>
    <row r="9" spans="1:43" ht="42.75">
      <c r="A9" s="5">
        <v>8</v>
      </c>
      <c r="B9" s="5" t="s">
        <v>210</v>
      </c>
      <c r="C9" s="5" t="s">
        <v>210</v>
      </c>
      <c r="D9" s="5" t="s">
        <v>211</v>
      </c>
      <c r="E9" s="5" t="s">
        <v>79</v>
      </c>
      <c r="F9" s="5" t="s">
        <v>80</v>
      </c>
      <c r="G9" s="5" t="s">
        <v>80</v>
      </c>
      <c r="H9" s="5" t="s">
        <v>81</v>
      </c>
      <c r="I9" s="5">
        <v>4500</v>
      </c>
      <c r="J9" s="5">
        <v>6500</v>
      </c>
      <c r="K9" s="5" t="s">
        <v>82</v>
      </c>
      <c r="L9" s="5" t="s">
        <v>25</v>
      </c>
      <c r="M9" s="5" t="s">
        <v>212</v>
      </c>
      <c r="N9" s="5" t="s">
        <v>213</v>
      </c>
      <c r="O9" s="5" t="s">
        <v>214</v>
      </c>
      <c r="P9" s="5" t="s">
        <v>215</v>
      </c>
      <c r="Q9" s="5" t="s">
        <v>87</v>
      </c>
      <c r="R9" s="5" t="s">
        <v>88</v>
      </c>
      <c r="S9" s="5" t="s">
        <v>89</v>
      </c>
      <c r="T9" s="5" t="s">
        <v>90</v>
      </c>
      <c r="U9" s="5" t="s">
        <v>91</v>
      </c>
      <c r="V9" s="5" t="s">
        <v>216</v>
      </c>
      <c r="W9" s="5" t="s">
        <v>217</v>
      </c>
      <c r="X9" s="5" t="s">
        <v>218</v>
      </c>
      <c r="Y9" s="5" t="s">
        <v>219</v>
      </c>
      <c r="Z9" s="5" t="s">
        <v>190</v>
      </c>
      <c r="AA9" s="5" t="s">
        <v>97</v>
      </c>
      <c r="AB9" s="5" t="s">
        <v>220</v>
      </c>
      <c r="AC9" s="5" t="s">
        <v>192</v>
      </c>
      <c r="AD9" s="5" t="s">
        <v>99</v>
      </c>
      <c r="AE9" s="5" t="s">
        <v>193</v>
      </c>
      <c r="AF9" s="5" t="s">
        <v>101</v>
      </c>
      <c r="AG9" s="5" t="s">
        <v>102</v>
      </c>
      <c r="AH9" s="5">
        <v>21937</v>
      </c>
      <c r="AI9" s="5" t="s">
        <v>221</v>
      </c>
      <c r="AJ9" s="14" t="s">
        <v>222</v>
      </c>
      <c r="AK9" s="14"/>
      <c r="AL9" s="5">
        <v>3998</v>
      </c>
      <c r="AM9" s="5" t="s">
        <v>105</v>
      </c>
      <c r="AN9" s="5"/>
      <c r="AO9" s="5" t="s">
        <v>106</v>
      </c>
      <c r="AP9" s="5" t="s">
        <v>107</v>
      </c>
      <c r="AQ9" s="5"/>
    </row>
    <row r="10" spans="1:43" ht="42.75">
      <c r="A10" s="5">
        <v>9</v>
      </c>
      <c r="B10" s="5" t="s">
        <v>223</v>
      </c>
      <c r="C10" s="5" t="s">
        <v>223</v>
      </c>
      <c r="D10" s="5" t="s">
        <v>224</v>
      </c>
      <c r="E10" s="5" t="s">
        <v>79</v>
      </c>
      <c r="F10" s="5" t="s">
        <v>80</v>
      </c>
      <c r="G10" s="5" t="s">
        <v>80</v>
      </c>
      <c r="H10" s="5" t="s">
        <v>81</v>
      </c>
      <c r="I10" s="5">
        <v>4500</v>
      </c>
      <c r="J10" s="5">
        <v>6500</v>
      </c>
      <c r="K10" s="5" t="s">
        <v>82</v>
      </c>
      <c r="L10" s="5" t="s">
        <v>25</v>
      </c>
      <c r="M10" s="5" t="s">
        <v>225</v>
      </c>
      <c r="N10" s="5" t="s">
        <v>226</v>
      </c>
      <c r="O10" s="5" t="s">
        <v>227</v>
      </c>
      <c r="P10" s="5" t="s">
        <v>228</v>
      </c>
      <c r="Q10" s="5" t="s">
        <v>87</v>
      </c>
      <c r="R10" s="5" t="s">
        <v>88</v>
      </c>
      <c r="S10" s="5" t="s">
        <v>89</v>
      </c>
      <c r="T10" s="5" t="s">
        <v>90</v>
      </c>
      <c r="U10" s="5" t="s">
        <v>91</v>
      </c>
      <c r="V10" s="5" t="s">
        <v>229</v>
      </c>
      <c r="W10" s="5" t="s">
        <v>217</v>
      </c>
      <c r="X10" s="5" t="s">
        <v>218</v>
      </c>
      <c r="Y10" s="5" t="s">
        <v>219</v>
      </c>
      <c r="Z10" s="5" t="s">
        <v>190</v>
      </c>
      <c r="AA10" s="5" t="s">
        <v>97</v>
      </c>
      <c r="AB10" s="5" t="s">
        <v>220</v>
      </c>
      <c r="AC10" s="5" t="s">
        <v>192</v>
      </c>
      <c r="AD10" s="5" t="s">
        <v>99</v>
      </c>
      <c r="AE10" s="5" t="s">
        <v>193</v>
      </c>
      <c r="AF10" s="5" t="s">
        <v>101</v>
      </c>
      <c r="AG10" s="5" t="s">
        <v>102</v>
      </c>
      <c r="AH10" s="5">
        <v>21939</v>
      </c>
      <c r="AI10" s="5" t="s">
        <v>230</v>
      </c>
      <c r="AJ10" s="14" t="s">
        <v>231</v>
      </c>
      <c r="AK10" s="14"/>
      <c r="AL10" s="5">
        <v>3981</v>
      </c>
      <c r="AM10" s="5" t="s">
        <v>105</v>
      </c>
      <c r="AN10" s="5"/>
      <c r="AO10" s="5" t="s">
        <v>106</v>
      </c>
      <c r="AP10" s="5" t="s">
        <v>107</v>
      </c>
      <c r="AQ10" s="5"/>
    </row>
    <row r="11" spans="1:43" ht="42.75">
      <c r="A11" s="5">
        <v>10</v>
      </c>
      <c r="B11" s="5" t="s">
        <v>232</v>
      </c>
      <c r="C11" s="5" t="s">
        <v>232</v>
      </c>
      <c r="D11" s="5" t="s">
        <v>233</v>
      </c>
      <c r="E11" s="5" t="s">
        <v>79</v>
      </c>
      <c r="F11" s="5" t="s">
        <v>80</v>
      </c>
      <c r="G11" s="5" t="s">
        <v>80</v>
      </c>
      <c r="H11" s="5" t="s">
        <v>81</v>
      </c>
      <c r="I11" s="5">
        <v>4500</v>
      </c>
      <c r="J11" s="5">
        <v>6500</v>
      </c>
      <c r="K11" s="5" t="s">
        <v>82</v>
      </c>
      <c r="L11" s="5" t="s">
        <v>25</v>
      </c>
      <c r="M11" s="5" t="s">
        <v>234</v>
      </c>
      <c r="N11" s="5" t="s">
        <v>235</v>
      </c>
      <c r="O11" s="5" t="s">
        <v>236</v>
      </c>
      <c r="P11" s="5" t="s">
        <v>237</v>
      </c>
      <c r="Q11" s="5" t="s">
        <v>87</v>
      </c>
      <c r="R11" s="5" t="s">
        <v>88</v>
      </c>
      <c r="S11" s="5" t="s">
        <v>89</v>
      </c>
      <c r="T11" s="5" t="s">
        <v>90</v>
      </c>
      <c r="U11" s="5" t="s">
        <v>91</v>
      </c>
      <c r="V11" s="5" t="s">
        <v>238</v>
      </c>
      <c r="W11" s="5" t="s">
        <v>239</v>
      </c>
      <c r="X11" s="5" t="s">
        <v>240</v>
      </c>
      <c r="Y11" s="5" t="s">
        <v>241</v>
      </c>
      <c r="Z11" s="5" t="s">
        <v>242</v>
      </c>
      <c r="AA11" s="5" t="s">
        <v>97</v>
      </c>
      <c r="AB11" s="5" t="s">
        <v>243</v>
      </c>
      <c r="AC11" s="5" t="s">
        <v>192</v>
      </c>
      <c r="AD11" s="5" t="s">
        <v>99</v>
      </c>
      <c r="AE11" s="5" t="s">
        <v>193</v>
      </c>
      <c r="AF11" s="5" t="s">
        <v>101</v>
      </c>
      <c r="AG11" s="5" t="s">
        <v>102</v>
      </c>
      <c r="AH11" s="5">
        <v>21941</v>
      </c>
      <c r="AI11" s="5" t="s">
        <v>244</v>
      </c>
      <c r="AJ11" s="14" t="s">
        <v>245</v>
      </c>
      <c r="AK11" s="14"/>
      <c r="AL11" s="5">
        <v>3914</v>
      </c>
      <c r="AM11" s="5" t="s">
        <v>105</v>
      </c>
      <c r="AN11" s="5"/>
      <c r="AO11" s="5" t="s">
        <v>106</v>
      </c>
      <c r="AP11" s="5" t="s">
        <v>107</v>
      </c>
      <c r="AQ11" s="5"/>
    </row>
    <row r="12" spans="1:43" ht="42.75">
      <c r="A12" s="5">
        <v>11</v>
      </c>
      <c r="B12" s="5" t="s">
        <v>246</v>
      </c>
      <c r="C12" s="5" t="s">
        <v>246</v>
      </c>
      <c r="D12" s="5" t="s">
        <v>247</v>
      </c>
      <c r="E12" s="5" t="s">
        <v>248</v>
      </c>
      <c r="F12" s="5" t="s">
        <v>80</v>
      </c>
      <c r="G12" s="5" t="s">
        <v>80</v>
      </c>
      <c r="H12" s="5" t="s">
        <v>145</v>
      </c>
      <c r="I12" s="5">
        <v>5000</v>
      </c>
      <c r="J12" s="5">
        <v>7000</v>
      </c>
      <c r="K12" s="5" t="s">
        <v>82</v>
      </c>
      <c r="L12" s="5" t="s">
        <v>26</v>
      </c>
      <c r="M12" s="5" t="s">
        <v>249</v>
      </c>
      <c r="N12" s="5" t="s">
        <v>250</v>
      </c>
      <c r="O12" s="5" t="s">
        <v>251</v>
      </c>
      <c r="P12" s="5" t="s">
        <v>252</v>
      </c>
      <c r="Q12" s="5" t="s">
        <v>253</v>
      </c>
      <c r="R12" s="5" t="s">
        <v>254</v>
      </c>
      <c r="S12" s="5" t="s">
        <v>255</v>
      </c>
      <c r="T12" s="5" t="s">
        <v>256</v>
      </c>
      <c r="U12" s="5" t="s">
        <v>257</v>
      </c>
      <c r="V12" s="5" t="s">
        <v>253</v>
      </c>
      <c r="W12" s="5" t="s">
        <v>239</v>
      </c>
      <c r="X12" s="5" t="s">
        <v>240</v>
      </c>
      <c r="Y12" s="5" t="s">
        <v>241</v>
      </c>
      <c r="Z12" s="5" t="s">
        <v>242</v>
      </c>
      <c r="AA12" s="5" t="s">
        <v>97</v>
      </c>
      <c r="AB12" s="5" t="s">
        <v>243</v>
      </c>
      <c r="AC12" s="5" t="s">
        <v>192</v>
      </c>
      <c r="AD12" s="5" t="s">
        <v>99</v>
      </c>
      <c r="AE12" s="5" t="s">
        <v>193</v>
      </c>
      <c r="AF12" s="5" t="s">
        <v>101</v>
      </c>
      <c r="AG12" s="5" t="s">
        <v>102</v>
      </c>
      <c r="AH12" s="5">
        <v>21943</v>
      </c>
      <c r="AI12" s="5" t="s">
        <v>258</v>
      </c>
      <c r="AJ12" s="14" t="s">
        <v>259</v>
      </c>
      <c r="AK12" s="14"/>
      <c r="AL12" s="5">
        <v>4306</v>
      </c>
      <c r="AM12" s="5" t="s">
        <v>159</v>
      </c>
      <c r="AN12" s="5"/>
      <c r="AO12" s="5" t="s">
        <v>260</v>
      </c>
      <c r="AP12" s="5" t="s">
        <v>107</v>
      </c>
      <c r="AQ12" s="5"/>
    </row>
    <row r="13" spans="1:43" ht="42.75">
      <c r="A13" s="5">
        <v>12</v>
      </c>
      <c r="B13" s="5" t="s">
        <v>261</v>
      </c>
      <c r="C13" s="5" t="s">
        <v>261</v>
      </c>
      <c r="D13" s="5" t="s">
        <v>262</v>
      </c>
      <c r="E13" s="5" t="s">
        <v>248</v>
      </c>
      <c r="F13" s="5" t="s">
        <v>80</v>
      </c>
      <c r="G13" s="5" t="s">
        <v>80</v>
      </c>
      <c r="H13" s="5" t="s">
        <v>145</v>
      </c>
      <c r="I13" s="5">
        <v>5000</v>
      </c>
      <c r="J13" s="5">
        <v>7000</v>
      </c>
      <c r="K13" s="5" t="s">
        <v>82</v>
      </c>
      <c r="L13" s="5" t="s">
        <v>26</v>
      </c>
      <c r="M13" s="5" t="s">
        <v>263</v>
      </c>
      <c r="N13" s="5" t="s">
        <v>264</v>
      </c>
      <c r="O13" s="5" t="s">
        <v>265</v>
      </c>
      <c r="P13" s="5" t="s">
        <v>266</v>
      </c>
      <c r="Q13" s="5" t="s">
        <v>253</v>
      </c>
      <c r="R13" s="5" t="s">
        <v>254</v>
      </c>
      <c r="S13" s="5" t="s">
        <v>255</v>
      </c>
      <c r="T13" s="5" t="s">
        <v>256</v>
      </c>
      <c r="U13" s="5" t="s">
        <v>257</v>
      </c>
      <c r="V13" s="5" t="s">
        <v>267</v>
      </c>
      <c r="W13" s="5" t="s">
        <v>239</v>
      </c>
      <c r="X13" s="5" t="s">
        <v>240</v>
      </c>
      <c r="Y13" s="5" t="s">
        <v>241</v>
      </c>
      <c r="Z13" s="5" t="s">
        <v>242</v>
      </c>
      <c r="AA13" s="5" t="s">
        <v>97</v>
      </c>
      <c r="AB13" s="5" t="s">
        <v>243</v>
      </c>
      <c r="AC13" s="5" t="s">
        <v>192</v>
      </c>
      <c r="AD13" s="5" t="s">
        <v>99</v>
      </c>
      <c r="AE13" s="5" t="s">
        <v>193</v>
      </c>
      <c r="AF13" s="5" t="s">
        <v>101</v>
      </c>
      <c r="AG13" s="5" t="s">
        <v>102</v>
      </c>
      <c r="AH13" s="5">
        <v>21945</v>
      </c>
      <c r="AI13" s="5" t="s">
        <v>268</v>
      </c>
      <c r="AJ13" s="14" t="s">
        <v>269</v>
      </c>
      <c r="AK13" s="14"/>
      <c r="AL13" s="5">
        <v>4302</v>
      </c>
      <c r="AM13" s="5" t="s">
        <v>159</v>
      </c>
      <c r="AN13" s="5"/>
      <c r="AO13" s="5" t="s">
        <v>260</v>
      </c>
      <c r="AP13" s="5" t="s">
        <v>107</v>
      </c>
      <c r="AQ13" s="5"/>
    </row>
    <row r="14" spans="1:43" ht="42.75">
      <c r="A14" s="5">
        <v>13</v>
      </c>
      <c r="B14" s="5" t="s">
        <v>270</v>
      </c>
      <c r="C14" s="5" t="s">
        <v>270</v>
      </c>
      <c r="D14" s="5" t="s">
        <v>271</v>
      </c>
      <c r="E14" s="5" t="s">
        <v>248</v>
      </c>
      <c r="F14" s="5" t="s">
        <v>80</v>
      </c>
      <c r="G14" s="5" t="s">
        <v>80</v>
      </c>
      <c r="H14" s="5" t="s">
        <v>145</v>
      </c>
      <c r="I14" s="5">
        <v>5000</v>
      </c>
      <c r="J14" s="5">
        <v>7000</v>
      </c>
      <c r="K14" s="5" t="s">
        <v>82</v>
      </c>
      <c r="L14" s="5" t="s">
        <v>26</v>
      </c>
      <c r="M14" s="5" t="s">
        <v>272</v>
      </c>
      <c r="N14" s="5" t="s">
        <v>273</v>
      </c>
      <c r="O14" s="5" t="s">
        <v>274</v>
      </c>
      <c r="P14" s="5" t="s">
        <v>275</v>
      </c>
      <c r="Q14" s="5" t="s">
        <v>253</v>
      </c>
      <c r="R14" s="5" t="s">
        <v>254</v>
      </c>
      <c r="S14" s="5" t="s">
        <v>255</v>
      </c>
      <c r="T14" s="5" t="s">
        <v>256</v>
      </c>
      <c r="U14" s="5" t="s">
        <v>257</v>
      </c>
      <c r="V14" s="5" t="s">
        <v>276</v>
      </c>
      <c r="W14" s="5" t="s">
        <v>239</v>
      </c>
      <c r="X14" s="5" t="s">
        <v>240</v>
      </c>
      <c r="Y14" s="5" t="s">
        <v>241</v>
      </c>
      <c r="Z14" s="5" t="s">
        <v>242</v>
      </c>
      <c r="AA14" s="5" t="s">
        <v>97</v>
      </c>
      <c r="AB14" s="5" t="s">
        <v>243</v>
      </c>
      <c r="AC14" s="5" t="s">
        <v>192</v>
      </c>
      <c r="AD14" s="5" t="s">
        <v>99</v>
      </c>
      <c r="AE14" s="5" t="s">
        <v>193</v>
      </c>
      <c r="AF14" s="5" t="s">
        <v>101</v>
      </c>
      <c r="AG14" s="5" t="s">
        <v>102</v>
      </c>
      <c r="AH14" s="5">
        <v>21947</v>
      </c>
      <c r="AI14" s="5" t="s">
        <v>277</v>
      </c>
      <c r="AJ14" s="14" t="s">
        <v>278</v>
      </c>
      <c r="AK14" s="14"/>
      <c r="AL14" s="5">
        <v>4340</v>
      </c>
      <c r="AM14" s="5" t="s">
        <v>159</v>
      </c>
      <c r="AN14" s="5"/>
      <c r="AO14" s="5" t="s">
        <v>260</v>
      </c>
      <c r="AP14" s="5" t="s">
        <v>107</v>
      </c>
      <c r="AQ14" s="5"/>
    </row>
    <row r="15" spans="1:43" ht="42.75">
      <c r="A15" s="5">
        <v>14</v>
      </c>
      <c r="B15" s="5" t="s">
        <v>279</v>
      </c>
      <c r="C15" s="5" t="s">
        <v>279</v>
      </c>
      <c r="D15" s="5" t="s">
        <v>280</v>
      </c>
      <c r="E15" s="5" t="s">
        <v>248</v>
      </c>
      <c r="F15" s="5" t="s">
        <v>80</v>
      </c>
      <c r="G15" s="5" t="s">
        <v>80</v>
      </c>
      <c r="H15" s="5" t="s">
        <v>145</v>
      </c>
      <c r="I15" s="5">
        <v>5000</v>
      </c>
      <c r="J15" s="5">
        <v>7000</v>
      </c>
      <c r="K15" s="5" t="s">
        <v>82</v>
      </c>
      <c r="L15" s="5" t="s">
        <v>26</v>
      </c>
      <c r="M15" s="5" t="s">
        <v>281</v>
      </c>
      <c r="N15" s="5" t="s">
        <v>282</v>
      </c>
      <c r="O15" s="5" t="s">
        <v>283</v>
      </c>
      <c r="P15" s="5" t="s">
        <v>284</v>
      </c>
      <c r="Q15" s="5" t="s">
        <v>253</v>
      </c>
      <c r="R15" s="5" t="s">
        <v>254</v>
      </c>
      <c r="S15" s="5" t="s">
        <v>255</v>
      </c>
      <c r="T15" s="5" t="s">
        <v>256</v>
      </c>
      <c r="U15" s="5" t="s">
        <v>257</v>
      </c>
      <c r="V15" s="5" t="s">
        <v>285</v>
      </c>
      <c r="W15" s="5" t="s">
        <v>239</v>
      </c>
      <c r="X15" s="5" t="s">
        <v>240</v>
      </c>
      <c r="Y15" s="5" t="s">
        <v>241</v>
      </c>
      <c r="Z15" s="5" t="s">
        <v>242</v>
      </c>
      <c r="AA15" s="5" t="s">
        <v>97</v>
      </c>
      <c r="AB15" s="5" t="s">
        <v>243</v>
      </c>
      <c r="AC15" s="5" t="s">
        <v>192</v>
      </c>
      <c r="AD15" s="5" t="s">
        <v>99</v>
      </c>
      <c r="AE15" s="5" t="s">
        <v>193</v>
      </c>
      <c r="AF15" s="5" t="s">
        <v>101</v>
      </c>
      <c r="AG15" s="5" t="s">
        <v>102</v>
      </c>
      <c r="AH15" s="5">
        <v>21949</v>
      </c>
      <c r="AI15" s="5" t="s">
        <v>286</v>
      </c>
      <c r="AJ15" s="14" t="s">
        <v>287</v>
      </c>
      <c r="AK15" s="14"/>
      <c r="AL15" s="5">
        <v>4318</v>
      </c>
      <c r="AM15" s="5" t="s">
        <v>159</v>
      </c>
      <c r="AN15" s="5"/>
      <c r="AO15" s="5" t="s">
        <v>260</v>
      </c>
      <c r="AP15" s="5" t="s">
        <v>107</v>
      </c>
      <c r="AQ15" s="5"/>
    </row>
    <row r="16" spans="1:43" ht="42.75">
      <c r="A16" s="5">
        <v>15</v>
      </c>
      <c r="B16" s="5" t="s">
        <v>288</v>
      </c>
      <c r="C16" s="5" t="s">
        <v>288</v>
      </c>
      <c r="D16" s="5" t="s">
        <v>289</v>
      </c>
      <c r="E16" s="5" t="s">
        <v>248</v>
      </c>
      <c r="F16" s="5" t="s">
        <v>80</v>
      </c>
      <c r="G16" s="5" t="s">
        <v>80</v>
      </c>
      <c r="H16" s="5" t="s">
        <v>145</v>
      </c>
      <c r="I16" s="5">
        <v>5000</v>
      </c>
      <c r="J16" s="5">
        <v>7000</v>
      </c>
      <c r="K16" s="5" t="s">
        <v>82</v>
      </c>
      <c r="L16" s="5" t="s">
        <v>26</v>
      </c>
      <c r="M16" s="5" t="s">
        <v>290</v>
      </c>
      <c r="N16" s="5" t="s">
        <v>291</v>
      </c>
      <c r="O16" s="5" t="s">
        <v>292</v>
      </c>
      <c r="P16" s="5" t="s">
        <v>293</v>
      </c>
      <c r="Q16" s="5" t="s">
        <v>253</v>
      </c>
      <c r="R16" s="5" t="s">
        <v>254</v>
      </c>
      <c r="S16" s="5" t="s">
        <v>255</v>
      </c>
      <c r="T16" s="5" t="s">
        <v>256</v>
      </c>
      <c r="U16" s="5" t="s">
        <v>257</v>
      </c>
      <c r="V16" s="5" t="s">
        <v>294</v>
      </c>
      <c r="W16" s="5" t="s">
        <v>239</v>
      </c>
      <c r="X16" s="5" t="s">
        <v>240</v>
      </c>
      <c r="Y16" s="5" t="s">
        <v>241</v>
      </c>
      <c r="Z16" s="5" t="s">
        <v>242</v>
      </c>
      <c r="AA16" s="5" t="s">
        <v>97</v>
      </c>
      <c r="AB16" s="5" t="s">
        <v>243</v>
      </c>
      <c r="AC16" s="5" t="s">
        <v>192</v>
      </c>
      <c r="AD16" s="5" t="s">
        <v>99</v>
      </c>
      <c r="AE16" s="5" t="s">
        <v>193</v>
      </c>
      <c r="AF16" s="5" t="s">
        <v>101</v>
      </c>
      <c r="AG16" s="5" t="s">
        <v>102</v>
      </c>
      <c r="AH16" s="5">
        <v>21951</v>
      </c>
      <c r="AI16" s="5" t="s">
        <v>295</v>
      </c>
      <c r="AJ16" s="14" t="s">
        <v>296</v>
      </c>
      <c r="AK16" s="14"/>
      <c r="AL16" s="5">
        <v>4289</v>
      </c>
      <c r="AM16" s="5" t="s">
        <v>159</v>
      </c>
      <c r="AN16" s="5"/>
      <c r="AO16" s="5" t="s">
        <v>260</v>
      </c>
      <c r="AP16" s="5" t="s">
        <v>107</v>
      </c>
      <c r="AQ16" s="5"/>
    </row>
    <row r="17" spans="1:43" ht="42.75">
      <c r="A17" s="5">
        <v>16</v>
      </c>
      <c r="B17" s="5" t="s">
        <v>297</v>
      </c>
      <c r="C17" s="5" t="s">
        <v>297</v>
      </c>
      <c r="D17" s="5" t="s">
        <v>298</v>
      </c>
      <c r="E17" s="5" t="s">
        <v>248</v>
      </c>
      <c r="F17" s="5" t="s">
        <v>80</v>
      </c>
      <c r="G17" s="5" t="s">
        <v>80</v>
      </c>
      <c r="H17" s="5" t="s">
        <v>145</v>
      </c>
      <c r="I17" s="5">
        <v>5000</v>
      </c>
      <c r="J17" s="5">
        <v>7000</v>
      </c>
      <c r="K17" s="5" t="s">
        <v>82</v>
      </c>
      <c r="L17" s="5" t="s">
        <v>26</v>
      </c>
      <c r="M17" s="5" t="s">
        <v>299</v>
      </c>
      <c r="N17" s="5" t="s">
        <v>300</v>
      </c>
      <c r="O17" s="5" t="s">
        <v>301</v>
      </c>
      <c r="P17" s="5" t="s">
        <v>302</v>
      </c>
      <c r="Q17" s="5" t="s">
        <v>253</v>
      </c>
      <c r="R17" s="5" t="s">
        <v>254</v>
      </c>
      <c r="S17" s="5" t="s">
        <v>255</v>
      </c>
      <c r="T17" s="5" t="s">
        <v>256</v>
      </c>
      <c r="U17" s="5" t="s">
        <v>257</v>
      </c>
      <c r="V17" s="5" t="s">
        <v>303</v>
      </c>
      <c r="W17" s="5" t="s">
        <v>239</v>
      </c>
      <c r="X17" s="5" t="s">
        <v>240</v>
      </c>
      <c r="Y17" s="5" t="s">
        <v>241</v>
      </c>
      <c r="Z17" s="5" t="s">
        <v>242</v>
      </c>
      <c r="AA17" s="5" t="s">
        <v>97</v>
      </c>
      <c r="AB17" s="5" t="s">
        <v>243</v>
      </c>
      <c r="AC17" s="5" t="s">
        <v>192</v>
      </c>
      <c r="AD17" s="5" t="s">
        <v>99</v>
      </c>
      <c r="AE17" s="5" t="s">
        <v>193</v>
      </c>
      <c r="AF17" s="5" t="s">
        <v>101</v>
      </c>
      <c r="AG17" s="5" t="s">
        <v>102</v>
      </c>
      <c r="AH17" s="5">
        <v>21953</v>
      </c>
      <c r="AI17" s="5" t="s">
        <v>304</v>
      </c>
      <c r="AJ17" s="14" t="s">
        <v>305</v>
      </c>
      <c r="AK17" s="14"/>
      <c r="AL17" s="5">
        <v>4369</v>
      </c>
      <c r="AM17" s="5" t="s">
        <v>159</v>
      </c>
      <c r="AN17" s="5"/>
      <c r="AO17" s="5" t="s">
        <v>260</v>
      </c>
      <c r="AP17" s="5" t="s">
        <v>107</v>
      </c>
      <c r="AQ17" s="5"/>
    </row>
    <row r="18" spans="1:43" ht="42.75">
      <c r="A18" s="5">
        <v>17</v>
      </c>
      <c r="B18" s="5" t="s">
        <v>306</v>
      </c>
      <c r="C18" s="5" t="s">
        <v>306</v>
      </c>
      <c r="D18" s="5" t="s">
        <v>307</v>
      </c>
      <c r="E18" s="5" t="s">
        <v>248</v>
      </c>
      <c r="F18" s="5" t="s">
        <v>308</v>
      </c>
      <c r="G18" s="5" t="s">
        <v>309</v>
      </c>
      <c r="H18" s="5" t="s">
        <v>145</v>
      </c>
      <c r="I18" s="5">
        <v>5000</v>
      </c>
      <c r="J18" s="5">
        <v>7000</v>
      </c>
      <c r="K18" s="5" t="s">
        <v>82</v>
      </c>
      <c r="L18" s="5" t="s">
        <v>26</v>
      </c>
      <c r="M18" s="5" t="s">
        <v>310</v>
      </c>
      <c r="N18" s="5" t="s">
        <v>311</v>
      </c>
      <c r="O18" s="5" t="s">
        <v>312</v>
      </c>
      <c r="P18" s="5" t="s">
        <v>313</v>
      </c>
      <c r="Q18" s="5" t="s">
        <v>253</v>
      </c>
      <c r="R18" s="5" t="s">
        <v>254</v>
      </c>
      <c r="S18" s="5" t="s">
        <v>255</v>
      </c>
      <c r="T18" s="5" t="s">
        <v>256</v>
      </c>
      <c r="U18" s="5" t="s">
        <v>257</v>
      </c>
      <c r="V18" s="5" t="s">
        <v>314</v>
      </c>
      <c r="W18" s="5" t="s">
        <v>239</v>
      </c>
      <c r="X18" s="5" t="s">
        <v>240</v>
      </c>
      <c r="Y18" s="5" t="s">
        <v>241</v>
      </c>
      <c r="Z18" s="5" t="s">
        <v>242</v>
      </c>
      <c r="AA18" s="5" t="s">
        <v>97</v>
      </c>
      <c r="AB18" s="5" t="s">
        <v>243</v>
      </c>
      <c r="AC18" s="5" t="s">
        <v>192</v>
      </c>
      <c r="AD18" s="5" t="s">
        <v>99</v>
      </c>
      <c r="AE18" s="5" t="s">
        <v>193</v>
      </c>
      <c r="AF18" s="5" t="s">
        <v>101</v>
      </c>
      <c r="AG18" s="5" t="s">
        <v>102</v>
      </c>
      <c r="AH18" s="5">
        <v>21955</v>
      </c>
      <c r="AI18" s="5" t="s">
        <v>315</v>
      </c>
      <c r="AJ18" s="14" t="s">
        <v>316</v>
      </c>
      <c r="AK18" s="14"/>
      <c r="AL18" s="5">
        <v>4311</v>
      </c>
      <c r="AM18" s="5" t="s">
        <v>159</v>
      </c>
      <c r="AN18" s="5"/>
      <c r="AO18" s="5" t="s">
        <v>260</v>
      </c>
      <c r="AP18" s="5" t="s">
        <v>107</v>
      </c>
      <c r="AQ18" s="5"/>
    </row>
    <row r="19" spans="1:43" ht="42.75">
      <c r="A19" s="5">
        <v>18</v>
      </c>
      <c r="B19" s="5" t="s">
        <v>317</v>
      </c>
      <c r="C19" s="5" t="s">
        <v>317</v>
      </c>
      <c r="D19" s="5" t="s">
        <v>318</v>
      </c>
      <c r="E19" s="5" t="s">
        <v>248</v>
      </c>
      <c r="F19" s="5" t="s">
        <v>308</v>
      </c>
      <c r="G19" s="5" t="s">
        <v>80</v>
      </c>
      <c r="H19" s="5" t="s">
        <v>145</v>
      </c>
      <c r="I19" s="5">
        <v>5000</v>
      </c>
      <c r="J19" s="5">
        <v>7000</v>
      </c>
      <c r="K19" s="5" t="s">
        <v>82</v>
      </c>
      <c r="L19" s="5" t="s">
        <v>26</v>
      </c>
      <c r="M19" s="5" t="s">
        <v>319</v>
      </c>
      <c r="N19" s="5" t="s">
        <v>320</v>
      </c>
      <c r="O19" s="5" t="s">
        <v>321</v>
      </c>
      <c r="P19" s="5" t="s">
        <v>322</v>
      </c>
      <c r="Q19" s="5" t="s">
        <v>253</v>
      </c>
      <c r="R19" s="5" t="s">
        <v>254</v>
      </c>
      <c r="S19" s="5" t="s">
        <v>255</v>
      </c>
      <c r="T19" s="5" t="s">
        <v>256</v>
      </c>
      <c r="U19" s="5" t="s">
        <v>257</v>
      </c>
      <c r="V19" s="5" t="s">
        <v>323</v>
      </c>
      <c r="W19" s="5" t="s">
        <v>239</v>
      </c>
      <c r="X19" s="5" t="s">
        <v>240</v>
      </c>
      <c r="Y19" s="5" t="s">
        <v>241</v>
      </c>
      <c r="Z19" s="5" t="s">
        <v>242</v>
      </c>
      <c r="AA19" s="5" t="s">
        <v>97</v>
      </c>
      <c r="AB19" s="5" t="s">
        <v>243</v>
      </c>
      <c r="AC19" s="5" t="s">
        <v>192</v>
      </c>
      <c r="AD19" s="5" t="s">
        <v>99</v>
      </c>
      <c r="AE19" s="5" t="s">
        <v>193</v>
      </c>
      <c r="AF19" s="5" t="s">
        <v>101</v>
      </c>
      <c r="AG19" s="5" t="s">
        <v>102</v>
      </c>
      <c r="AH19" s="5">
        <v>21957</v>
      </c>
      <c r="AI19" s="5" t="s">
        <v>324</v>
      </c>
      <c r="AJ19" s="14" t="s">
        <v>325</v>
      </c>
      <c r="AK19" s="14"/>
      <c r="AL19" s="5">
        <v>4240</v>
      </c>
      <c r="AM19" s="5" t="s">
        <v>159</v>
      </c>
      <c r="AN19" s="5"/>
      <c r="AO19" s="5" t="s">
        <v>260</v>
      </c>
      <c r="AP19" s="5" t="s">
        <v>107</v>
      </c>
      <c r="AQ19" s="5"/>
    </row>
    <row r="20" spans="1:43" ht="42.75">
      <c r="A20" s="5">
        <v>19</v>
      </c>
      <c r="B20" s="5" t="s">
        <v>326</v>
      </c>
      <c r="C20" s="5" t="s">
        <v>326</v>
      </c>
      <c r="D20" s="5" t="s">
        <v>327</v>
      </c>
      <c r="E20" s="5" t="s">
        <v>248</v>
      </c>
      <c r="F20" s="5" t="s">
        <v>308</v>
      </c>
      <c r="G20" s="5" t="s">
        <v>309</v>
      </c>
      <c r="H20" s="5" t="s">
        <v>145</v>
      </c>
      <c r="I20" s="5">
        <v>5000</v>
      </c>
      <c r="J20" s="5">
        <v>7000</v>
      </c>
      <c r="K20" s="5" t="s">
        <v>82</v>
      </c>
      <c r="L20" s="5" t="s">
        <v>26</v>
      </c>
      <c r="M20" s="5" t="s">
        <v>328</v>
      </c>
      <c r="N20" s="5" t="s">
        <v>329</v>
      </c>
      <c r="O20" s="5" t="s">
        <v>330</v>
      </c>
      <c r="P20" s="5" t="s">
        <v>331</v>
      </c>
      <c r="Q20" s="5" t="s">
        <v>253</v>
      </c>
      <c r="R20" s="5" t="s">
        <v>254</v>
      </c>
      <c r="S20" s="5" t="s">
        <v>255</v>
      </c>
      <c r="T20" s="5" t="s">
        <v>256</v>
      </c>
      <c r="U20" s="5" t="s">
        <v>257</v>
      </c>
      <c r="V20" s="5" t="s">
        <v>332</v>
      </c>
      <c r="W20" s="5" t="s">
        <v>239</v>
      </c>
      <c r="X20" s="5" t="s">
        <v>240</v>
      </c>
      <c r="Y20" s="5" t="s">
        <v>241</v>
      </c>
      <c r="Z20" s="5" t="s">
        <v>242</v>
      </c>
      <c r="AA20" s="5" t="s">
        <v>97</v>
      </c>
      <c r="AB20" s="5" t="s">
        <v>243</v>
      </c>
      <c r="AC20" s="5" t="s">
        <v>192</v>
      </c>
      <c r="AD20" s="5" t="s">
        <v>99</v>
      </c>
      <c r="AE20" s="5" t="s">
        <v>193</v>
      </c>
      <c r="AF20" s="5" t="s">
        <v>101</v>
      </c>
      <c r="AG20" s="5" t="s">
        <v>102</v>
      </c>
      <c r="AH20" s="5">
        <v>21959</v>
      </c>
      <c r="AI20" s="5" t="s">
        <v>333</v>
      </c>
      <c r="AJ20" s="14" t="s">
        <v>334</v>
      </c>
      <c r="AK20" s="14"/>
      <c r="AL20" s="5">
        <v>4275</v>
      </c>
      <c r="AM20" s="5" t="s">
        <v>159</v>
      </c>
      <c r="AN20" s="5"/>
      <c r="AO20" s="5" t="s">
        <v>260</v>
      </c>
      <c r="AP20" s="5" t="s">
        <v>107</v>
      </c>
      <c r="AQ20" s="5"/>
    </row>
    <row r="21" spans="1:43" ht="57">
      <c r="A21" s="5">
        <v>20</v>
      </c>
      <c r="B21" s="5" t="s">
        <v>335</v>
      </c>
      <c r="C21" s="5" t="s">
        <v>335</v>
      </c>
      <c r="D21" s="5" t="s">
        <v>336</v>
      </c>
      <c r="E21" s="5" t="s">
        <v>337</v>
      </c>
      <c r="F21" s="5" t="s">
        <v>338</v>
      </c>
      <c r="G21" s="5" t="s">
        <v>339</v>
      </c>
      <c r="H21" s="5" t="s">
        <v>340</v>
      </c>
      <c r="I21" s="5">
        <v>4500</v>
      </c>
      <c r="J21" s="5">
        <v>6000</v>
      </c>
      <c r="K21" s="5" t="s">
        <v>341</v>
      </c>
      <c r="L21" s="5" t="s">
        <v>27</v>
      </c>
      <c r="M21" s="5" t="s">
        <v>342</v>
      </c>
      <c r="N21" s="5" t="s">
        <v>343</v>
      </c>
      <c r="O21" s="5" t="s">
        <v>344</v>
      </c>
      <c r="P21" s="5" t="s">
        <v>345</v>
      </c>
      <c r="Q21" s="5" t="s">
        <v>346</v>
      </c>
      <c r="R21" s="5" t="s">
        <v>347</v>
      </c>
      <c r="S21" s="5" t="s">
        <v>348</v>
      </c>
      <c r="T21" s="5" t="s">
        <v>169</v>
      </c>
      <c r="U21" s="5" t="s">
        <v>170</v>
      </c>
      <c r="V21" s="5" t="s">
        <v>335</v>
      </c>
      <c r="W21" s="5" t="s">
        <v>349</v>
      </c>
      <c r="X21" s="5" t="s">
        <v>350</v>
      </c>
      <c r="Y21" s="5" t="s">
        <v>351</v>
      </c>
      <c r="Z21" s="5" t="s">
        <v>352</v>
      </c>
      <c r="AA21" s="5" t="s">
        <v>97</v>
      </c>
      <c r="AB21" s="5" t="s">
        <v>353</v>
      </c>
      <c r="AC21" s="5" t="s">
        <v>192</v>
      </c>
      <c r="AD21" s="5" t="s">
        <v>99</v>
      </c>
      <c r="AE21" s="5" t="s">
        <v>193</v>
      </c>
      <c r="AF21" s="5" t="s">
        <v>101</v>
      </c>
      <c r="AG21" s="5" t="s">
        <v>102</v>
      </c>
      <c r="AH21" s="5">
        <v>21961</v>
      </c>
      <c r="AI21" s="5" t="s">
        <v>354</v>
      </c>
      <c r="AJ21" s="14" t="s">
        <v>355</v>
      </c>
      <c r="AK21" s="14"/>
      <c r="AL21" s="5">
        <v>3315</v>
      </c>
      <c r="AM21" s="5" t="s">
        <v>356</v>
      </c>
      <c r="AN21" s="5"/>
      <c r="AO21" s="5" t="s">
        <v>357</v>
      </c>
      <c r="AP21" s="5" t="s">
        <v>107</v>
      </c>
      <c r="AQ21" s="5"/>
    </row>
    <row r="22" spans="1:43" ht="42.75">
      <c r="A22" s="5">
        <v>21</v>
      </c>
      <c r="B22" s="5" t="s">
        <v>358</v>
      </c>
      <c r="C22" s="5" t="s">
        <v>358</v>
      </c>
      <c r="D22" s="5" t="s">
        <v>359</v>
      </c>
      <c r="E22" s="5" t="s">
        <v>337</v>
      </c>
      <c r="F22" s="5" t="s">
        <v>338</v>
      </c>
      <c r="G22" s="5" t="s">
        <v>339</v>
      </c>
      <c r="H22" s="5" t="s">
        <v>340</v>
      </c>
      <c r="I22" s="5">
        <v>4500</v>
      </c>
      <c r="J22" s="5">
        <v>6000</v>
      </c>
      <c r="K22" s="5" t="s">
        <v>341</v>
      </c>
      <c r="L22" s="5" t="s">
        <v>27</v>
      </c>
      <c r="M22" s="5" t="s">
        <v>360</v>
      </c>
      <c r="N22" s="5" t="s">
        <v>361</v>
      </c>
      <c r="O22" s="5" t="s">
        <v>362</v>
      </c>
      <c r="P22" s="5" t="s">
        <v>363</v>
      </c>
      <c r="Q22" s="5" t="s">
        <v>346</v>
      </c>
      <c r="R22" s="5" t="s">
        <v>347</v>
      </c>
      <c r="S22" s="5" t="s">
        <v>348</v>
      </c>
      <c r="T22" s="5" t="s">
        <v>169</v>
      </c>
      <c r="U22" s="5" t="s">
        <v>170</v>
      </c>
      <c r="V22" s="5" t="s">
        <v>358</v>
      </c>
      <c r="W22" s="5" t="s">
        <v>349</v>
      </c>
      <c r="X22" s="5" t="s">
        <v>350</v>
      </c>
      <c r="Y22" s="5" t="s">
        <v>351</v>
      </c>
      <c r="Z22" s="5" t="s">
        <v>352</v>
      </c>
      <c r="AA22" s="5" t="s">
        <v>97</v>
      </c>
      <c r="AB22" s="5" t="s">
        <v>353</v>
      </c>
      <c r="AC22" s="5" t="s">
        <v>192</v>
      </c>
      <c r="AD22" s="5" t="s">
        <v>99</v>
      </c>
      <c r="AE22" s="5" t="s">
        <v>193</v>
      </c>
      <c r="AF22" s="5" t="s">
        <v>101</v>
      </c>
      <c r="AG22" s="5" t="s">
        <v>102</v>
      </c>
      <c r="AH22" s="5">
        <v>21963</v>
      </c>
      <c r="AI22" s="5" t="s">
        <v>364</v>
      </c>
      <c r="AJ22" s="14" t="s">
        <v>365</v>
      </c>
      <c r="AK22" s="14"/>
      <c r="AL22" s="5">
        <v>3256</v>
      </c>
      <c r="AM22" s="5" t="s">
        <v>356</v>
      </c>
      <c r="AN22" s="5"/>
      <c r="AO22" s="5" t="s">
        <v>357</v>
      </c>
      <c r="AP22" s="5" t="s">
        <v>107</v>
      </c>
      <c r="AQ22" s="5"/>
    </row>
    <row r="23" spans="1:43" ht="42.75">
      <c r="A23" s="5">
        <v>22</v>
      </c>
      <c r="B23" s="5" t="s">
        <v>366</v>
      </c>
      <c r="C23" s="5" t="s">
        <v>366</v>
      </c>
      <c r="D23" s="5" t="s">
        <v>367</v>
      </c>
      <c r="E23" s="5" t="s">
        <v>337</v>
      </c>
      <c r="F23" s="5" t="s">
        <v>338</v>
      </c>
      <c r="G23" s="5" t="s">
        <v>339</v>
      </c>
      <c r="H23" s="5" t="s">
        <v>340</v>
      </c>
      <c r="I23" s="5">
        <v>4500</v>
      </c>
      <c r="J23" s="5">
        <v>6000</v>
      </c>
      <c r="K23" s="5" t="s">
        <v>341</v>
      </c>
      <c r="L23" s="5" t="s">
        <v>27</v>
      </c>
      <c r="M23" s="5" t="s">
        <v>368</v>
      </c>
      <c r="N23" s="5" t="s">
        <v>369</v>
      </c>
      <c r="O23" s="5" t="s">
        <v>370</v>
      </c>
      <c r="P23" s="5" t="s">
        <v>371</v>
      </c>
      <c r="Q23" s="5" t="s">
        <v>346</v>
      </c>
      <c r="R23" s="5" t="s">
        <v>347</v>
      </c>
      <c r="S23" s="5" t="s">
        <v>348</v>
      </c>
      <c r="T23" s="5" t="s">
        <v>169</v>
      </c>
      <c r="U23" s="5" t="s">
        <v>170</v>
      </c>
      <c r="V23" s="5" t="s">
        <v>366</v>
      </c>
      <c r="W23" s="5" t="s">
        <v>349</v>
      </c>
      <c r="X23" s="5" t="s">
        <v>350</v>
      </c>
      <c r="Y23" s="5" t="s">
        <v>351</v>
      </c>
      <c r="Z23" s="5" t="s">
        <v>352</v>
      </c>
      <c r="AA23" s="5" t="s">
        <v>97</v>
      </c>
      <c r="AB23" s="5" t="s">
        <v>353</v>
      </c>
      <c r="AC23" s="5" t="s">
        <v>192</v>
      </c>
      <c r="AD23" s="5" t="s">
        <v>99</v>
      </c>
      <c r="AE23" s="5" t="s">
        <v>193</v>
      </c>
      <c r="AF23" s="5" t="s">
        <v>101</v>
      </c>
      <c r="AG23" s="5" t="s">
        <v>102</v>
      </c>
      <c r="AH23" s="5">
        <v>21965</v>
      </c>
      <c r="AI23" s="5" t="s">
        <v>372</v>
      </c>
      <c r="AJ23" s="14" t="s">
        <v>373</v>
      </c>
      <c r="AK23" s="14"/>
      <c r="AL23" s="5">
        <v>3284</v>
      </c>
      <c r="AM23" s="5" t="s">
        <v>356</v>
      </c>
      <c r="AN23" s="5"/>
      <c r="AO23" s="5" t="s">
        <v>357</v>
      </c>
      <c r="AP23" s="5" t="s">
        <v>107</v>
      </c>
      <c r="AQ23" s="5"/>
    </row>
    <row r="24" spans="1:43" ht="42.75">
      <c r="A24" s="5">
        <v>23</v>
      </c>
      <c r="B24" s="5" t="s">
        <v>374</v>
      </c>
      <c r="C24" s="5" t="s">
        <v>374</v>
      </c>
      <c r="D24" s="5" t="s">
        <v>375</v>
      </c>
      <c r="E24" s="5" t="s">
        <v>337</v>
      </c>
      <c r="F24" s="5" t="s">
        <v>338</v>
      </c>
      <c r="G24" s="5" t="s">
        <v>339</v>
      </c>
      <c r="H24" s="5" t="s">
        <v>340</v>
      </c>
      <c r="I24" s="5">
        <v>4500</v>
      </c>
      <c r="J24" s="5">
        <v>6000</v>
      </c>
      <c r="K24" s="5" t="s">
        <v>341</v>
      </c>
      <c r="L24" s="5" t="s">
        <v>27</v>
      </c>
      <c r="M24" s="5" t="s">
        <v>376</v>
      </c>
      <c r="N24" s="5" t="s">
        <v>377</v>
      </c>
      <c r="O24" s="5" t="s">
        <v>378</v>
      </c>
      <c r="P24" s="5" t="s">
        <v>379</v>
      </c>
      <c r="Q24" s="5" t="s">
        <v>346</v>
      </c>
      <c r="R24" s="5" t="s">
        <v>347</v>
      </c>
      <c r="S24" s="5" t="s">
        <v>348</v>
      </c>
      <c r="T24" s="5" t="s">
        <v>169</v>
      </c>
      <c r="U24" s="5" t="s">
        <v>170</v>
      </c>
      <c r="V24" s="5" t="s">
        <v>374</v>
      </c>
      <c r="W24" s="5" t="s">
        <v>349</v>
      </c>
      <c r="X24" s="5" t="s">
        <v>350</v>
      </c>
      <c r="Y24" s="5" t="s">
        <v>351</v>
      </c>
      <c r="Z24" s="5" t="s">
        <v>352</v>
      </c>
      <c r="AA24" s="5" t="s">
        <v>97</v>
      </c>
      <c r="AB24" s="5" t="s">
        <v>353</v>
      </c>
      <c r="AC24" s="5" t="s">
        <v>192</v>
      </c>
      <c r="AD24" s="5" t="s">
        <v>99</v>
      </c>
      <c r="AE24" s="5" t="s">
        <v>193</v>
      </c>
      <c r="AF24" s="5" t="s">
        <v>101</v>
      </c>
      <c r="AG24" s="5" t="s">
        <v>102</v>
      </c>
      <c r="AH24" s="5">
        <v>21967</v>
      </c>
      <c r="AI24" s="5" t="s">
        <v>380</v>
      </c>
      <c r="AJ24" s="14" t="s">
        <v>381</v>
      </c>
      <c r="AK24" s="14"/>
      <c r="AL24" s="5">
        <v>3276</v>
      </c>
      <c r="AM24" s="5" t="s">
        <v>356</v>
      </c>
      <c r="AN24" s="5"/>
      <c r="AO24" s="5" t="s">
        <v>357</v>
      </c>
      <c r="AP24" s="5" t="s">
        <v>107</v>
      </c>
      <c r="AQ24" s="5"/>
    </row>
    <row r="25" spans="1:43" ht="42.75">
      <c r="A25" s="5">
        <v>24</v>
      </c>
      <c r="B25" s="5" t="s">
        <v>382</v>
      </c>
      <c r="C25" s="5" t="s">
        <v>382</v>
      </c>
      <c r="D25" s="5" t="s">
        <v>383</v>
      </c>
      <c r="E25" s="5" t="s">
        <v>337</v>
      </c>
      <c r="F25" s="5" t="s">
        <v>338</v>
      </c>
      <c r="G25" s="5" t="s">
        <v>339</v>
      </c>
      <c r="H25" s="5" t="s">
        <v>340</v>
      </c>
      <c r="I25" s="5">
        <v>4500</v>
      </c>
      <c r="J25" s="5">
        <v>6000</v>
      </c>
      <c r="K25" s="5" t="s">
        <v>341</v>
      </c>
      <c r="L25" s="5" t="s">
        <v>27</v>
      </c>
      <c r="M25" s="5" t="s">
        <v>384</v>
      </c>
      <c r="N25" s="5" t="s">
        <v>385</v>
      </c>
      <c r="O25" s="5" t="s">
        <v>386</v>
      </c>
      <c r="P25" s="5" t="s">
        <v>387</v>
      </c>
      <c r="Q25" s="5" t="s">
        <v>346</v>
      </c>
      <c r="R25" s="5" t="s">
        <v>347</v>
      </c>
      <c r="S25" s="5" t="s">
        <v>348</v>
      </c>
      <c r="T25" s="5" t="s">
        <v>169</v>
      </c>
      <c r="U25" s="5" t="s">
        <v>170</v>
      </c>
      <c r="V25" s="5" t="s">
        <v>382</v>
      </c>
      <c r="W25" s="5" t="s">
        <v>349</v>
      </c>
      <c r="X25" s="5" t="s">
        <v>350</v>
      </c>
      <c r="Y25" s="5" t="s">
        <v>351</v>
      </c>
      <c r="Z25" s="5" t="s">
        <v>352</v>
      </c>
      <c r="AA25" s="5" t="s">
        <v>97</v>
      </c>
      <c r="AB25" s="5" t="s">
        <v>353</v>
      </c>
      <c r="AC25" s="5" t="s">
        <v>192</v>
      </c>
      <c r="AD25" s="5" t="s">
        <v>99</v>
      </c>
      <c r="AE25" s="5" t="s">
        <v>193</v>
      </c>
      <c r="AF25" s="5" t="s">
        <v>101</v>
      </c>
      <c r="AG25" s="5" t="s">
        <v>102</v>
      </c>
      <c r="AH25" s="5">
        <v>21969</v>
      </c>
      <c r="AI25" s="5" t="s">
        <v>388</v>
      </c>
      <c r="AJ25" s="14" t="s">
        <v>389</v>
      </c>
      <c r="AK25" s="14"/>
      <c r="AL25" s="5">
        <v>3267</v>
      </c>
      <c r="AM25" s="5" t="s">
        <v>356</v>
      </c>
      <c r="AN25" s="5"/>
      <c r="AO25" s="5" t="s">
        <v>357</v>
      </c>
      <c r="AP25" s="5" t="s">
        <v>107</v>
      </c>
      <c r="AQ25" s="5"/>
    </row>
    <row r="26" spans="1:43" ht="57">
      <c r="A26" s="5">
        <v>25</v>
      </c>
      <c r="B26" s="5" t="s">
        <v>390</v>
      </c>
      <c r="C26" s="5" t="s">
        <v>390</v>
      </c>
      <c r="D26" s="5" t="s">
        <v>391</v>
      </c>
      <c r="E26" s="5" t="s">
        <v>79</v>
      </c>
      <c r="F26" s="5" t="s">
        <v>392</v>
      </c>
      <c r="G26" s="5" t="s">
        <v>181</v>
      </c>
      <c r="H26" s="5" t="s">
        <v>81</v>
      </c>
      <c r="I26" s="5">
        <v>4500</v>
      </c>
      <c r="J26" s="5">
        <v>6500</v>
      </c>
      <c r="K26" s="5" t="s">
        <v>82</v>
      </c>
      <c r="L26" s="5" t="s">
        <v>25</v>
      </c>
      <c r="M26" s="5" t="s">
        <v>393</v>
      </c>
      <c r="N26" s="5" t="s">
        <v>394</v>
      </c>
      <c r="O26" s="5" t="s">
        <v>395</v>
      </c>
      <c r="P26" s="5" t="s">
        <v>396</v>
      </c>
      <c r="Q26" s="5" t="s">
        <v>87</v>
      </c>
      <c r="R26" s="5" t="s">
        <v>397</v>
      </c>
      <c r="S26" s="5" t="s">
        <v>89</v>
      </c>
      <c r="T26" s="5" t="s">
        <v>90</v>
      </c>
      <c r="U26" s="5" t="s">
        <v>91</v>
      </c>
      <c r="V26" s="5" t="s">
        <v>398</v>
      </c>
      <c r="W26" s="5" t="s">
        <v>187</v>
      </c>
      <c r="X26" s="5" t="s">
        <v>188</v>
      </c>
      <c r="Y26" s="5" t="s">
        <v>189</v>
      </c>
      <c r="Z26" s="5" t="s">
        <v>190</v>
      </c>
      <c r="AA26" s="5" t="s">
        <v>97</v>
      </c>
      <c r="AB26" s="5" t="s">
        <v>191</v>
      </c>
      <c r="AC26" s="5" t="s">
        <v>192</v>
      </c>
      <c r="AD26" s="5" t="s">
        <v>99</v>
      </c>
      <c r="AE26" s="5" t="s">
        <v>193</v>
      </c>
      <c r="AF26" s="5" t="s">
        <v>101</v>
      </c>
      <c r="AG26" s="5" t="s">
        <v>102</v>
      </c>
      <c r="AH26" s="5">
        <v>21971</v>
      </c>
      <c r="AI26" s="5" t="s">
        <v>399</v>
      </c>
      <c r="AJ26" s="14" t="s">
        <v>400</v>
      </c>
      <c r="AK26" s="14"/>
      <c r="AL26" s="5">
        <v>3186</v>
      </c>
      <c r="AM26" s="5" t="s">
        <v>105</v>
      </c>
      <c r="AN26" s="5"/>
      <c r="AO26" s="5" t="s">
        <v>106</v>
      </c>
      <c r="AP26" s="5" t="s">
        <v>107</v>
      </c>
      <c r="AQ26" s="5"/>
    </row>
    <row r="27" spans="1:43" ht="57">
      <c r="A27" s="5">
        <v>26</v>
      </c>
      <c r="B27" s="5" t="s">
        <v>401</v>
      </c>
      <c r="C27" s="5" t="s">
        <v>401</v>
      </c>
      <c r="D27" s="5" t="s">
        <v>402</v>
      </c>
      <c r="E27" s="5" t="s">
        <v>79</v>
      </c>
      <c r="F27" s="5" t="s">
        <v>392</v>
      </c>
      <c r="G27" s="5" t="s">
        <v>181</v>
      </c>
      <c r="H27" s="5" t="s">
        <v>81</v>
      </c>
      <c r="I27" s="5">
        <v>4500</v>
      </c>
      <c r="J27" s="5">
        <v>6500</v>
      </c>
      <c r="K27" s="5" t="s">
        <v>82</v>
      </c>
      <c r="L27" s="5" t="s">
        <v>25</v>
      </c>
      <c r="M27" s="5" t="s">
        <v>403</v>
      </c>
      <c r="N27" s="5" t="s">
        <v>404</v>
      </c>
      <c r="O27" s="5" t="s">
        <v>405</v>
      </c>
      <c r="P27" s="5" t="s">
        <v>406</v>
      </c>
      <c r="Q27" s="5" t="s">
        <v>87</v>
      </c>
      <c r="R27" s="5" t="s">
        <v>397</v>
      </c>
      <c r="S27" s="5" t="s">
        <v>89</v>
      </c>
      <c r="T27" s="5" t="s">
        <v>90</v>
      </c>
      <c r="U27" s="5" t="s">
        <v>91</v>
      </c>
      <c r="V27" s="5" t="s">
        <v>407</v>
      </c>
      <c r="W27" s="5" t="s">
        <v>187</v>
      </c>
      <c r="X27" s="5" t="s">
        <v>188</v>
      </c>
      <c r="Y27" s="5" t="s">
        <v>189</v>
      </c>
      <c r="Z27" s="5" t="s">
        <v>190</v>
      </c>
      <c r="AA27" s="5" t="s">
        <v>97</v>
      </c>
      <c r="AB27" s="5" t="s">
        <v>191</v>
      </c>
      <c r="AC27" s="5" t="s">
        <v>192</v>
      </c>
      <c r="AD27" s="5" t="s">
        <v>99</v>
      </c>
      <c r="AE27" s="5" t="s">
        <v>193</v>
      </c>
      <c r="AF27" s="5" t="s">
        <v>101</v>
      </c>
      <c r="AG27" s="5" t="s">
        <v>102</v>
      </c>
      <c r="AH27" s="5">
        <v>21973</v>
      </c>
      <c r="AI27" s="5" t="s">
        <v>408</v>
      </c>
      <c r="AJ27" s="14" t="s">
        <v>409</v>
      </c>
      <c r="AK27" s="14"/>
      <c r="AL27" s="5">
        <v>3177</v>
      </c>
      <c r="AM27" s="5" t="s">
        <v>105</v>
      </c>
      <c r="AN27" s="5"/>
      <c r="AO27" s="5" t="s">
        <v>106</v>
      </c>
      <c r="AP27" s="5" t="s">
        <v>107</v>
      </c>
      <c r="AQ27" s="5"/>
    </row>
    <row r="28" spans="1:43" ht="42.75">
      <c r="A28" s="5">
        <v>27</v>
      </c>
      <c r="B28" s="5" t="s">
        <v>410</v>
      </c>
      <c r="C28" s="5" t="s">
        <v>410</v>
      </c>
      <c r="D28" s="5" t="s">
        <v>411</v>
      </c>
      <c r="E28" s="5" t="s">
        <v>79</v>
      </c>
      <c r="F28" s="5" t="s">
        <v>392</v>
      </c>
      <c r="G28" s="5" t="s">
        <v>80</v>
      </c>
      <c r="H28" s="5" t="s">
        <v>81</v>
      </c>
      <c r="I28" s="5">
        <v>4500</v>
      </c>
      <c r="J28" s="5">
        <v>6500</v>
      </c>
      <c r="K28" s="5" t="s">
        <v>82</v>
      </c>
      <c r="L28" s="5" t="s">
        <v>25</v>
      </c>
      <c r="M28" s="5" t="s">
        <v>412</v>
      </c>
      <c r="N28" s="5" t="s">
        <v>413</v>
      </c>
      <c r="O28" s="5" t="s">
        <v>414</v>
      </c>
      <c r="P28" s="5" t="s">
        <v>415</v>
      </c>
      <c r="Q28" s="5" t="s">
        <v>87</v>
      </c>
      <c r="R28" s="5" t="s">
        <v>397</v>
      </c>
      <c r="S28" s="5" t="s">
        <v>89</v>
      </c>
      <c r="T28" s="5" t="s">
        <v>90</v>
      </c>
      <c r="U28" s="5" t="s">
        <v>91</v>
      </c>
      <c r="V28" s="5" t="s">
        <v>92</v>
      </c>
      <c r="W28" s="5" t="s">
        <v>93</v>
      </c>
      <c r="X28" s="5" t="s">
        <v>94</v>
      </c>
      <c r="Y28" s="5" t="s">
        <v>95</v>
      </c>
      <c r="Z28" s="5" t="s">
        <v>96</v>
      </c>
      <c r="AA28" s="5" t="s">
        <v>97</v>
      </c>
      <c r="AB28" s="5" t="s">
        <v>98</v>
      </c>
      <c r="AC28" s="5" t="s">
        <v>192</v>
      </c>
      <c r="AD28" s="5" t="s">
        <v>99</v>
      </c>
      <c r="AE28" s="5" t="s">
        <v>193</v>
      </c>
      <c r="AF28" s="5" t="s">
        <v>101</v>
      </c>
      <c r="AG28" s="5" t="s">
        <v>102</v>
      </c>
      <c r="AH28" s="5">
        <v>21975</v>
      </c>
      <c r="AI28" s="5" t="s">
        <v>416</v>
      </c>
      <c r="AJ28" s="14" t="s">
        <v>417</v>
      </c>
      <c r="AK28" s="14"/>
      <c r="AL28" s="5">
        <v>3121</v>
      </c>
      <c r="AM28" s="5" t="s">
        <v>105</v>
      </c>
      <c r="AN28" s="5"/>
      <c r="AO28" s="5" t="s">
        <v>106</v>
      </c>
      <c r="AP28" s="5" t="s">
        <v>107</v>
      </c>
      <c r="AQ28" s="5"/>
    </row>
    <row r="29" spans="1:43" ht="42.75">
      <c r="A29" s="5">
        <v>28</v>
      </c>
      <c r="B29" s="5" t="s">
        <v>418</v>
      </c>
      <c r="C29" s="5" t="s">
        <v>418</v>
      </c>
      <c r="D29" s="5" t="s">
        <v>419</v>
      </c>
      <c r="E29" s="5" t="s">
        <v>79</v>
      </c>
      <c r="F29" s="5" t="s">
        <v>392</v>
      </c>
      <c r="G29" s="5" t="s">
        <v>80</v>
      </c>
      <c r="H29" s="5" t="s">
        <v>81</v>
      </c>
      <c r="I29" s="5">
        <v>4500</v>
      </c>
      <c r="J29" s="5">
        <v>6500</v>
      </c>
      <c r="K29" s="5" t="s">
        <v>82</v>
      </c>
      <c r="L29" s="5" t="s">
        <v>25</v>
      </c>
      <c r="M29" s="5" t="s">
        <v>420</v>
      </c>
      <c r="N29" s="5" t="s">
        <v>421</v>
      </c>
      <c r="O29" s="5" t="s">
        <v>422</v>
      </c>
      <c r="P29" s="5" t="s">
        <v>423</v>
      </c>
      <c r="Q29" s="5" t="s">
        <v>87</v>
      </c>
      <c r="R29" s="5" t="s">
        <v>397</v>
      </c>
      <c r="S29" s="5" t="s">
        <v>89</v>
      </c>
      <c r="T29" s="5" t="s">
        <v>90</v>
      </c>
      <c r="U29" s="5" t="s">
        <v>91</v>
      </c>
      <c r="V29" s="5" t="s">
        <v>418</v>
      </c>
      <c r="W29" s="5" t="s">
        <v>217</v>
      </c>
      <c r="X29" s="5" t="s">
        <v>218</v>
      </c>
      <c r="Y29" s="5" t="s">
        <v>219</v>
      </c>
      <c r="Z29" s="5" t="s">
        <v>190</v>
      </c>
      <c r="AA29" s="5" t="s">
        <v>97</v>
      </c>
      <c r="AB29" s="5" t="s">
        <v>220</v>
      </c>
      <c r="AC29" s="5" t="s">
        <v>192</v>
      </c>
      <c r="AD29" s="5" t="s">
        <v>99</v>
      </c>
      <c r="AE29" s="5" t="s">
        <v>193</v>
      </c>
      <c r="AF29" s="5" t="s">
        <v>101</v>
      </c>
      <c r="AG29" s="5" t="s">
        <v>102</v>
      </c>
      <c r="AH29" s="5">
        <v>21977</v>
      </c>
      <c r="AI29" s="5" t="s">
        <v>424</v>
      </c>
      <c r="AJ29" s="14" t="s">
        <v>425</v>
      </c>
      <c r="AK29" s="14"/>
      <c r="AL29" s="5">
        <v>3125</v>
      </c>
      <c r="AM29" s="5" t="s">
        <v>105</v>
      </c>
      <c r="AN29" s="5"/>
      <c r="AO29" s="5" t="s">
        <v>106</v>
      </c>
      <c r="AP29" s="5" t="s">
        <v>107</v>
      </c>
      <c r="AQ29" s="5"/>
    </row>
    <row r="30" spans="1:43" ht="42.75">
      <c r="A30" s="5">
        <v>29</v>
      </c>
      <c r="B30" s="5" t="s">
        <v>426</v>
      </c>
      <c r="C30" s="5" t="s">
        <v>426</v>
      </c>
      <c r="D30" s="5" t="s">
        <v>427</v>
      </c>
      <c r="E30" s="5" t="s">
        <v>79</v>
      </c>
      <c r="F30" s="5" t="s">
        <v>392</v>
      </c>
      <c r="G30" s="5" t="s">
        <v>80</v>
      </c>
      <c r="H30" s="5" t="s">
        <v>81</v>
      </c>
      <c r="I30" s="5">
        <v>4500</v>
      </c>
      <c r="J30" s="5">
        <v>6500</v>
      </c>
      <c r="K30" s="5" t="s">
        <v>82</v>
      </c>
      <c r="L30" s="5" t="s">
        <v>25</v>
      </c>
      <c r="M30" s="5" t="s">
        <v>428</v>
      </c>
      <c r="N30" s="5" t="s">
        <v>429</v>
      </c>
      <c r="O30" s="5" t="s">
        <v>430</v>
      </c>
      <c r="P30" s="5" t="s">
        <v>431</v>
      </c>
      <c r="Q30" s="5" t="s">
        <v>87</v>
      </c>
      <c r="R30" s="5" t="s">
        <v>397</v>
      </c>
      <c r="S30" s="5" t="s">
        <v>89</v>
      </c>
      <c r="T30" s="5" t="s">
        <v>90</v>
      </c>
      <c r="U30" s="5" t="s">
        <v>91</v>
      </c>
      <c r="V30" s="5" t="s">
        <v>426</v>
      </c>
      <c r="W30" s="5" t="s">
        <v>217</v>
      </c>
      <c r="X30" s="5" t="s">
        <v>218</v>
      </c>
      <c r="Y30" s="5" t="s">
        <v>219</v>
      </c>
      <c r="Z30" s="5" t="s">
        <v>190</v>
      </c>
      <c r="AA30" s="5" t="s">
        <v>97</v>
      </c>
      <c r="AB30" s="5" t="s">
        <v>220</v>
      </c>
      <c r="AC30" s="5" t="s">
        <v>192</v>
      </c>
      <c r="AD30" s="5" t="s">
        <v>99</v>
      </c>
      <c r="AE30" s="5" t="s">
        <v>193</v>
      </c>
      <c r="AF30" s="5" t="s">
        <v>101</v>
      </c>
      <c r="AG30" s="5" t="s">
        <v>102</v>
      </c>
      <c r="AH30" s="5">
        <v>21979</v>
      </c>
      <c r="AI30" s="5" t="s">
        <v>432</v>
      </c>
      <c r="AJ30" s="14" t="s">
        <v>433</v>
      </c>
      <c r="AK30" s="14"/>
      <c r="AL30" s="5">
        <v>3135</v>
      </c>
      <c r="AM30" s="5" t="s">
        <v>105</v>
      </c>
      <c r="AN30" s="5"/>
      <c r="AO30" s="5" t="s">
        <v>106</v>
      </c>
      <c r="AP30" s="5" t="s">
        <v>107</v>
      </c>
      <c r="AQ30" s="5"/>
    </row>
    <row r="31" spans="1:43" ht="42.75">
      <c r="A31" s="5">
        <v>30</v>
      </c>
      <c r="B31" s="5" t="s">
        <v>434</v>
      </c>
      <c r="C31" s="5" t="s">
        <v>434</v>
      </c>
      <c r="D31" s="5" t="s">
        <v>435</v>
      </c>
      <c r="E31" s="5" t="s">
        <v>79</v>
      </c>
      <c r="F31" s="5" t="s">
        <v>392</v>
      </c>
      <c r="G31" s="5" t="s">
        <v>80</v>
      </c>
      <c r="H31" s="5" t="s">
        <v>81</v>
      </c>
      <c r="I31" s="5">
        <v>4500</v>
      </c>
      <c r="J31" s="5">
        <v>6500</v>
      </c>
      <c r="K31" s="5" t="s">
        <v>82</v>
      </c>
      <c r="L31" s="5" t="s">
        <v>25</v>
      </c>
      <c r="M31" s="5" t="s">
        <v>436</v>
      </c>
      <c r="N31" s="5" t="s">
        <v>437</v>
      </c>
      <c r="O31" s="5" t="s">
        <v>438</v>
      </c>
      <c r="P31" s="5" t="s">
        <v>439</v>
      </c>
      <c r="Q31" s="5" t="s">
        <v>87</v>
      </c>
      <c r="R31" s="5" t="s">
        <v>397</v>
      </c>
      <c r="S31" s="5" t="s">
        <v>89</v>
      </c>
      <c r="T31" s="5" t="s">
        <v>90</v>
      </c>
      <c r="U31" s="5" t="s">
        <v>91</v>
      </c>
      <c r="V31" s="5" t="s">
        <v>434</v>
      </c>
      <c r="W31" s="5" t="s">
        <v>217</v>
      </c>
      <c r="X31" s="5" t="s">
        <v>218</v>
      </c>
      <c r="Y31" s="5" t="s">
        <v>219</v>
      </c>
      <c r="Z31" s="5" t="s">
        <v>190</v>
      </c>
      <c r="AA31" s="5" t="s">
        <v>97</v>
      </c>
      <c r="AB31" s="5" t="s">
        <v>220</v>
      </c>
      <c r="AC31" s="5" t="s">
        <v>192</v>
      </c>
      <c r="AD31" s="5" t="s">
        <v>99</v>
      </c>
      <c r="AE31" s="5" t="s">
        <v>193</v>
      </c>
      <c r="AF31" s="5" t="s">
        <v>101</v>
      </c>
      <c r="AG31" s="5" t="s">
        <v>102</v>
      </c>
      <c r="AH31" s="5">
        <v>21981</v>
      </c>
      <c r="AI31" s="5" t="s">
        <v>440</v>
      </c>
      <c r="AJ31" s="14" t="s">
        <v>441</v>
      </c>
      <c r="AK31" s="14"/>
      <c r="AL31" s="5">
        <v>3161</v>
      </c>
      <c r="AM31" s="5" t="s">
        <v>105</v>
      </c>
      <c r="AN31" s="5"/>
      <c r="AO31" s="5" t="s">
        <v>106</v>
      </c>
      <c r="AP31" s="5" t="s">
        <v>107</v>
      </c>
      <c r="AQ31" s="5"/>
    </row>
    <row r="32" spans="1:43" ht="42.75">
      <c r="A32" s="5">
        <v>31</v>
      </c>
      <c r="B32" s="5" t="s">
        <v>442</v>
      </c>
      <c r="C32" s="5" t="s">
        <v>442</v>
      </c>
      <c r="D32" s="5" t="s">
        <v>443</v>
      </c>
      <c r="E32" s="5" t="s">
        <v>79</v>
      </c>
      <c r="F32" s="5" t="s">
        <v>392</v>
      </c>
      <c r="G32" s="5" t="s">
        <v>80</v>
      </c>
      <c r="H32" s="5" t="s">
        <v>81</v>
      </c>
      <c r="I32" s="5">
        <v>4500</v>
      </c>
      <c r="J32" s="5">
        <v>6500</v>
      </c>
      <c r="K32" s="5" t="s">
        <v>82</v>
      </c>
      <c r="L32" s="5" t="s">
        <v>25</v>
      </c>
      <c r="M32" s="5" t="s">
        <v>444</v>
      </c>
      <c r="N32" s="5" t="s">
        <v>445</v>
      </c>
      <c r="O32" s="5" t="s">
        <v>446</v>
      </c>
      <c r="P32" s="5" t="s">
        <v>447</v>
      </c>
      <c r="Q32" s="5" t="s">
        <v>87</v>
      </c>
      <c r="R32" s="5" t="s">
        <v>448</v>
      </c>
      <c r="S32" s="5" t="s">
        <v>89</v>
      </c>
      <c r="T32" s="5" t="s">
        <v>90</v>
      </c>
      <c r="U32" s="5" t="s">
        <v>91</v>
      </c>
      <c r="V32" s="5" t="s">
        <v>442</v>
      </c>
      <c r="W32" s="5" t="s">
        <v>449</v>
      </c>
      <c r="X32" s="5" t="s">
        <v>450</v>
      </c>
      <c r="Y32" s="5" t="s">
        <v>451</v>
      </c>
      <c r="Z32" s="5" t="s">
        <v>452</v>
      </c>
      <c r="AA32" s="5" t="s">
        <v>97</v>
      </c>
      <c r="AB32" s="5" t="s">
        <v>453</v>
      </c>
      <c r="AC32" s="5" t="s">
        <v>192</v>
      </c>
      <c r="AD32" s="5" t="s">
        <v>99</v>
      </c>
      <c r="AE32" s="5" t="s">
        <v>193</v>
      </c>
      <c r="AF32" s="5" t="s">
        <v>101</v>
      </c>
      <c r="AG32" s="5" t="s">
        <v>102</v>
      </c>
      <c r="AH32" s="5">
        <v>21983</v>
      </c>
      <c r="AI32" s="5" t="s">
        <v>454</v>
      </c>
      <c r="AJ32" s="14" t="s">
        <v>455</v>
      </c>
      <c r="AK32" s="14"/>
      <c r="AL32" s="5">
        <v>3834</v>
      </c>
      <c r="AM32" s="5" t="s">
        <v>105</v>
      </c>
      <c r="AN32" s="5"/>
      <c r="AO32" s="5" t="s">
        <v>106</v>
      </c>
      <c r="AP32" s="5" t="s">
        <v>107</v>
      </c>
      <c r="AQ32" s="5"/>
    </row>
    <row r="33" spans="1:43" ht="42.75">
      <c r="A33" s="5">
        <v>32</v>
      </c>
      <c r="B33" s="5" t="s">
        <v>456</v>
      </c>
      <c r="C33" s="5" t="s">
        <v>456</v>
      </c>
      <c r="D33" s="5" t="s">
        <v>457</v>
      </c>
      <c r="E33" s="5" t="s">
        <v>79</v>
      </c>
      <c r="F33" s="5" t="s">
        <v>392</v>
      </c>
      <c r="G33" s="5" t="s">
        <v>80</v>
      </c>
      <c r="H33" s="5" t="s">
        <v>145</v>
      </c>
      <c r="I33" s="5">
        <v>5000</v>
      </c>
      <c r="J33" s="5">
        <v>7000</v>
      </c>
      <c r="K33" s="5" t="s">
        <v>82</v>
      </c>
      <c r="L33" s="5" t="s">
        <v>25</v>
      </c>
      <c r="M33" s="5" t="s">
        <v>458</v>
      </c>
      <c r="N33" s="5" t="s">
        <v>459</v>
      </c>
      <c r="O33" s="5" t="s">
        <v>460</v>
      </c>
      <c r="P33" s="5" t="s">
        <v>461</v>
      </c>
      <c r="Q33" s="5" t="s">
        <v>87</v>
      </c>
      <c r="R33" s="5" t="s">
        <v>397</v>
      </c>
      <c r="S33" s="5" t="s">
        <v>89</v>
      </c>
      <c r="T33" s="5" t="s">
        <v>90</v>
      </c>
      <c r="U33" s="5" t="s">
        <v>91</v>
      </c>
      <c r="V33" s="5" t="s">
        <v>456</v>
      </c>
      <c r="W33" s="5" t="s">
        <v>217</v>
      </c>
      <c r="X33" s="5" t="s">
        <v>218</v>
      </c>
      <c r="Y33" s="5" t="s">
        <v>219</v>
      </c>
      <c r="Z33" s="5" t="s">
        <v>190</v>
      </c>
      <c r="AA33" s="5" t="s">
        <v>97</v>
      </c>
      <c r="AB33" s="5" t="s">
        <v>220</v>
      </c>
      <c r="AC33" s="5" t="s">
        <v>192</v>
      </c>
      <c r="AD33" s="5" t="s">
        <v>99</v>
      </c>
      <c r="AE33" s="5" t="s">
        <v>193</v>
      </c>
      <c r="AF33" s="5" t="s">
        <v>101</v>
      </c>
      <c r="AG33" s="5" t="s">
        <v>102</v>
      </c>
      <c r="AH33" s="5">
        <v>21985</v>
      </c>
      <c r="AI33" s="5" t="s">
        <v>462</v>
      </c>
      <c r="AJ33" s="14" t="s">
        <v>463</v>
      </c>
      <c r="AK33" s="14"/>
      <c r="AL33" s="5">
        <v>4285</v>
      </c>
      <c r="AM33" s="5" t="s">
        <v>159</v>
      </c>
      <c r="AN33" s="5"/>
      <c r="AO33" s="5" t="s">
        <v>106</v>
      </c>
      <c r="AP33" s="5" t="s">
        <v>107</v>
      </c>
      <c r="AQ33" s="5"/>
    </row>
    <row r="34" spans="1:43" ht="42.75">
      <c r="A34" s="5">
        <v>33</v>
      </c>
      <c r="B34" s="5" t="s">
        <v>464</v>
      </c>
      <c r="C34" s="5" t="s">
        <v>464</v>
      </c>
      <c r="D34" s="5" t="s">
        <v>465</v>
      </c>
      <c r="E34" s="5" t="s">
        <v>466</v>
      </c>
      <c r="F34" s="5" t="s">
        <v>467</v>
      </c>
      <c r="G34" s="5" t="s">
        <v>80</v>
      </c>
      <c r="H34" s="5" t="s">
        <v>340</v>
      </c>
      <c r="I34" s="5">
        <v>4500</v>
      </c>
      <c r="J34" s="5">
        <v>6000</v>
      </c>
      <c r="K34" s="5" t="s">
        <v>341</v>
      </c>
      <c r="L34" s="5" t="s">
        <v>27</v>
      </c>
      <c r="M34" s="5" t="s">
        <v>468</v>
      </c>
      <c r="N34" s="5" t="s">
        <v>469</v>
      </c>
      <c r="O34" s="5" t="s">
        <v>470</v>
      </c>
      <c r="P34" s="5" t="s">
        <v>471</v>
      </c>
      <c r="Q34" s="5" t="s">
        <v>466</v>
      </c>
      <c r="R34" s="5" t="s">
        <v>472</v>
      </c>
      <c r="S34" s="5" t="s">
        <v>89</v>
      </c>
      <c r="T34" s="5" t="s">
        <v>90</v>
      </c>
      <c r="U34" s="5" t="s">
        <v>91</v>
      </c>
      <c r="V34" s="5" t="s">
        <v>464</v>
      </c>
      <c r="W34" s="5" t="s">
        <v>203</v>
      </c>
      <c r="X34" s="5" t="s">
        <v>204</v>
      </c>
      <c r="Y34" s="5" t="s">
        <v>205</v>
      </c>
      <c r="Z34" s="5" t="s">
        <v>206</v>
      </c>
      <c r="AA34" s="5" t="s">
        <v>97</v>
      </c>
      <c r="AB34" s="5" t="s">
        <v>207</v>
      </c>
      <c r="AC34" s="5" t="s">
        <v>192</v>
      </c>
      <c r="AD34" s="5" t="s">
        <v>99</v>
      </c>
      <c r="AE34" s="5" t="s">
        <v>193</v>
      </c>
      <c r="AF34" s="5" t="s">
        <v>101</v>
      </c>
      <c r="AG34" s="5" t="s">
        <v>102</v>
      </c>
      <c r="AH34" s="5">
        <v>21987</v>
      </c>
      <c r="AI34" s="5" t="s">
        <v>473</v>
      </c>
      <c r="AJ34" s="14" t="s">
        <v>474</v>
      </c>
      <c r="AK34" s="14"/>
      <c r="AL34" s="5">
        <v>3842</v>
      </c>
      <c r="AM34" s="5" t="s">
        <v>356</v>
      </c>
      <c r="AN34" s="5"/>
      <c r="AO34" s="5" t="s">
        <v>475</v>
      </c>
      <c r="AP34" s="5" t="s">
        <v>107</v>
      </c>
      <c r="AQ34" s="5"/>
    </row>
    <row r="35" spans="1:43" ht="42.75">
      <c r="A35" s="5">
        <v>34</v>
      </c>
      <c r="B35" s="5" t="s">
        <v>476</v>
      </c>
      <c r="C35" s="5" t="s">
        <v>476</v>
      </c>
      <c r="D35" s="5" t="s">
        <v>477</v>
      </c>
      <c r="E35" s="5" t="s">
        <v>466</v>
      </c>
      <c r="F35" s="5" t="s">
        <v>467</v>
      </c>
      <c r="G35" s="5" t="s">
        <v>80</v>
      </c>
      <c r="H35" s="5" t="s">
        <v>340</v>
      </c>
      <c r="I35" s="5">
        <v>4500</v>
      </c>
      <c r="J35" s="5">
        <v>6000</v>
      </c>
      <c r="K35" s="5" t="s">
        <v>341</v>
      </c>
      <c r="L35" s="5" t="s">
        <v>27</v>
      </c>
      <c r="M35" s="5" t="s">
        <v>478</v>
      </c>
      <c r="N35" s="5" t="s">
        <v>479</v>
      </c>
      <c r="O35" s="5" t="s">
        <v>480</v>
      </c>
      <c r="P35" s="5" t="s">
        <v>481</v>
      </c>
      <c r="Q35" s="5" t="s">
        <v>466</v>
      </c>
      <c r="R35" s="5" t="s">
        <v>472</v>
      </c>
      <c r="S35" s="5" t="s">
        <v>89</v>
      </c>
      <c r="T35" s="5" t="s">
        <v>90</v>
      </c>
      <c r="U35" s="5" t="s">
        <v>91</v>
      </c>
      <c r="V35" s="5" t="s">
        <v>476</v>
      </c>
      <c r="W35" s="5" t="s">
        <v>203</v>
      </c>
      <c r="X35" s="5" t="s">
        <v>204</v>
      </c>
      <c r="Y35" s="5" t="s">
        <v>205</v>
      </c>
      <c r="Z35" s="5" t="s">
        <v>206</v>
      </c>
      <c r="AA35" s="5" t="s">
        <v>97</v>
      </c>
      <c r="AB35" s="5" t="s">
        <v>207</v>
      </c>
      <c r="AC35" s="5" t="s">
        <v>192</v>
      </c>
      <c r="AD35" s="5" t="s">
        <v>99</v>
      </c>
      <c r="AE35" s="5" t="s">
        <v>193</v>
      </c>
      <c r="AF35" s="5" t="s">
        <v>101</v>
      </c>
      <c r="AG35" s="5" t="s">
        <v>102</v>
      </c>
      <c r="AH35" s="5">
        <v>21989</v>
      </c>
      <c r="AI35" s="5" t="s">
        <v>482</v>
      </c>
      <c r="AJ35" s="14" t="s">
        <v>483</v>
      </c>
      <c r="AK35" s="14"/>
      <c r="AL35" s="5">
        <v>3840</v>
      </c>
      <c r="AM35" s="5" t="s">
        <v>356</v>
      </c>
      <c r="AN35" s="5"/>
      <c r="AO35" s="5" t="s">
        <v>475</v>
      </c>
      <c r="AP35" s="5" t="s">
        <v>107</v>
      </c>
      <c r="AQ35" s="5"/>
    </row>
    <row r="36" spans="1:43" ht="42.75">
      <c r="A36" s="5">
        <v>35</v>
      </c>
      <c r="B36" s="5" t="s">
        <v>484</v>
      </c>
      <c r="C36" s="5" t="s">
        <v>484</v>
      </c>
      <c r="D36" s="5" t="s">
        <v>485</v>
      </c>
      <c r="E36" s="5" t="s">
        <v>466</v>
      </c>
      <c r="F36" s="5" t="s">
        <v>162</v>
      </c>
      <c r="G36" s="5" t="s">
        <v>162</v>
      </c>
      <c r="H36" s="5" t="s">
        <v>145</v>
      </c>
      <c r="I36" s="5">
        <v>5000</v>
      </c>
      <c r="J36" s="5">
        <v>7000</v>
      </c>
      <c r="K36" s="5" t="s">
        <v>341</v>
      </c>
      <c r="L36" s="5" t="s">
        <v>27</v>
      </c>
      <c r="M36" s="5" t="s">
        <v>486</v>
      </c>
      <c r="N36" s="5" t="s">
        <v>487</v>
      </c>
      <c r="O36" s="5" t="s">
        <v>488</v>
      </c>
      <c r="P36" s="5" t="s">
        <v>489</v>
      </c>
      <c r="Q36" s="5" t="s">
        <v>466</v>
      </c>
      <c r="R36" s="5" t="s">
        <v>490</v>
      </c>
      <c r="S36" s="5" t="s">
        <v>168</v>
      </c>
      <c r="T36" s="5" t="s">
        <v>169</v>
      </c>
      <c r="U36" s="5" t="s">
        <v>170</v>
      </c>
      <c r="V36" s="5" t="s">
        <v>484</v>
      </c>
      <c r="W36" s="5" t="s">
        <v>203</v>
      </c>
      <c r="X36" s="5" t="s">
        <v>204</v>
      </c>
      <c r="Y36" s="5" t="s">
        <v>205</v>
      </c>
      <c r="Z36" s="5" t="s">
        <v>206</v>
      </c>
      <c r="AA36" s="5" t="s">
        <v>97</v>
      </c>
      <c r="AB36" s="5" t="s">
        <v>207</v>
      </c>
      <c r="AC36" s="5" t="s">
        <v>192</v>
      </c>
      <c r="AD36" s="5" t="s">
        <v>99</v>
      </c>
      <c r="AE36" s="5" t="s">
        <v>193</v>
      </c>
      <c r="AF36" s="5" t="s">
        <v>101</v>
      </c>
      <c r="AG36" s="5" t="s">
        <v>102</v>
      </c>
      <c r="AH36" s="5">
        <v>21991</v>
      </c>
      <c r="AI36" s="5" t="s">
        <v>491</v>
      </c>
      <c r="AJ36" s="14" t="s">
        <v>492</v>
      </c>
      <c r="AK36" s="14"/>
      <c r="AL36" s="5">
        <v>4185</v>
      </c>
      <c r="AM36" s="5" t="s">
        <v>159</v>
      </c>
      <c r="AN36" s="5"/>
      <c r="AO36" s="5" t="s">
        <v>475</v>
      </c>
      <c r="AP36" s="5" t="s">
        <v>107</v>
      </c>
      <c r="AQ36" s="5"/>
    </row>
    <row r="37" spans="1:43" ht="42.75">
      <c r="A37" s="5">
        <v>36</v>
      </c>
      <c r="B37" s="5" t="s">
        <v>493</v>
      </c>
      <c r="C37" s="5" t="s">
        <v>493</v>
      </c>
      <c r="D37" s="5" t="s">
        <v>494</v>
      </c>
      <c r="E37" s="5" t="s">
        <v>466</v>
      </c>
      <c r="F37" s="5" t="s">
        <v>162</v>
      </c>
      <c r="G37" s="5" t="s">
        <v>162</v>
      </c>
      <c r="H37" s="5" t="s">
        <v>145</v>
      </c>
      <c r="I37" s="5">
        <v>5000</v>
      </c>
      <c r="J37" s="5">
        <v>7000</v>
      </c>
      <c r="K37" s="5" t="s">
        <v>341</v>
      </c>
      <c r="L37" s="5" t="s">
        <v>27</v>
      </c>
      <c r="M37" s="5" t="s">
        <v>495</v>
      </c>
      <c r="N37" s="5" t="s">
        <v>496</v>
      </c>
      <c r="O37" s="5" t="s">
        <v>497</v>
      </c>
      <c r="P37" s="5" t="s">
        <v>498</v>
      </c>
      <c r="Q37" s="5" t="s">
        <v>466</v>
      </c>
      <c r="R37" s="5" t="s">
        <v>499</v>
      </c>
      <c r="S37" s="5" t="s">
        <v>168</v>
      </c>
      <c r="T37" s="5" t="s">
        <v>169</v>
      </c>
      <c r="U37" s="5" t="s">
        <v>170</v>
      </c>
      <c r="V37" s="5" t="s">
        <v>493</v>
      </c>
      <c r="W37" s="5" t="s">
        <v>203</v>
      </c>
      <c r="X37" s="5" t="s">
        <v>204</v>
      </c>
      <c r="Y37" s="5" t="s">
        <v>205</v>
      </c>
      <c r="Z37" s="5" t="s">
        <v>206</v>
      </c>
      <c r="AA37" s="5" t="s">
        <v>97</v>
      </c>
      <c r="AB37" s="5" t="s">
        <v>207</v>
      </c>
      <c r="AC37" s="5" t="s">
        <v>192</v>
      </c>
      <c r="AD37" s="5" t="s">
        <v>99</v>
      </c>
      <c r="AE37" s="5" t="s">
        <v>193</v>
      </c>
      <c r="AF37" s="5" t="s">
        <v>101</v>
      </c>
      <c r="AG37" s="5" t="s">
        <v>102</v>
      </c>
      <c r="AH37" s="5">
        <v>21993</v>
      </c>
      <c r="AI37" s="5" t="s">
        <v>500</v>
      </c>
      <c r="AJ37" s="14" t="s">
        <v>501</v>
      </c>
      <c r="AK37" s="14"/>
      <c r="AL37" s="5">
        <v>4183</v>
      </c>
      <c r="AM37" s="5" t="s">
        <v>159</v>
      </c>
      <c r="AN37" s="5"/>
      <c r="AO37" s="5" t="s">
        <v>475</v>
      </c>
      <c r="AP37" s="5" t="s">
        <v>107</v>
      </c>
      <c r="AQ37" s="5"/>
    </row>
    <row r="38" spans="1:43" ht="42.75">
      <c r="A38" s="5">
        <v>37</v>
      </c>
      <c r="B38" s="5" t="s">
        <v>502</v>
      </c>
      <c r="C38" s="5" t="s">
        <v>502</v>
      </c>
      <c r="D38" s="5" t="s">
        <v>503</v>
      </c>
      <c r="E38" s="5" t="s">
        <v>466</v>
      </c>
      <c r="F38" s="5" t="s">
        <v>162</v>
      </c>
      <c r="G38" s="5" t="s">
        <v>162</v>
      </c>
      <c r="H38" s="5" t="s">
        <v>145</v>
      </c>
      <c r="I38" s="5">
        <v>5000</v>
      </c>
      <c r="J38" s="5">
        <v>7000</v>
      </c>
      <c r="K38" s="5" t="s">
        <v>341</v>
      </c>
      <c r="L38" s="5" t="s">
        <v>27</v>
      </c>
      <c r="M38" s="5" t="s">
        <v>504</v>
      </c>
      <c r="N38" s="5" t="s">
        <v>505</v>
      </c>
      <c r="O38" s="5" t="s">
        <v>506</v>
      </c>
      <c r="P38" s="5" t="s">
        <v>507</v>
      </c>
      <c r="Q38" s="5" t="s">
        <v>466</v>
      </c>
      <c r="R38" s="5" t="s">
        <v>508</v>
      </c>
      <c r="S38" s="5" t="s">
        <v>168</v>
      </c>
      <c r="T38" s="5" t="s">
        <v>169</v>
      </c>
      <c r="U38" s="5" t="s">
        <v>170</v>
      </c>
      <c r="V38" s="5" t="s">
        <v>502</v>
      </c>
      <c r="W38" s="5" t="s">
        <v>203</v>
      </c>
      <c r="X38" s="5" t="s">
        <v>204</v>
      </c>
      <c r="Y38" s="5" t="s">
        <v>205</v>
      </c>
      <c r="Z38" s="5" t="s">
        <v>206</v>
      </c>
      <c r="AA38" s="5" t="s">
        <v>97</v>
      </c>
      <c r="AB38" s="5" t="s">
        <v>207</v>
      </c>
      <c r="AC38" s="5" t="s">
        <v>192</v>
      </c>
      <c r="AD38" s="5" t="s">
        <v>99</v>
      </c>
      <c r="AE38" s="5" t="s">
        <v>193</v>
      </c>
      <c r="AF38" s="5" t="s">
        <v>101</v>
      </c>
      <c r="AG38" s="5" t="s">
        <v>102</v>
      </c>
      <c r="AH38" s="5">
        <v>21995</v>
      </c>
      <c r="AI38" s="5" t="s">
        <v>509</v>
      </c>
      <c r="AJ38" s="14" t="s">
        <v>510</v>
      </c>
      <c r="AK38" s="14"/>
      <c r="AL38" s="5">
        <v>4201</v>
      </c>
      <c r="AM38" s="5" t="s">
        <v>159</v>
      </c>
      <c r="AN38" s="5"/>
      <c r="AO38" s="5" t="s">
        <v>475</v>
      </c>
      <c r="AP38" s="5" t="s">
        <v>107</v>
      </c>
      <c r="AQ38" s="5"/>
    </row>
    <row r="39" spans="1:43" ht="42.75">
      <c r="A39" s="5">
        <v>38</v>
      </c>
      <c r="B39" s="5" t="s">
        <v>511</v>
      </c>
      <c r="C39" s="5" t="s">
        <v>511</v>
      </c>
      <c r="D39" s="5" t="s">
        <v>512</v>
      </c>
      <c r="E39" s="5" t="s">
        <v>466</v>
      </c>
      <c r="F39" s="5" t="s">
        <v>467</v>
      </c>
      <c r="G39" s="5" t="s">
        <v>80</v>
      </c>
      <c r="H39" s="5" t="s">
        <v>340</v>
      </c>
      <c r="I39" s="5">
        <v>4500</v>
      </c>
      <c r="J39" s="5">
        <v>6000</v>
      </c>
      <c r="K39" s="5" t="s">
        <v>341</v>
      </c>
      <c r="L39" s="5" t="s">
        <v>27</v>
      </c>
      <c r="M39" s="5" t="s">
        <v>513</v>
      </c>
      <c r="N39" s="5" t="s">
        <v>514</v>
      </c>
      <c r="O39" s="5" t="s">
        <v>515</v>
      </c>
      <c r="P39" s="5" t="s">
        <v>516</v>
      </c>
      <c r="Q39" s="5" t="s">
        <v>466</v>
      </c>
      <c r="R39" s="5" t="s">
        <v>517</v>
      </c>
      <c r="S39" s="5" t="s">
        <v>518</v>
      </c>
      <c r="T39" s="5" t="s">
        <v>519</v>
      </c>
      <c r="U39" s="5" t="s">
        <v>520</v>
      </c>
      <c r="V39" s="5" t="s">
        <v>511</v>
      </c>
      <c r="W39" s="5" t="s">
        <v>203</v>
      </c>
      <c r="X39" s="5" t="s">
        <v>204</v>
      </c>
      <c r="Y39" s="5" t="s">
        <v>205</v>
      </c>
      <c r="Z39" s="5" t="s">
        <v>206</v>
      </c>
      <c r="AA39" s="5" t="s">
        <v>97</v>
      </c>
      <c r="AB39" s="5" t="s">
        <v>207</v>
      </c>
      <c r="AC39" s="5" t="s">
        <v>192</v>
      </c>
      <c r="AD39" s="5" t="s">
        <v>99</v>
      </c>
      <c r="AE39" s="5" t="s">
        <v>193</v>
      </c>
      <c r="AF39" s="5" t="s">
        <v>101</v>
      </c>
      <c r="AG39" s="5" t="s">
        <v>102</v>
      </c>
      <c r="AH39" s="5">
        <v>21997</v>
      </c>
      <c r="AI39" s="5" t="s">
        <v>521</v>
      </c>
      <c r="AJ39" s="14" t="s">
        <v>522</v>
      </c>
      <c r="AK39" s="14"/>
      <c r="AL39" s="5">
        <v>3792</v>
      </c>
      <c r="AM39" s="5" t="s">
        <v>356</v>
      </c>
      <c r="AN39" s="5"/>
      <c r="AO39" s="5" t="s">
        <v>475</v>
      </c>
      <c r="AP39" s="5" t="s">
        <v>107</v>
      </c>
      <c r="AQ39" s="5"/>
    </row>
    <row r="40" spans="1:43" ht="42.75">
      <c r="A40" s="5">
        <v>39</v>
      </c>
      <c r="B40" s="5" t="s">
        <v>523</v>
      </c>
      <c r="C40" s="5" t="s">
        <v>523</v>
      </c>
      <c r="D40" s="5" t="s">
        <v>524</v>
      </c>
      <c r="E40" s="5" t="s">
        <v>466</v>
      </c>
      <c r="F40" s="5" t="s">
        <v>467</v>
      </c>
      <c r="G40" s="5" t="s">
        <v>80</v>
      </c>
      <c r="H40" s="5" t="s">
        <v>340</v>
      </c>
      <c r="I40" s="5">
        <v>4500</v>
      </c>
      <c r="J40" s="5">
        <v>6000</v>
      </c>
      <c r="K40" s="5" t="s">
        <v>341</v>
      </c>
      <c r="L40" s="5" t="s">
        <v>27</v>
      </c>
      <c r="M40" s="5" t="s">
        <v>525</v>
      </c>
      <c r="N40" s="5" t="s">
        <v>526</v>
      </c>
      <c r="O40" s="5" t="s">
        <v>527</v>
      </c>
      <c r="P40" s="5" t="s">
        <v>528</v>
      </c>
      <c r="Q40" s="5" t="s">
        <v>466</v>
      </c>
      <c r="R40" s="5" t="s">
        <v>517</v>
      </c>
      <c r="S40" s="5" t="s">
        <v>518</v>
      </c>
      <c r="T40" s="5" t="s">
        <v>519</v>
      </c>
      <c r="U40" s="5" t="s">
        <v>520</v>
      </c>
      <c r="V40" s="5" t="s">
        <v>523</v>
      </c>
      <c r="W40" s="5" t="s">
        <v>203</v>
      </c>
      <c r="X40" s="5" t="s">
        <v>204</v>
      </c>
      <c r="Y40" s="5" t="s">
        <v>205</v>
      </c>
      <c r="Z40" s="5" t="s">
        <v>206</v>
      </c>
      <c r="AA40" s="5" t="s">
        <v>97</v>
      </c>
      <c r="AB40" s="5" t="s">
        <v>207</v>
      </c>
      <c r="AC40" s="5" t="s">
        <v>192</v>
      </c>
      <c r="AD40" s="5" t="s">
        <v>99</v>
      </c>
      <c r="AE40" s="5" t="s">
        <v>193</v>
      </c>
      <c r="AF40" s="5" t="s">
        <v>101</v>
      </c>
      <c r="AG40" s="5" t="s">
        <v>102</v>
      </c>
      <c r="AH40" s="5">
        <v>21999</v>
      </c>
      <c r="AI40" s="5" t="s">
        <v>529</v>
      </c>
      <c r="AJ40" s="14" t="s">
        <v>530</v>
      </c>
      <c r="AK40" s="14"/>
      <c r="AL40" s="5">
        <v>3801</v>
      </c>
      <c r="AM40" s="5" t="s">
        <v>356</v>
      </c>
      <c r="AN40" s="5"/>
      <c r="AO40" s="5" t="s">
        <v>475</v>
      </c>
      <c r="AP40" s="5" t="s">
        <v>107</v>
      </c>
      <c r="AQ40" s="5"/>
    </row>
    <row r="41" spans="1:43" ht="42.75">
      <c r="A41" s="5">
        <v>40</v>
      </c>
      <c r="B41" s="5" t="s">
        <v>531</v>
      </c>
      <c r="C41" s="5" t="s">
        <v>531</v>
      </c>
      <c r="D41" s="5" t="s">
        <v>532</v>
      </c>
      <c r="E41" s="5" t="s">
        <v>466</v>
      </c>
      <c r="F41" s="5" t="s">
        <v>467</v>
      </c>
      <c r="G41" s="5" t="s">
        <v>80</v>
      </c>
      <c r="H41" s="5" t="s">
        <v>340</v>
      </c>
      <c r="I41" s="5">
        <v>4500</v>
      </c>
      <c r="J41" s="5">
        <v>6000</v>
      </c>
      <c r="K41" s="5" t="s">
        <v>341</v>
      </c>
      <c r="L41" s="5" t="s">
        <v>27</v>
      </c>
      <c r="M41" s="5" t="s">
        <v>533</v>
      </c>
      <c r="N41" s="5" t="s">
        <v>534</v>
      </c>
      <c r="O41" s="5" t="s">
        <v>535</v>
      </c>
      <c r="P41" s="5" t="s">
        <v>536</v>
      </c>
      <c r="Q41" s="5" t="s">
        <v>466</v>
      </c>
      <c r="R41" s="5" t="s">
        <v>517</v>
      </c>
      <c r="S41" s="5" t="s">
        <v>518</v>
      </c>
      <c r="T41" s="5" t="s">
        <v>519</v>
      </c>
      <c r="U41" s="5" t="s">
        <v>520</v>
      </c>
      <c r="V41" s="5" t="s">
        <v>531</v>
      </c>
      <c r="W41" s="5" t="s">
        <v>203</v>
      </c>
      <c r="X41" s="5" t="s">
        <v>204</v>
      </c>
      <c r="Y41" s="5" t="s">
        <v>205</v>
      </c>
      <c r="Z41" s="5" t="s">
        <v>206</v>
      </c>
      <c r="AA41" s="5" t="s">
        <v>97</v>
      </c>
      <c r="AB41" s="5" t="s">
        <v>207</v>
      </c>
      <c r="AC41" s="5" t="s">
        <v>192</v>
      </c>
      <c r="AD41" s="5" t="s">
        <v>99</v>
      </c>
      <c r="AE41" s="5" t="s">
        <v>193</v>
      </c>
      <c r="AF41" s="5" t="s">
        <v>101</v>
      </c>
      <c r="AG41" s="5" t="s">
        <v>102</v>
      </c>
      <c r="AH41" s="5">
        <v>22001</v>
      </c>
      <c r="AI41" s="5" t="s">
        <v>537</v>
      </c>
      <c r="AJ41" s="14" t="s">
        <v>538</v>
      </c>
      <c r="AK41" s="14"/>
      <c r="AL41" s="5">
        <v>3800</v>
      </c>
      <c r="AM41" s="5" t="s">
        <v>356</v>
      </c>
      <c r="AN41" s="5"/>
      <c r="AO41" s="5" t="s">
        <v>475</v>
      </c>
      <c r="AP41" s="5" t="s">
        <v>107</v>
      </c>
      <c r="AQ41" s="5"/>
    </row>
    <row r="42" spans="1:43" ht="42.75">
      <c r="A42" s="5">
        <v>41</v>
      </c>
      <c r="B42" s="5" t="s">
        <v>539</v>
      </c>
      <c r="C42" s="5" t="s">
        <v>539</v>
      </c>
      <c r="D42" s="5" t="s">
        <v>540</v>
      </c>
      <c r="E42" s="5" t="s">
        <v>248</v>
      </c>
      <c r="F42" s="5" t="s">
        <v>80</v>
      </c>
      <c r="G42" s="5" t="s">
        <v>80</v>
      </c>
      <c r="H42" s="5" t="s">
        <v>145</v>
      </c>
      <c r="I42" s="5">
        <v>5000</v>
      </c>
      <c r="J42" s="5">
        <v>7000</v>
      </c>
      <c r="K42" s="5" t="s">
        <v>82</v>
      </c>
      <c r="L42" s="5" t="s">
        <v>26</v>
      </c>
      <c r="M42" s="5" t="s">
        <v>541</v>
      </c>
      <c r="N42" s="5" t="s">
        <v>542</v>
      </c>
      <c r="O42" s="5" t="s">
        <v>543</v>
      </c>
      <c r="P42" s="5" t="s">
        <v>544</v>
      </c>
      <c r="Q42" s="5" t="s">
        <v>253</v>
      </c>
      <c r="R42" s="5" t="s">
        <v>253</v>
      </c>
      <c r="S42" s="5" t="s">
        <v>255</v>
      </c>
      <c r="T42" s="5" t="s">
        <v>256</v>
      </c>
      <c r="U42" s="5" t="s">
        <v>257</v>
      </c>
      <c r="V42" s="5" t="s">
        <v>539</v>
      </c>
      <c r="W42" s="5" t="s">
        <v>239</v>
      </c>
      <c r="X42" s="5" t="s">
        <v>240</v>
      </c>
      <c r="Y42" s="5" t="s">
        <v>241</v>
      </c>
      <c r="Z42" s="5" t="s">
        <v>242</v>
      </c>
      <c r="AA42" s="5" t="s">
        <v>97</v>
      </c>
      <c r="AB42" s="5" t="s">
        <v>243</v>
      </c>
      <c r="AC42" s="5" t="s">
        <v>192</v>
      </c>
      <c r="AD42" s="5" t="s">
        <v>99</v>
      </c>
      <c r="AE42" s="5" t="s">
        <v>193</v>
      </c>
      <c r="AF42" s="5" t="s">
        <v>101</v>
      </c>
      <c r="AG42" s="5" t="s">
        <v>102</v>
      </c>
      <c r="AH42" s="5">
        <v>22003</v>
      </c>
      <c r="AI42" s="5" t="s">
        <v>545</v>
      </c>
      <c r="AJ42" s="14" t="s">
        <v>546</v>
      </c>
      <c r="AK42" s="14"/>
      <c r="AL42" s="5">
        <v>4155</v>
      </c>
      <c r="AM42" s="5" t="s">
        <v>159</v>
      </c>
      <c r="AN42" s="5"/>
      <c r="AO42" s="5" t="s">
        <v>260</v>
      </c>
      <c r="AP42" s="5" t="s">
        <v>107</v>
      </c>
      <c r="AQ42" s="5"/>
    </row>
    <row r="43" spans="1:43" ht="42.75">
      <c r="A43" s="5">
        <v>42</v>
      </c>
      <c r="B43" s="5" t="s">
        <v>547</v>
      </c>
      <c r="C43" s="5" t="s">
        <v>547</v>
      </c>
      <c r="D43" s="5" t="s">
        <v>548</v>
      </c>
      <c r="E43" s="5" t="s">
        <v>248</v>
      </c>
      <c r="F43" s="5" t="s">
        <v>308</v>
      </c>
      <c r="G43" s="5" t="s">
        <v>309</v>
      </c>
      <c r="H43" s="5" t="s">
        <v>145</v>
      </c>
      <c r="I43" s="5">
        <v>5000</v>
      </c>
      <c r="J43" s="5">
        <v>7000</v>
      </c>
      <c r="K43" s="5" t="s">
        <v>82</v>
      </c>
      <c r="L43" s="5" t="s">
        <v>26</v>
      </c>
      <c r="M43" s="5" t="s">
        <v>549</v>
      </c>
      <c r="N43" s="5" t="s">
        <v>550</v>
      </c>
      <c r="O43" s="5" t="s">
        <v>551</v>
      </c>
      <c r="P43" s="5" t="s">
        <v>552</v>
      </c>
      <c r="Q43" s="5" t="s">
        <v>253</v>
      </c>
      <c r="R43" s="5" t="s">
        <v>253</v>
      </c>
      <c r="S43" s="5" t="s">
        <v>255</v>
      </c>
      <c r="T43" s="5" t="s">
        <v>256</v>
      </c>
      <c r="U43" s="5" t="s">
        <v>257</v>
      </c>
      <c r="V43" s="5" t="s">
        <v>547</v>
      </c>
      <c r="W43" s="5" t="s">
        <v>239</v>
      </c>
      <c r="X43" s="5" t="s">
        <v>240</v>
      </c>
      <c r="Y43" s="5" t="s">
        <v>241</v>
      </c>
      <c r="Z43" s="5" t="s">
        <v>242</v>
      </c>
      <c r="AA43" s="5" t="s">
        <v>97</v>
      </c>
      <c r="AB43" s="5" t="s">
        <v>243</v>
      </c>
      <c r="AC43" s="5" t="s">
        <v>192</v>
      </c>
      <c r="AD43" s="5" t="s">
        <v>99</v>
      </c>
      <c r="AE43" s="5" t="s">
        <v>193</v>
      </c>
      <c r="AF43" s="5" t="s">
        <v>101</v>
      </c>
      <c r="AG43" s="5" t="s">
        <v>102</v>
      </c>
      <c r="AH43" s="5">
        <v>22066</v>
      </c>
      <c r="AI43" s="5" t="s">
        <v>553</v>
      </c>
      <c r="AJ43" s="14" t="s">
        <v>554</v>
      </c>
      <c r="AK43" s="14"/>
      <c r="AL43" s="5">
        <v>4171</v>
      </c>
      <c r="AM43" s="5" t="s">
        <v>159</v>
      </c>
      <c r="AN43" s="5"/>
      <c r="AO43" s="5" t="s">
        <v>260</v>
      </c>
      <c r="AP43" s="5" t="s">
        <v>107</v>
      </c>
      <c r="AQ43" s="5"/>
    </row>
    <row r="44" spans="1:43" ht="42.75">
      <c r="A44" s="5">
        <v>43</v>
      </c>
      <c r="B44" s="5" t="s">
        <v>555</v>
      </c>
      <c r="C44" s="5" t="s">
        <v>555</v>
      </c>
      <c r="D44" s="5" t="s">
        <v>556</v>
      </c>
      <c r="E44" s="5" t="s">
        <v>248</v>
      </c>
      <c r="F44" s="5" t="s">
        <v>308</v>
      </c>
      <c r="G44" s="5" t="s">
        <v>80</v>
      </c>
      <c r="H44" s="5" t="s">
        <v>145</v>
      </c>
      <c r="I44" s="5">
        <v>5000</v>
      </c>
      <c r="J44" s="5">
        <v>7000</v>
      </c>
      <c r="K44" s="5" t="s">
        <v>82</v>
      </c>
      <c r="L44" s="5" t="s">
        <v>26</v>
      </c>
      <c r="M44" s="5" t="s">
        <v>557</v>
      </c>
      <c r="N44" s="5" t="s">
        <v>558</v>
      </c>
      <c r="O44" s="5" t="s">
        <v>559</v>
      </c>
      <c r="P44" s="5" t="s">
        <v>560</v>
      </c>
      <c r="Q44" s="5" t="s">
        <v>253</v>
      </c>
      <c r="R44" s="5" t="s">
        <v>253</v>
      </c>
      <c r="S44" s="5" t="s">
        <v>255</v>
      </c>
      <c r="T44" s="5" t="s">
        <v>256</v>
      </c>
      <c r="U44" s="5" t="s">
        <v>257</v>
      </c>
      <c r="V44" s="5" t="s">
        <v>555</v>
      </c>
      <c r="W44" s="5" t="s">
        <v>239</v>
      </c>
      <c r="X44" s="5" t="s">
        <v>240</v>
      </c>
      <c r="Y44" s="5" t="s">
        <v>241</v>
      </c>
      <c r="Z44" s="5" t="s">
        <v>242</v>
      </c>
      <c r="AA44" s="5" t="s">
        <v>97</v>
      </c>
      <c r="AB44" s="5" t="s">
        <v>243</v>
      </c>
      <c r="AC44" s="5" t="s">
        <v>192</v>
      </c>
      <c r="AD44" s="5" t="s">
        <v>99</v>
      </c>
      <c r="AE44" s="5" t="s">
        <v>193</v>
      </c>
      <c r="AF44" s="5" t="s">
        <v>101</v>
      </c>
      <c r="AG44" s="5" t="s">
        <v>102</v>
      </c>
      <c r="AH44" s="5">
        <v>22005</v>
      </c>
      <c r="AI44" s="5" t="s">
        <v>561</v>
      </c>
      <c r="AJ44" s="14" t="s">
        <v>562</v>
      </c>
      <c r="AK44" s="14"/>
      <c r="AL44" s="5">
        <v>4169</v>
      </c>
      <c r="AM44" s="5" t="s">
        <v>159</v>
      </c>
      <c r="AN44" s="5"/>
      <c r="AO44" s="5" t="s">
        <v>260</v>
      </c>
      <c r="AP44" s="5" t="s">
        <v>107</v>
      </c>
      <c r="AQ44" s="5"/>
    </row>
    <row r="45" spans="1:43" ht="42.75">
      <c r="A45" s="5">
        <v>44</v>
      </c>
      <c r="B45" s="5" t="s">
        <v>563</v>
      </c>
      <c r="C45" s="5" t="s">
        <v>563</v>
      </c>
      <c r="D45" s="5" t="s">
        <v>564</v>
      </c>
      <c r="E45" s="5" t="s">
        <v>248</v>
      </c>
      <c r="F45" s="5" t="s">
        <v>308</v>
      </c>
      <c r="G45" s="5" t="s">
        <v>309</v>
      </c>
      <c r="H45" s="5" t="s">
        <v>145</v>
      </c>
      <c r="I45" s="5">
        <v>5000</v>
      </c>
      <c r="J45" s="5">
        <v>7000</v>
      </c>
      <c r="K45" s="5" t="s">
        <v>82</v>
      </c>
      <c r="L45" s="5" t="s">
        <v>26</v>
      </c>
      <c r="M45" s="5" t="s">
        <v>565</v>
      </c>
      <c r="N45" s="5" t="s">
        <v>566</v>
      </c>
      <c r="O45" s="5" t="s">
        <v>567</v>
      </c>
      <c r="P45" s="5" t="s">
        <v>568</v>
      </c>
      <c r="Q45" s="5" t="s">
        <v>253</v>
      </c>
      <c r="R45" s="5" t="s">
        <v>253</v>
      </c>
      <c r="S45" s="5" t="s">
        <v>255</v>
      </c>
      <c r="T45" s="5" t="s">
        <v>256</v>
      </c>
      <c r="U45" s="5" t="s">
        <v>257</v>
      </c>
      <c r="V45" s="5" t="s">
        <v>563</v>
      </c>
      <c r="W45" s="5" t="s">
        <v>239</v>
      </c>
      <c r="X45" s="5" t="s">
        <v>240</v>
      </c>
      <c r="Y45" s="5" t="s">
        <v>241</v>
      </c>
      <c r="Z45" s="5" t="s">
        <v>242</v>
      </c>
      <c r="AA45" s="5" t="s">
        <v>97</v>
      </c>
      <c r="AB45" s="5" t="s">
        <v>243</v>
      </c>
      <c r="AC45" s="5" t="s">
        <v>192</v>
      </c>
      <c r="AD45" s="5" t="s">
        <v>99</v>
      </c>
      <c r="AE45" s="5" t="s">
        <v>193</v>
      </c>
      <c r="AF45" s="5" t="s">
        <v>101</v>
      </c>
      <c r="AG45" s="5" t="s">
        <v>102</v>
      </c>
      <c r="AH45" s="5">
        <v>22007</v>
      </c>
      <c r="AI45" s="5" t="s">
        <v>569</v>
      </c>
      <c r="AJ45" s="14" t="s">
        <v>570</v>
      </c>
      <c r="AK45" s="14"/>
      <c r="AL45" s="5">
        <v>4148</v>
      </c>
      <c r="AM45" s="5" t="s">
        <v>159</v>
      </c>
      <c r="AN45" s="5"/>
      <c r="AO45" s="5" t="s">
        <v>260</v>
      </c>
      <c r="AP45" s="5" t="s">
        <v>107</v>
      </c>
      <c r="AQ45" s="5"/>
    </row>
    <row r="46" spans="1:43" ht="42.75">
      <c r="A46" s="5">
        <v>45</v>
      </c>
      <c r="B46" s="5" t="s">
        <v>571</v>
      </c>
      <c r="C46" s="5" t="s">
        <v>571</v>
      </c>
      <c r="D46" s="5" t="s">
        <v>572</v>
      </c>
      <c r="E46" s="5" t="s">
        <v>248</v>
      </c>
      <c r="F46" s="5" t="s">
        <v>308</v>
      </c>
      <c r="G46" s="5" t="s">
        <v>309</v>
      </c>
      <c r="H46" s="5" t="s">
        <v>145</v>
      </c>
      <c r="I46" s="5">
        <v>5000</v>
      </c>
      <c r="J46" s="5">
        <v>7000</v>
      </c>
      <c r="K46" s="5" t="s">
        <v>82</v>
      </c>
      <c r="L46" s="5" t="s">
        <v>26</v>
      </c>
      <c r="M46" s="5" t="s">
        <v>573</v>
      </c>
      <c r="N46" s="5" t="s">
        <v>574</v>
      </c>
      <c r="O46" s="5" t="s">
        <v>575</v>
      </c>
      <c r="P46" s="5" t="s">
        <v>576</v>
      </c>
      <c r="Q46" s="5" t="s">
        <v>253</v>
      </c>
      <c r="R46" s="5" t="s">
        <v>577</v>
      </c>
      <c r="S46" s="5" t="s">
        <v>89</v>
      </c>
      <c r="T46" s="5" t="s">
        <v>90</v>
      </c>
      <c r="U46" s="5" t="s">
        <v>91</v>
      </c>
      <c r="V46" s="5" t="s">
        <v>571</v>
      </c>
      <c r="W46" s="5" t="s">
        <v>239</v>
      </c>
      <c r="X46" s="5" t="s">
        <v>240</v>
      </c>
      <c r="Y46" s="5" t="s">
        <v>241</v>
      </c>
      <c r="Z46" s="5" t="s">
        <v>242</v>
      </c>
      <c r="AA46" s="5" t="s">
        <v>97</v>
      </c>
      <c r="AB46" s="5" t="s">
        <v>243</v>
      </c>
      <c r="AC46" s="5" t="s">
        <v>192</v>
      </c>
      <c r="AD46" s="5" t="s">
        <v>99</v>
      </c>
      <c r="AE46" s="5" t="s">
        <v>193</v>
      </c>
      <c r="AF46" s="5" t="s">
        <v>101</v>
      </c>
      <c r="AG46" s="5" t="s">
        <v>102</v>
      </c>
      <c r="AH46" s="5">
        <v>22009</v>
      </c>
      <c r="AI46" s="5" t="s">
        <v>578</v>
      </c>
      <c r="AJ46" s="14" t="s">
        <v>579</v>
      </c>
      <c r="AK46" s="14"/>
      <c r="AL46" s="5">
        <v>4178</v>
      </c>
      <c r="AM46" s="5" t="s">
        <v>159</v>
      </c>
      <c r="AN46" s="5"/>
      <c r="AO46" s="5" t="s">
        <v>260</v>
      </c>
      <c r="AP46" s="5" t="s">
        <v>107</v>
      </c>
      <c r="AQ46" s="5"/>
    </row>
    <row r="47" spans="1:43" ht="42.75">
      <c r="A47" s="5">
        <v>46</v>
      </c>
      <c r="B47" s="5" t="s">
        <v>580</v>
      </c>
      <c r="C47" s="5" t="s">
        <v>580</v>
      </c>
      <c r="D47" s="5" t="s">
        <v>581</v>
      </c>
      <c r="E47" s="5" t="s">
        <v>248</v>
      </c>
      <c r="F47" s="5" t="s">
        <v>308</v>
      </c>
      <c r="G47" s="5" t="s">
        <v>309</v>
      </c>
      <c r="H47" s="5" t="s">
        <v>145</v>
      </c>
      <c r="I47" s="5">
        <v>5000</v>
      </c>
      <c r="J47" s="5">
        <v>7000</v>
      </c>
      <c r="K47" s="5" t="s">
        <v>82</v>
      </c>
      <c r="L47" s="5" t="s">
        <v>26</v>
      </c>
      <c r="M47" s="5" t="s">
        <v>582</v>
      </c>
      <c r="N47" s="5" t="s">
        <v>583</v>
      </c>
      <c r="O47" s="5" t="s">
        <v>584</v>
      </c>
      <c r="P47" s="5" t="s">
        <v>585</v>
      </c>
      <c r="Q47" s="5" t="s">
        <v>253</v>
      </c>
      <c r="R47" s="5" t="s">
        <v>253</v>
      </c>
      <c r="S47" s="5" t="s">
        <v>255</v>
      </c>
      <c r="T47" s="5" t="s">
        <v>256</v>
      </c>
      <c r="U47" s="5" t="s">
        <v>257</v>
      </c>
      <c r="V47" s="5" t="s">
        <v>580</v>
      </c>
      <c r="W47" s="5" t="s">
        <v>239</v>
      </c>
      <c r="X47" s="5" t="s">
        <v>240</v>
      </c>
      <c r="Y47" s="5" t="s">
        <v>241</v>
      </c>
      <c r="Z47" s="5" t="s">
        <v>242</v>
      </c>
      <c r="AA47" s="5" t="s">
        <v>97</v>
      </c>
      <c r="AB47" s="5" t="s">
        <v>243</v>
      </c>
      <c r="AC47" s="5" t="s">
        <v>192</v>
      </c>
      <c r="AD47" s="5" t="s">
        <v>99</v>
      </c>
      <c r="AE47" s="5" t="s">
        <v>193</v>
      </c>
      <c r="AF47" s="5" t="s">
        <v>101</v>
      </c>
      <c r="AG47" s="5" t="s">
        <v>102</v>
      </c>
      <c r="AH47" s="5">
        <v>22011</v>
      </c>
      <c r="AI47" s="5" t="s">
        <v>586</v>
      </c>
      <c r="AJ47" s="14" t="s">
        <v>587</v>
      </c>
      <c r="AK47" s="14"/>
      <c r="AL47" s="5">
        <v>4158</v>
      </c>
      <c r="AM47" s="5" t="s">
        <v>159</v>
      </c>
      <c r="AN47" s="5"/>
      <c r="AO47" s="5" t="s">
        <v>260</v>
      </c>
      <c r="AP47" s="5" t="s">
        <v>107</v>
      </c>
      <c r="AQ47" s="5"/>
    </row>
    <row r="48" spans="1:43" ht="42.75">
      <c r="A48" s="5">
        <v>47</v>
      </c>
      <c r="B48" s="5" t="s">
        <v>588</v>
      </c>
      <c r="C48" s="5" t="s">
        <v>588</v>
      </c>
      <c r="D48" s="5" t="s">
        <v>589</v>
      </c>
      <c r="E48" s="5" t="s">
        <v>248</v>
      </c>
      <c r="F48" s="5" t="s">
        <v>308</v>
      </c>
      <c r="G48" s="5" t="s">
        <v>309</v>
      </c>
      <c r="H48" s="5" t="s">
        <v>145</v>
      </c>
      <c r="I48" s="5">
        <v>5000</v>
      </c>
      <c r="J48" s="5">
        <v>7000</v>
      </c>
      <c r="K48" s="5" t="s">
        <v>82</v>
      </c>
      <c r="L48" s="5" t="s">
        <v>26</v>
      </c>
      <c r="M48" s="5" t="s">
        <v>590</v>
      </c>
      <c r="N48" s="5" t="s">
        <v>591</v>
      </c>
      <c r="O48" s="5" t="s">
        <v>592</v>
      </c>
      <c r="P48" s="5" t="s">
        <v>593</v>
      </c>
      <c r="Q48" s="5" t="s">
        <v>253</v>
      </c>
      <c r="R48" s="5" t="s">
        <v>253</v>
      </c>
      <c r="S48" s="5" t="s">
        <v>255</v>
      </c>
      <c r="T48" s="5" t="s">
        <v>256</v>
      </c>
      <c r="U48" s="5" t="s">
        <v>257</v>
      </c>
      <c r="V48" s="5" t="s">
        <v>588</v>
      </c>
      <c r="W48" s="5" t="s">
        <v>239</v>
      </c>
      <c r="X48" s="5" t="s">
        <v>240</v>
      </c>
      <c r="Y48" s="5" t="s">
        <v>241</v>
      </c>
      <c r="Z48" s="5" t="s">
        <v>242</v>
      </c>
      <c r="AA48" s="5" t="s">
        <v>97</v>
      </c>
      <c r="AB48" s="5" t="s">
        <v>243</v>
      </c>
      <c r="AC48" s="5" t="s">
        <v>192</v>
      </c>
      <c r="AD48" s="5" t="s">
        <v>99</v>
      </c>
      <c r="AE48" s="5" t="s">
        <v>193</v>
      </c>
      <c r="AF48" s="5" t="s">
        <v>101</v>
      </c>
      <c r="AG48" s="5" t="s">
        <v>102</v>
      </c>
      <c r="AH48" s="5">
        <v>22013</v>
      </c>
      <c r="AI48" s="5" t="s">
        <v>594</v>
      </c>
      <c r="AJ48" s="14" t="s">
        <v>595</v>
      </c>
      <c r="AK48" s="14"/>
      <c r="AL48" s="5">
        <v>4175</v>
      </c>
      <c r="AM48" s="5" t="s">
        <v>159</v>
      </c>
      <c r="AN48" s="5"/>
      <c r="AO48" s="5" t="s">
        <v>260</v>
      </c>
      <c r="AP48" s="5" t="s">
        <v>107</v>
      </c>
      <c r="AQ48" s="5"/>
    </row>
    <row r="49" spans="1:43" ht="42.75">
      <c r="A49" s="5">
        <v>48</v>
      </c>
      <c r="B49" s="5" t="s">
        <v>596</v>
      </c>
      <c r="C49" s="5" t="s">
        <v>596</v>
      </c>
      <c r="D49" s="5" t="s">
        <v>597</v>
      </c>
      <c r="E49" s="5" t="s">
        <v>248</v>
      </c>
      <c r="F49" s="5" t="s">
        <v>308</v>
      </c>
      <c r="G49" s="5" t="s">
        <v>80</v>
      </c>
      <c r="H49" s="5" t="s">
        <v>145</v>
      </c>
      <c r="I49" s="5">
        <v>5000</v>
      </c>
      <c r="J49" s="5">
        <v>7000</v>
      </c>
      <c r="K49" s="5" t="s">
        <v>82</v>
      </c>
      <c r="L49" s="5" t="s">
        <v>26</v>
      </c>
      <c r="M49" s="5" t="s">
        <v>598</v>
      </c>
      <c r="N49" s="5" t="s">
        <v>599</v>
      </c>
      <c r="O49" s="5" t="s">
        <v>600</v>
      </c>
      <c r="P49" s="5" t="s">
        <v>601</v>
      </c>
      <c r="Q49" s="5" t="s">
        <v>253</v>
      </c>
      <c r="R49" s="5" t="s">
        <v>253</v>
      </c>
      <c r="S49" s="5" t="s">
        <v>255</v>
      </c>
      <c r="T49" s="5" t="s">
        <v>256</v>
      </c>
      <c r="U49" s="5" t="s">
        <v>257</v>
      </c>
      <c r="V49" s="5" t="s">
        <v>596</v>
      </c>
      <c r="W49" s="5" t="s">
        <v>239</v>
      </c>
      <c r="X49" s="5" t="s">
        <v>240</v>
      </c>
      <c r="Y49" s="5" t="s">
        <v>241</v>
      </c>
      <c r="Z49" s="5" t="s">
        <v>242</v>
      </c>
      <c r="AA49" s="5" t="s">
        <v>97</v>
      </c>
      <c r="AB49" s="5" t="s">
        <v>243</v>
      </c>
      <c r="AC49" s="5" t="s">
        <v>192</v>
      </c>
      <c r="AD49" s="5" t="s">
        <v>99</v>
      </c>
      <c r="AE49" s="5" t="s">
        <v>193</v>
      </c>
      <c r="AF49" s="5" t="s">
        <v>101</v>
      </c>
      <c r="AG49" s="5" t="s">
        <v>102</v>
      </c>
      <c r="AH49" s="5">
        <v>22015</v>
      </c>
      <c r="AI49" s="5" t="s">
        <v>602</v>
      </c>
      <c r="AJ49" s="14" t="s">
        <v>603</v>
      </c>
      <c r="AK49" s="14"/>
      <c r="AL49" s="5">
        <v>4171</v>
      </c>
      <c r="AM49" s="5" t="s">
        <v>159</v>
      </c>
      <c r="AN49" s="5"/>
      <c r="AO49" s="5" t="s">
        <v>260</v>
      </c>
      <c r="AP49" s="5" t="s">
        <v>107</v>
      </c>
      <c r="AQ49" s="5"/>
    </row>
    <row r="50" spans="1:43" ht="42.75">
      <c r="A50" s="5">
        <v>49</v>
      </c>
      <c r="B50" s="5" t="s">
        <v>604</v>
      </c>
      <c r="C50" s="5" t="s">
        <v>604</v>
      </c>
      <c r="D50" s="5" t="s">
        <v>605</v>
      </c>
      <c r="E50" s="5" t="s">
        <v>248</v>
      </c>
      <c r="F50" s="5" t="s">
        <v>308</v>
      </c>
      <c r="G50" s="5" t="s">
        <v>80</v>
      </c>
      <c r="H50" s="5" t="s">
        <v>145</v>
      </c>
      <c r="I50" s="5">
        <v>5000</v>
      </c>
      <c r="J50" s="5">
        <v>7000</v>
      </c>
      <c r="K50" s="5" t="s">
        <v>82</v>
      </c>
      <c r="L50" s="5" t="s">
        <v>26</v>
      </c>
      <c r="M50" s="5" t="s">
        <v>606</v>
      </c>
      <c r="N50" s="5" t="s">
        <v>607</v>
      </c>
      <c r="O50" s="5" t="s">
        <v>608</v>
      </c>
      <c r="P50" s="5" t="s">
        <v>609</v>
      </c>
      <c r="Q50" s="5" t="s">
        <v>253</v>
      </c>
      <c r="R50" s="5" t="s">
        <v>253</v>
      </c>
      <c r="S50" s="5" t="s">
        <v>255</v>
      </c>
      <c r="T50" s="5" t="s">
        <v>256</v>
      </c>
      <c r="U50" s="5" t="s">
        <v>257</v>
      </c>
      <c r="V50" s="5" t="s">
        <v>604</v>
      </c>
      <c r="W50" s="5" t="s">
        <v>239</v>
      </c>
      <c r="X50" s="5" t="s">
        <v>240</v>
      </c>
      <c r="Y50" s="5" t="s">
        <v>241</v>
      </c>
      <c r="Z50" s="5" t="s">
        <v>242</v>
      </c>
      <c r="AA50" s="5" t="s">
        <v>97</v>
      </c>
      <c r="AB50" s="5" t="s">
        <v>243</v>
      </c>
      <c r="AC50" s="5" t="s">
        <v>192</v>
      </c>
      <c r="AD50" s="5" t="s">
        <v>99</v>
      </c>
      <c r="AE50" s="5" t="s">
        <v>193</v>
      </c>
      <c r="AF50" s="5" t="s">
        <v>101</v>
      </c>
      <c r="AG50" s="5" t="s">
        <v>102</v>
      </c>
      <c r="AH50" s="5">
        <v>22017</v>
      </c>
      <c r="AI50" s="5" t="s">
        <v>610</v>
      </c>
      <c r="AJ50" s="14" t="s">
        <v>611</v>
      </c>
      <c r="AK50" s="14"/>
      <c r="AL50" s="5">
        <v>4211</v>
      </c>
      <c r="AM50" s="5" t="s">
        <v>159</v>
      </c>
      <c r="AN50" s="5"/>
      <c r="AO50" s="5" t="s">
        <v>260</v>
      </c>
      <c r="AP50" s="5" t="s">
        <v>107</v>
      </c>
      <c r="AQ50" s="5"/>
    </row>
    <row r="51" spans="1:43" ht="42.75">
      <c r="A51" s="5">
        <v>50</v>
      </c>
      <c r="B51" s="5" t="s">
        <v>612</v>
      </c>
      <c r="C51" s="5" t="s">
        <v>612</v>
      </c>
      <c r="D51" s="5" t="s">
        <v>613</v>
      </c>
      <c r="E51" s="5" t="s">
        <v>466</v>
      </c>
      <c r="F51" s="5" t="s">
        <v>467</v>
      </c>
      <c r="G51" s="5" t="s">
        <v>80</v>
      </c>
      <c r="H51" s="5" t="s">
        <v>340</v>
      </c>
      <c r="I51" s="5">
        <v>4500</v>
      </c>
      <c r="J51" s="5">
        <v>6000</v>
      </c>
      <c r="K51" s="5" t="s">
        <v>341</v>
      </c>
      <c r="L51" s="5" t="s">
        <v>27</v>
      </c>
      <c r="M51" s="5" t="s">
        <v>614</v>
      </c>
      <c r="N51" s="5" t="s">
        <v>615</v>
      </c>
      <c r="O51" s="5" t="s">
        <v>616</v>
      </c>
      <c r="P51" s="5" t="s">
        <v>617</v>
      </c>
      <c r="Q51" s="5" t="s">
        <v>466</v>
      </c>
      <c r="R51" s="5" t="s">
        <v>618</v>
      </c>
      <c r="S51" s="5" t="s">
        <v>518</v>
      </c>
      <c r="T51" s="5" t="s">
        <v>519</v>
      </c>
      <c r="U51" s="5" t="s">
        <v>520</v>
      </c>
      <c r="V51" s="5" t="s">
        <v>612</v>
      </c>
      <c r="W51" s="5" t="s">
        <v>203</v>
      </c>
      <c r="X51" s="5" t="s">
        <v>204</v>
      </c>
      <c r="Y51" s="5" t="s">
        <v>205</v>
      </c>
      <c r="Z51" s="5" t="s">
        <v>206</v>
      </c>
      <c r="AA51" s="5" t="s">
        <v>97</v>
      </c>
      <c r="AB51" s="5" t="s">
        <v>207</v>
      </c>
      <c r="AC51" s="5" t="s">
        <v>192</v>
      </c>
      <c r="AD51" s="5" t="s">
        <v>99</v>
      </c>
      <c r="AE51" s="5" t="s">
        <v>193</v>
      </c>
      <c r="AF51" s="5" t="s">
        <v>101</v>
      </c>
      <c r="AG51" s="5" t="s">
        <v>102</v>
      </c>
      <c r="AH51" s="5">
        <v>22019</v>
      </c>
      <c r="AI51" s="5" t="s">
        <v>619</v>
      </c>
      <c r="AJ51" s="14" t="s">
        <v>620</v>
      </c>
      <c r="AK51" s="14"/>
      <c r="AL51" s="5">
        <v>3806</v>
      </c>
      <c r="AM51" s="5" t="s">
        <v>356</v>
      </c>
      <c r="AN51" s="5"/>
      <c r="AO51" s="5" t="s">
        <v>475</v>
      </c>
      <c r="AP51" s="5" t="s">
        <v>107</v>
      </c>
      <c r="AQ51" s="5"/>
    </row>
    <row r="52" spans="1:43" ht="42.75">
      <c r="A52" s="5">
        <v>51</v>
      </c>
      <c r="B52" s="5" t="s">
        <v>621</v>
      </c>
      <c r="C52" s="5" t="s">
        <v>621</v>
      </c>
      <c r="D52" s="5" t="s">
        <v>540</v>
      </c>
      <c r="E52" s="5" t="s">
        <v>248</v>
      </c>
      <c r="F52" s="5" t="s">
        <v>80</v>
      </c>
      <c r="G52" s="5" t="s">
        <v>80</v>
      </c>
      <c r="H52" s="5" t="s">
        <v>145</v>
      </c>
      <c r="I52" s="5">
        <v>5000</v>
      </c>
      <c r="J52" s="5">
        <v>7000</v>
      </c>
      <c r="K52" s="5" t="s">
        <v>82</v>
      </c>
      <c r="L52" s="5" t="s">
        <v>26</v>
      </c>
      <c r="M52" s="5" t="s">
        <v>622</v>
      </c>
      <c r="N52" s="5" t="s">
        <v>623</v>
      </c>
      <c r="O52" s="5" t="s">
        <v>624</v>
      </c>
      <c r="P52" s="5" t="s">
        <v>625</v>
      </c>
      <c r="Q52" s="5" t="s">
        <v>253</v>
      </c>
      <c r="R52" s="5" t="s">
        <v>626</v>
      </c>
      <c r="S52" s="5" t="s">
        <v>255</v>
      </c>
      <c r="T52" s="5" t="s">
        <v>256</v>
      </c>
      <c r="U52" s="5" t="s">
        <v>257</v>
      </c>
      <c r="V52" s="5" t="s">
        <v>621</v>
      </c>
      <c r="W52" s="5" t="s">
        <v>239</v>
      </c>
      <c r="X52" s="5" t="s">
        <v>240</v>
      </c>
      <c r="Y52" s="5" t="s">
        <v>241</v>
      </c>
      <c r="Z52" s="5" t="s">
        <v>242</v>
      </c>
      <c r="AA52" s="5" t="s">
        <v>97</v>
      </c>
      <c r="AB52" s="5" t="s">
        <v>243</v>
      </c>
      <c r="AC52" s="5" t="s">
        <v>192</v>
      </c>
      <c r="AD52" s="5" t="s">
        <v>99</v>
      </c>
      <c r="AE52" s="5" t="s">
        <v>193</v>
      </c>
      <c r="AF52" s="5" t="s">
        <v>101</v>
      </c>
      <c r="AG52" s="5" t="s">
        <v>102</v>
      </c>
      <c r="AH52" s="5">
        <v>22021</v>
      </c>
      <c r="AI52" s="5" t="s">
        <v>627</v>
      </c>
      <c r="AJ52" s="14" t="s">
        <v>628</v>
      </c>
      <c r="AK52" s="14"/>
      <c r="AL52" s="5">
        <v>4086</v>
      </c>
      <c r="AM52" s="5" t="s">
        <v>159</v>
      </c>
      <c r="AN52" s="5"/>
      <c r="AO52" s="5" t="s">
        <v>260</v>
      </c>
      <c r="AP52" s="5" t="s">
        <v>107</v>
      </c>
      <c r="AQ52" s="5"/>
    </row>
    <row r="53" spans="1:43" ht="42.75">
      <c r="A53" s="5">
        <v>52</v>
      </c>
      <c r="B53" s="5" t="s">
        <v>629</v>
      </c>
      <c r="C53" s="5" t="s">
        <v>629</v>
      </c>
      <c r="D53" s="5" t="s">
        <v>630</v>
      </c>
      <c r="E53" s="5" t="s">
        <v>346</v>
      </c>
      <c r="F53" s="5" t="s">
        <v>631</v>
      </c>
      <c r="G53" s="5" t="s">
        <v>80</v>
      </c>
      <c r="H53" s="5" t="s">
        <v>340</v>
      </c>
      <c r="I53" s="5">
        <v>4500</v>
      </c>
      <c r="J53" s="5">
        <v>6000</v>
      </c>
      <c r="K53" s="5" t="s">
        <v>341</v>
      </c>
      <c r="L53" s="5" t="s">
        <v>27</v>
      </c>
      <c r="M53" s="5" t="s">
        <v>632</v>
      </c>
      <c r="N53" s="5" t="s">
        <v>633</v>
      </c>
      <c r="O53" s="5" t="s">
        <v>634</v>
      </c>
      <c r="P53" s="5" t="s">
        <v>635</v>
      </c>
      <c r="Q53" s="5" t="s">
        <v>346</v>
      </c>
      <c r="R53" s="5" t="s">
        <v>346</v>
      </c>
      <c r="S53" s="5" t="s">
        <v>348</v>
      </c>
      <c r="T53" s="5" t="s">
        <v>169</v>
      </c>
      <c r="U53" s="5" t="s">
        <v>170</v>
      </c>
      <c r="V53" s="5" t="s">
        <v>629</v>
      </c>
      <c r="W53" s="5" t="s">
        <v>349</v>
      </c>
      <c r="X53" s="5" t="s">
        <v>350</v>
      </c>
      <c r="Y53" s="5" t="s">
        <v>351</v>
      </c>
      <c r="Z53" s="5" t="s">
        <v>352</v>
      </c>
      <c r="AA53" s="5" t="s">
        <v>97</v>
      </c>
      <c r="AB53" s="5" t="s">
        <v>353</v>
      </c>
      <c r="AC53" s="5" t="s">
        <v>192</v>
      </c>
      <c r="AD53" s="5" t="s">
        <v>99</v>
      </c>
      <c r="AE53" s="5" t="s">
        <v>193</v>
      </c>
      <c r="AF53" s="5" t="s">
        <v>101</v>
      </c>
      <c r="AG53" s="5" t="s">
        <v>102</v>
      </c>
      <c r="AH53" s="5">
        <v>22023</v>
      </c>
      <c r="AI53" s="5" t="s">
        <v>636</v>
      </c>
      <c r="AJ53" s="14" t="s">
        <v>637</v>
      </c>
      <c r="AK53" s="14"/>
      <c r="AL53" s="5">
        <v>3710</v>
      </c>
      <c r="AM53" s="5" t="s">
        <v>356</v>
      </c>
      <c r="AN53" s="5"/>
      <c r="AO53" s="5" t="s">
        <v>357</v>
      </c>
      <c r="AP53" s="5" t="s">
        <v>107</v>
      </c>
      <c r="AQ53" s="5"/>
    </row>
    <row r="54" spans="1:43" ht="42.75">
      <c r="A54" s="5">
        <v>53</v>
      </c>
      <c r="B54" s="5" t="s">
        <v>638</v>
      </c>
      <c r="C54" s="5" t="s">
        <v>638</v>
      </c>
      <c r="D54" s="5" t="s">
        <v>639</v>
      </c>
      <c r="E54" s="5" t="s">
        <v>346</v>
      </c>
      <c r="F54" s="5" t="s">
        <v>631</v>
      </c>
      <c r="G54" s="5" t="s">
        <v>80</v>
      </c>
      <c r="H54" s="5" t="s">
        <v>340</v>
      </c>
      <c r="I54" s="5">
        <v>4500</v>
      </c>
      <c r="J54" s="5">
        <v>6000</v>
      </c>
      <c r="K54" s="5" t="s">
        <v>341</v>
      </c>
      <c r="L54" s="5" t="s">
        <v>27</v>
      </c>
      <c r="M54" s="5" t="s">
        <v>640</v>
      </c>
      <c r="N54" s="5" t="s">
        <v>641</v>
      </c>
      <c r="O54" s="5" t="s">
        <v>642</v>
      </c>
      <c r="P54" s="5" t="s">
        <v>643</v>
      </c>
      <c r="Q54" s="5" t="s">
        <v>346</v>
      </c>
      <c r="R54" s="5" t="s">
        <v>346</v>
      </c>
      <c r="S54" s="5" t="s">
        <v>348</v>
      </c>
      <c r="T54" s="5" t="s">
        <v>169</v>
      </c>
      <c r="U54" s="5" t="s">
        <v>170</v>
      </c>
      <c r="V54" s="5" t="s">
        <v>638</v>
      </c>
      <c r="W54" s="5" t="s">
        <v>349</v>
      </c>
      <c r="X54" s="5" t="s">
        <v>350</v>
      </c>
      <c r="Y54" s="5" t="s">
        <v>351</v>
      </c>
      <c r="Z54" s="5" t="s">
        <v>352</v>
      </c>
      <c r="AA54" s="5" t="s">
        <v>97</v>
      </c>
      <c r="AB54" s="5" t="s">
        <v>353</v>
      </c>
      <c r="AC54" s="5" t="s">
        <v>192</v>
      </c>
      <c r="AD54" s="5" t="s">
        <v>99</v>
      </c>
      <c r="AE54" s="5" t="s">
        <v>193</v>
      </c>
      <c r="AF54" s="5" t="s">
        <v>101</v>
      </c>
      <c r="AG54" s="5" t="s">
        <v>102</v>
      </c>
      <c r="AH54" s="5">
        <v>22025</v>
      </c>
      <c r="AI54" s="5" t="s">
        <v>644</v>
      </c>
      <c r="AJ54" s="14" t="s">
        <v>645</v>
      </c>
      <c r="AK54" s="14"/>
      <c r="AL54" s="5">
        <v>3705</v>
      </c>
      <c r="AM54" s="5" t="s">
        <v>356</v>
      </c>
      <c r="AN54" s="5"/>
      <c r="AO54" s="5" t="s">
        <v>357</v>
      </c>
      <c r="AP54" s="5" t="s">
        <v>107</v>
      </c>
      <c r="AQ54" s="5"/>
    </row>
    <row r="55" spans="1:43" ht="42.75">
      <c r="A55" s="5">
        <v>54</v>
      </c>
      <c r="B55" s="5" t="s">
        <v>646</v>
      </c>
      <c r="C55" s="5" t="s">
        <v>646</v>
      </c>
      <c r="D55" s="5" t="s">
        <v>647</v>
      </c>
      <c r="E55" s="5" t="s">
        <v>346</v>
      </c>
      <c r="F55" s="5" t="s">
        <v>631</v>
      </c>
      <c r="G55" s="5" t="s">
        <v>80</v>
      </c>
      <c r="H55" s="5" t="s">
        <v>340</v>
      </c>
      <c r="I55" s="5">
        <v>4500</v>
      </c>
      <c r="J55" s="5">
        <v>6000</v>
      </c>
      <c r="K55" s="5" t="s">
        <v>341</v>
      </c>
      <c r="L55" s="5" t="s">
        <v>27</v>
      </c>
      <c r="M55" s="5" t="s">
        <v>648</v>
      </c>
      <c r="N55" s="5" t="s">
        <v>649</v>
      </c>
      <c r="O55" s="5" t="s">
        <v>650</v>
      </c>
      <c r="P55" s="5" t="s">
        <v>651</v>
      </c>
      <c r="Q55" s="5" t="s">
        <v>346</v>
      </c>
      <c r="R55" s="5" t="s">
        <v>346</v>
      </c>
      <c r="S55" s="5" t="s">
        <v>348</v>
      </c>
      <c r="T55" s="5" t="s">
        <v>169</v>
      </c>
      <c r="U55" s="5" t="s">
        <v>170</v>
      </c>
      <c r="V55" s="5" t="s">
        <v>646</v>
      </c>
      <c r="W55" s="5" t="s">
        <v>349</v>
      </c>
      <c r="X55" s="5" t="s">
        <v>350</v>
      </c>
      <c r="Y55" s="5" t="s">
        <v>351</v>
      </c>
      <c r="Z55" s="5" t="s">
        <v>352</v>
      </c>
      <c r="AA55" s="5" t="s">
        <v>97</v>
      </c>
      <c r="AB55" s="5" t="s">
        <v>353</v>
      </c>
      <c r="AC55" s="5" t="s">
        <v>192</v>
      </c>
      <c r="AD55" s="5" t="s">
        <v>99</v>
      </c>
      <c r="AE55" s="5" t="s">
        <v>193</v>
      </c>
      <c r="AF55" s="5" t="s">
        <v>101</v>
      </c>
      <c r="AG55" s="5" t="s">
        <v>102</v>
      </c>
      <c r="AH55" s="5">
        <v>22027</v>
      </c>
      <c r="AI55" s="5" t="s">
        <v>652</v>
      </c>
      <c r="AJ55" s="14" t="s">
        <v>653</v>
      </c>
      <c r="AK55" s="14"/>
      <c r="AL55" s="5">
        <v>3707</v>
      </c>
      <c r="AM55" s="5" t="s">
        <v>356</v>
      </c>
      <c r="AN55" s="5"/>
      <c r="AO55" s="5" t="s">
        <v>357</v>
      </c>
      <c r="AP55" s="5" t="s">
        <v>107</v>
      </c>
      <c r="AQ55" s="5"/>
    </row>
    <row r="56" spans="1:43" ht="42.75">
      <c r="A56" s="5">
        <v>55</v>
      </c>
      <c r="B56" s="5" t="s">
        <v>654</v>
      </c>
      <c r="C56" s="5" t="s">
        <v>654</v>
      </c>
      <c r="D56" s="5" t="s">
        <v>655</v>
      </c>
      <c r="E56" s="5" t="s">
        <v>346</v>
      </c>
      <c r="F56" s="5" t="s">
        <v>631</v>
      </c>
      <c r="G56" s="5" t="s">
        <v>80</v>
      </c>
      <c r="H56" s="5" t="s">
        <v>340</v>
      </c>
      <c r="I56" s="5">
        <v>4500</v>
      </c>
      <c r="J56" s="5">
        <v>6000</v>
      </c>
      <c r="K56" s="5" t="s">
        <v>341</v>
      </c>
      <c r="L56" s="5" t="s">
        <v>27</v>
      </c>
      <c r="M56" s="5" t="s">
        <v>656</v>
      </c>
      <c r="N56" s="5" t="s">
        <v>657</v>
      </c>
      <c r="O56" s="5" t="s">
        <v>658</v>
      </c>
      <c r="P56" s="5" t="s">
        <v>659</v>
      </c>
      <c r="Q56" s="5" t="s">
        <v>346</v>
      </c>
      <c r="R56" s="5" t="s">
        <v>346</v>
      </c>
      <c r="S56" s="5" t="s">
        <v>348</v>
      </c>
      <c r="T56" s="5" t="s">
        <v>169</v>
      </c>
      <c r="U56" s="5" t="s">
        <v>170</v>
      </c>
      <c r="V56" s="5" t="s">
        <v>654</v>
      </c>
      <c r="W56" s="5" t="s">
        <v>349</v>
      </c>
      <c r="X56" s="5" t="s">
        <v>350</v>
      </c>
      <c r="Y56" s="5" t="s">
        <v>351</v>
      </c>
      <c r="Z56" s="5" t="s">
        <v>352</v>
      </c>
      <c r="AA56" s="5" t="s">
        <v>97</v>
      </c>
      <c r="AB56" s="5" t="s">
        <v>353</v>
      </c>
      <c r="AC56" s="5" t="s">
        <v>192</v>
      </c>
      <c r="AD56" s="5" t="s">
        <v>99</v>
      </c>
      <c r="AE56" s="5" t="s">
        <v>193</v>
      </c>
      <c r="AF56" s="5" t="s">
        <v>101</v>
      </c>
      <c r="AG56" s="5" t="s">
        <v>102</v>
      </c>
      <c r="AH56" s="5">
        <v>22029</v>
      </c>
      <c r="AI56" s="5" t="s">
        <v>660</v>
      </c>
      <c r="AJ56" s="14" t="s">
        <v>661</v>
      </c>
      <c r="AK56" s="14"/>
      <c r="AL56" s="5">
        <v>3687</v>
      </c>
      <c r="AM56" s="5" t="s">
        <v>356</v>
      </c>
      <c r="AN56" s="5"/>
      <c r="AO56" s="5" t="s">
        <v>357</v>
      </c>
      <c r="AP56" s="5" t="s">
        <v>107</v>
      </c>
      <c r="AQ56" s="5"/>
    </row>
    <row r="57" spans="1:43" ht="42.75">
      <c r="A57" s="5">
        <v>56</v>
      </c>
      <c r="B57" s="5" t="s">
        <v>662</v>
      </c>
      <c r="C57" s="5" t="s">
        <v>662</v>
      </c>
      <c r="D57" s="5" t="s">
        <v>663</v>
      </c>
      <c r="E57" s="5" t="s">
        <v>346</v>
      </c>
      <c r="F57" s="5" t="s">
        <v>631</v>
      </c>
      <c r="G57" s="5" t="s">
        <v>80</v>
      </c>
      <c r="H57" s="5" t="s">
        <v>340</v>
      </c>
      <c r="I57" s="5">
        <v>4500</v>
      </c>
      <c r="J57" s="5">
        <v>6000</v>
      </c>
      <c r="K57" s="5" t="s">
        <v>341</v>
      </c>
      <c r="L57" s="5" t="s">
        <v>27</v>
      </c>
      <c r="M57" s="5" t="s">
        <v>664</v>
      </c>
      <c r="N57" s="5" t="s">
        <v>665</v>
      </c>
      <c r="O57" s="5" t="s">
        <v>666</v>
      </c>
      <c r="P57" s="5" t="s">
        <v>667</v>
      </c>
      <c r="Q57" s="5" t="s">
        <v>346</v>
      </c>
      <c r="R57" s="5" t="s">
        <v>346</v>
      </c>
      <c r="S57" s="5" t="s">
        <v>348</v>
      </c>
      <c r="T57" s="5" t="s">
        <v>169</v>
      </c>
      <c r="U57" s="5" t="s">
        <v>170</v>
      </c>
      <c r="V57" s="5" t="s">
        <v>662</v>
      </c>
      <c r="W57" s="5" t="s">
        <v>349</v>
      </c>
      <c r="X57" s="5" t="s">
        <v>350</v>
      </c>
      <c r="Y57" s="5" t="s">
        <v>351</v>
      </c>
      <c r="Z57" s="5" t="s">
        <v>352</v>
      </c>
      <c r="AA57" s="5" t="s">
        <v>97</v>
      </c>
      <c r="AB57" s="5" t="s">
        <v>353</v>
      </c>
      <c r="AC57" s="5" t="s">
        <v>192</v>
      </c>
      <c r="AD57" s="5" t="s">
        <v>99</v>
      </c>
      <c r="AE57" s="5" t="s">
        <v>193</v>
      </c>
      <c r="AF57" s="5" t="s">
        <v>101</v>
      </c>
      <c r="AG57" s="5" t="s">
        <v>102</v>
      </c>
      <c r="AH57" s="5">
        <v>22031</v>
      </c>
      <c r="AI57" s="5" t="s">
        <v>668</v>
      </c>
      <c r="AJ57" s="14" t="s">
        <v>669</v>
      </c>
      <c r="AK57" s="14"/>
      <c r="AL57" s="5">
        <v>3684</v>
      </c>
      <c r="AM57" s="5" t="s">
        <v>356</v>
      </c>
      <c r="AN57" s="5"/>
      <c r="AO57" s="5" t="s">
        <v>357</v>
      </c>
      <c r="AP57" s="5" t="s">
        <v>107</v>
      </c>
      <c r="AQ57" s="5"/>
    </row>
    <row r="58" spans="1:43" ht="42.75">
      <c r="A58" s="5">
        <v>57</v>
      </c>
      <c r="B58" s="5" t="s">
        <v>670</v>
      </c>
      <c r="C58" s="5" t="s">
        <v>670</v>
      </c>
      <c r="D58" s="5" t="s">
        <v>671</v>
      </c>
      <c r="E58" s="5" t="s">
        <v>346</v>
      </c>
      <c r="F58" s="5" t="s">
        <v>631</v>
      </c>
      <c r="G58" s="5" t="s">
        <v>80</v>
      </c>
      <c r="H58" s="5" t="s">
        <v>340</v>
      </c>
      <c r="I58" s="5">
        <v>4500</v>
      </c>
      <c r="J58" s="5">
        <v>6000</v>
      </c>
      <c r="K58" s="5" t="s">
        <v>341</v>
      </c>
      <c r="L58" s="5" t="s">
        <v>27</v>
      </c>
      <c r="M58" s="5" t="s">
        <v>672</v>
      </c>
      <c r="N58" s="5" t="s">
        <v>673</v>
      </c>
      <c r="O58" s="5" t="s">
        <v>674</v>
      </c>
      <c r="P58" s="5" t="s">
        <v>675</v>
      </c>
      <c r="Q58" s="5" t="s">
        <v>346</v>
      </c>
      <c r="R58" s="5" t="s">
        <v>346</v>
      </c>
      <c r="S58" s="5" t="s">
        <v>348</v>
      </c>
      <c r="T58" s="5" t="s">
        <v>169</v>
      </c>
      <c r="U58" s="5" t="s">
        <v>170</v>
      </c>
      <c r="V58" s="5" t="s">
        <v>670</v>
      </c>
      <c r="W58" s="5" t="s">
        <v>349</v>
      </c>
      <c r="X58" s="5" t="s">
        <v>350</v>
      </c>
      <c r="Y58" s="5" t="s">
        <v>351</v>
      </c>
      <c r="Z58" s="5" t="s">
        <v>352</v>
      </c>
      <c r="AA58" s="5" t="s">
        <v>97</v>
      </c>
      <c r="AB58" s="5" t="s">
        <v>353</v>
      </c>
      <c r="AC58" s="5" t="s">
        <v>192</v>
      </c>
      <c r="AD58" s="5" t="s">
        <v>99</v>
      </c>
      <c r="AE58" s="5" t="s">
        <v>193</v>
      </c>
      <c r="AF58" s="5" t="s">
        <v>101</v>
      </c>
      <c r="AG58" s="5" t="s">
        <v>102</v>
      </c>
      <c r="AH58" s="5">
        <v>22033</v>
      </c>
      <c r="AI58" s="5" t="s">
        <v>676</v>
      </c>
      <c r="AJ58" s="14" t="s">
        <v>677</v>
      </c>
      <c r="AK58" s="14"/>
      <c r="AL58" s="5">
        <v>3695</v>
      </c>
      <c r="AM58" s="5" t="s">
        <v>356</v>
      </c>
      <c r="AN58" s="5"/>
      <c r="AO58" s="5" t="s">
        <v>357</v>
      </c>
      <c r="AP58" s="5" t="s">
        <v>107</v>
      </c>
      <c r="AQ58" s="5"/>
    </row>
    <row r="59" spans="1:43" ht="42.75">
      <c r="A59" s="5">
        <v>58</v>
      </c>
      <c r="B59" s="5" t="s">
        <v>678</v>
      </c>
      <c r="C59" s="5" t="s">
        <v>678</v>
      </c>
      <c r="D59" s="5" t="s">
        <v>679</v>
      </c>
      <c r="E59" s="5" t="s">
        <v>346</v>
      </c>
      <c r="F59" s="5" t="s">
        <v>631</v>
      </c>
      <c r="G59" s="5" t="s">
        <v>80</v>
      </c>
      <c r="H59" s="5" t="s">
        <v>340</v>
      </c>
      <c r="I59" s="5">
        <v>4500</v>
      </c>
      <c r="J59" s="5">
        <v>6000</v>
      </c>
      <c r="K59" s="5" t="s">
        <v>341</v>
      </c>
      <c r="L59" s="5" t="s">
        <v>27</v>
      </c>
      <c r="M59" s="5" t="s">
        <v>680</v>
      </c>
      <c r="N59" s="5" t="s">
        <v>681</v>
      </c>
      <c r="O59" s="5" t="s">
        <v>682</v>
      </c>
      <c r="P59" s="5" t="s">
        <v>683</v>
      </c>
      <c r="Q59" s="5" t="s">
        <v>346</v>
      </c>
      <c r="R59" s="5" t="s">
        <v>346</v>
      </c>
      <c r="S59" s="5" t="s">
        <v>348</v>
      </c>
      <c r="T59" s="5" t="s">
        <v>169</v>
      </c>
      <c r="U59" s="5" t="s">
        <v>170</v>
      </c>
      <c r="V59" s="5" t="s">
        <v>678</v>
      </c>
      <c r="W59" s="5" t="s">
        <v>349</v>
      </c>
      <c r="X59" s="5" t="s">
        <v>350</v>
      </c>
      <c r="Y59" s="5" t="s">
        <v>351</v>
      </c>
      <c r="Z59" s="5" t="s">
        <v>352</v>
      </c>
      <c r="AA59" s="5" t="s">
        <v>97</v>
      </c>
      <c r="AB59" s="5" t="s">
        <v>353</v>
      </c>
      <c r="AC59" s="5" t="s">
        <v>192</v>
      </c>
      <c r="AD59" s="5" t="s">
        <v>99</v>
      </c>
      <c r="AE59" s="5" t="s">
        <v>193</v>
      </c>
      <c r="AF59" s="5" t="s">
        <v>101</v>
      </c>
      <c r="AG59" s="5" t="s">
        <v>102</v>
      </c>
      <c r="AH59" s="5">
        <v>22035</v>
      </c>
      <c r="AI59" s="5" t="s">
        <v>684</v>
      </c>
      <c r="AJ59" s="14" t="s">
        <v>685</v>
      </c>
      <c r="AK59" s="14"/>
      <c r="AL59" s="5">
        <v>3687</v>
      </c>
      <c r="AM59" s="5" t="s">
        <v>356</v>
      </c>
      <c r="AN59" s="5"/>
      <c r="AO59" s="5" t="s">
        <v>357</v>
      </c>
      <c r="AP59" s="5" t="s">
        <v>107</v>
      </c>
      <c r="AQ59" s="5"/>
    </row>
    <row r="60" spans="1:43" ht="42.75">
      <c r="A60" s="5">
        <v>59</v>
      </c>
      <c r="B60" s="5" t="s">
        <v>686</v>
      </c>
      <c r="C60" s="5" t="s">
        <v>686</v>
      </c>
      <c r="D60" s="5" t="s">
        <v>687</v>
      </c>
      <c r="E60" s="5" t="s">
        <v>346</v>
      </c>
      <c r="F60" s="5" t="s">
        <v>631</v>
      </c>
      <c r="G60" s="5" t="s">
        <v>80</v>
      </c>
      <c r="H60" s="5" t="s">
        <v>340</v>
      </c>
      <c r="I60" s="5">
        <v>4500</v>
      </c>
      <c r="J60" s="5">
        <v>6000</v>
      </c>
      <c r="K60" s="5" t="s">
        <v>341</v>
      </c>
      <c r="L60" s="5" t="s">
        <v>27</v>
      </c>
      <c r="M60" s="5" t="s">
        <v>688</v>
      </c>
      <c r="N60" s="5" t="s">
        <v>689</v>
      </c>
      <c r="O60" s="5" t="s">
        <v>690</v>
      </c>
      <c r="P60" s="5" t="s">
        <v>691</v>
      </c>
      <c r="Q60" s="5" t="s">
        <v>346</v>
      </c>
      <c r="R60" s="5" t="s">
        <v>346</v>
      </c>
      <c r="S60" s="5" t="s">
        <v>348</v>
      </c>
      <c r="T60" s="5" t="s">
        <v>169</v>
      </c>
      <c r="U60" s="5" t="s">
        <v>170</v>
      </c>
      <c r="V60" s="5" t="s">
        <v>686</v>
      </c>
      <c r="W60" s="5" t="s">
        <v>349</v>
      </c>
      <c r="X60" s="5" t="s">
        <v>350</v>
      </c>
      <c r="Y60" s="5" t="s">
        <v>351</v>
      </c>
      <c r="Z60" s="5" t="s">
        <v>352</v>
      </c>
      <c r="AA60" s="5" t="s">
        <v>97</v>
      </c>
      <c r="AB60" s="5" t="s">
        <v>353</v>
      </c>
      <c r="AC60" s="5" t="s">
        <v>192</v>
      </c>
      <c r="AD60" s="5" t="s">
        <v>99</v>
      </c>
      <c r="AE60" s="5" t="s">
        <v>193</v>
      </c>
      <c r="AF60" s="5" t="s">
        <v>101</v>
      </c>
      <c r="AG60" s="5" t="s">
        <v>102</v>
      </c>
      <c r="AH60" s="5">
        <v>22037</v>
      </c>
      <c r="AI60" s="5" t="s">
        <v>692</v>
      </c>
      <c r="AJ60" s="14" t="s">
        <v>693</v>
      </c>
      <c r="AK60" s="14"/>
      <c r="AL60" s="5">
        <v>3627</v>
      </c>
      <c r="AM60" s="5" t="s">
        <v>356</v>
      </c>
      <c r="AN60" s="5"/>
      <c r="AO60" s="5" t="s">
        <v>357</v>
      </c>
      <c r="AP60" s="5" t="s">
        <v>107</v>
      </c>
      <c r="AQ60" s="5"/>
    </row>
    <row r="61" spans="1:43" ht="42.75">
      <c r="A61" s="5">
        <v>60</v>
      </c>
      <c r="B61" s="5" t="s">
        <v>694</v>
      </c>
      <c r="C61" s="5" t="s">
        <v>694</v>
      </c>
      <c r="D61" s="5" t="s">
        <v>695</v>
      </c>
      <c r="E61" s="5" t="s">
        <v>346</v>
      </c>
      <c r="F61" s="5" t="s">
        <v>162</v>
      </c>
      <c r="G61" s="5" t="s">
        <v>162</v>
      </c>
      <c r="H61" s="5" t="s">
        <v>340</v>
      </c>
      <c r="I61" s="5">
        <v>4500</v>
      </c>
      <c r="J61" s="5">
        <v>6000</v>
      </c>
      <c r="K61" s="5" t="s">
        <v>341</v>
      </c>
      <c r="L61" s="5" t="s">
        <v>27</v>
      </c>
      <c r="M61" s="5" t="s">
        <v>696</v>
      </c>
      <c r="N61" s="5" t="s">
        <v>697</v>
      </c>
      <c r="O61" s="5" t="s">
        <v>698</v>
      </c>
      <c r="P61" s="5" t="s">
        <v>699</v>
      </c>
      <c r="Q61" s="5" t="s">
        <v>346</v>
      </c>
      <c r="R61" s="5" t="s">
        <v>346</v>
      </c>
      <c r="S61" s="5" t="s">
        <v>168</v>
      </c>
      <c r="T61" s="5" t="s">
        <v>169</v>
      </c>
      <c r="U61" s="5" t="s">
        <v>170</v>
      </c>
      <c r="V61" s="5" t="s">
        <v>694</v>
      </c>
      <c r="W61" s="5" t="s">
        <v>349</v>
      </c>
      <c r="X61" s="5" t="s">
        <v>350</v>
      </c>
      <c r="Y61" s="5" t="s">
        <v>351</v>
      </c>
      <c r="Z61" s="5" t="s">
        <v>352</v>
      </c>
      <c r="AA61" s="5" t="s">
        <v>97</v>
      </c>
      <c r="AB61" s="5" t="s">
        <v>353</v>
      </c>
      <c r="AC61" s="5" t="s">
        <v>192</v>
      </c>
      <c r="AD61" s="5" t="s">
        <v>99</v>
      </c>
      <c r="AE61" s="5" t="s">
        <v>193</v>
      </c>
      <c r="AF61" s="5" t="s">
        <v>101</v>
      </c>
      <c r="AG61" s="5" t="s">
        <v>102</v>
      </c>
      <c r="AH61" s="5">
        <v>22039</v>
      </c>
      <c r="AI61" s="5" t="s">
        <v>700</v>
      </c>
      <c r="AJ61" s="14" t="s">
        <v>701</v>
      </c>
      <c r="AK61" s="14"/>
      <c r="AL61" s="5">
        <v>3643</v>
      </c>
      <c r="AM61" s="5" t="s">
        <v>356</v>
      </c>
      <c r="AN61" s="5"/>
      <c r="AO61" s="5" t="s">
        <v>357</v>
      </c>
      <c r="AP61" s="5" t="s">
        <v>107</v>
      </c>
      <c r="AQ61" s="5"/>
    </row>
    <row r="62" spans="1:43" ht="42.75">
      <c r="A62" s="5">
        <v>61</v>
      </c>
      <c r="B62" s="5" t="s">
        <v>702</v>
      </c>
      <c r="C62" s="5" t="s">
        <v>703</v>
      </c>
      <c r="D62" s="5" t="s">
        <v>704</v>
      </c>
      <c r="E62" s="5" t="s">
        <v>705</v>
      </c>
      <c r="F62" s="5" t="s">
        <v>706</v>
      </c>
      <c r="G62" s="5" t="s">
        <v>80</v>
      </c>
      <c r="H62" s="5" t="s">
        <v>340</v>
      </c>
      <c r="I62" s="5">
        <v>4500</v>
      </c>
      <c r="J62" s="5">
        <v>6000</v>
      </c>
      <c r="K62" s="5" t="s">
        <v>341</v>
      </c>
      <c r="L62" s="5" t="s">
        <v>28</v>
      </c>
      <c r="M62" s="5" t="s">
        <v>707</v>
      </c>
      <c r="N62" s="5" t="s">
        <v>708</v>
      </c>
      <c r="O62" s="5" t="s">
        <v>709</v>
      </c>
      <c r="P62" s="5" t="s">
        <v>710</v>
      </c>
      <c r="Q62" s="5" t="s">
        <v>705</v>
      </c>
      <c r="R62" s="5" t="s">
        <v>711</v>
      </c>
      <c r="S62" s="5" t="s">
        <v>712</v>
      </c>
      <c r="T62" s="5" t="s">
        <v>713</v>
      </c>
      <c r="U62" s="5" t="s">
        <v>133</v>
      </c>
      <c r="V62" s="5" t="s">
        <v>702</v>
      </c>
      <c r="W62" s="5" t="s">
        <v>714</v>
      </c>
      <c r="X62" s="5" t="s">
        <v>715</v>
      </c>
      <c r="Y62" s="5" t="s">
        <v>716</v>
      </c>
      <c r="Z62" s="5" t="s">
        <v>206</v>
      </c>
      <c r="AA62" s="5" t="s">
        <v>97</v>
      </c>
      <c r="AB62" s="5" t="s">
        <v>717</v>
      </c>
      <c r="AC62" s="5" t="s">
        <v>192</v>
      </c>
      <c r="AD62" s="5" t="s">
        <v>99</v>
      </c>
      <c r="AE62" s="5" t="s">
        <v>193</v>
      </c>
      <c r="AF62" s="5" t="s">
        <v>101</v>
      </c>
      <c r="AG62" s="5" t="s">
        <v>102</v>
      </c>
      <c r="AH62" s="5">
        <v>22041</v>
      </c>
      <c r="AI62" s="5" t="s">
        <v>718</v>
      </c>
      <c r="AJ62" s="14" t="s">
        <v>719</v>
      </c>
      <c r="AK62" s="14"/>
      <c r="AL62" s="5">
        <v>3756</v>
      </c>
      <c r="AM62" s="5" t="s">
        <v>356</v>
      </c>
      <c r="AN62" s="5"/>
      <c r="AO62" s="5" t="s">
        <v>720</v>
      </c>
      <c r="AP62" s="5" t="s">
        <v>107</v>
      </c>
      <c r="AQ62" s="5"/>
    </row>
    <row r="63" spans="1:43" ht="42.75">
      <c r="A63" s="5">
        <v>62</v>
      </c>
      <c r="B63" s="5" t="s">
        <v>721</v>
      </c>
      <c r="C63" s="5" t="s">
        <v>721</v>
      </c>
      <c r="D63" s="5" t="s">
        <v>722</v>
      </c>
      <c r="E63" s="5" t="s">
        <v>705</v>
      </c>
      <c r="F63" s="5" t="s">
        <v>706</v>
      </c>
      <c r="G63" s="5" t="s">
        <v>80</v>
      </c>
      <c r="H63" s="5" t="s">
        <v>340</v>
      </c>
      <c r="I63" s="5">
        <v>4500</v>
      </c>
      <c r="J63" s="5">
        <v>6000</v>
      </c>
      <c r="K63" s="5" t="s">
        <v>341</v>
      </c>
      <c r="L63" s="5" t="s">
        <v>28</v>
      </c>
      <c r="M63" s="5" t="s">
        <v>723</v>
      </c>
      <c r="N63" s="5" t="s">
        <v>724</v>
      </c>
      <c r="O63" s="5" t="s">
        <v>725</v>
      </c>
      <c r="P63" s="5" t="s">
        <v>726</v>
      </c>
      <c r="Q63" s="5" t="s">
        <v>705</v>
      </c>
      <c r="R63" s="5" t="s">
        <v>711</v>
      </c>
      <c r="S63" s="5" t="s">
        <v>712</v>
      </c>
      <c r="T63" s="5" t="s">
        <v>713</v>
      </c>
      <c r="U63" s="5" t="s">
        <v>133</v>
      </c>
      <c r="V63" s="5" t="s">
        <v>721</v>
      </c>
      <c r="W63" s="5" t="s">
        <v>714</v>
      </c>
      <c r="X63" s="5" t="s">
        <v>715</v>
      </c>
      <c r="Y63" s="5" t="s">
        <v>716</v>
      </c>
      <c r="Z63" s="5" t="s">
        <v>206</v>
      </c>
      <c r="AA63" s="5" t="s">
        <v>97</v>
      </c>
      <c r="AB63" s="5" t="s">
        <v>717</v>
      </c>
      <c r="AC63" s="5" t="s">
        <v>192</v>
      </c>
      <c r="AD63" s="5" t="s">
        <v>99</v>
      </c>
      <c r="AE63" s="5" t="s">
        <v>193</v>
      </c>
      <c r="AF63" s="5" t="s">
        <v>101</v>
      </c>
      <c r="AG63" s="5" t="s">
        <v>102</v>
      </c>
      <c r="AH63" s="5">
        <v>22043</v>
      </c>
      <c r="AI63" s="5" t="s">
        <v>727</v>
      </c>
      <c r="AJ63" s="14" t="s">
        <v>728</v>
      </c>
      <c r="AK63" s="14"/>
      <c r="AL63" s="5">
        <v>3753</v>
      </c>
      <c r="AM63" s="5" t="s">
        <v>356</v>
      </c>
      <c r="AN63" s="5"/>
      <c r="AO63" s="5" t="s">
        <v>720</v>
      </c>
      <c r="AP63" s="5" t="s">
        <v>107</v>
      </c>
      <c r="AQ63" s="5"/>
    </row>
    <row r="64" spans="1:43" ht="42.75">
      <c r="A64" s="5">
        <v>63</v>
      </c>
      <c r="B64" s="5" t="s">
        <v>729</v>
      </c>
      <c r="C64" s="5" t="s">
        <v>729</v>
      </c>
      <c r="D64" s="5" t="s">
        <v>730</v>
      </c>
      <c r="E64" s="5" t="s">
        <v>705</v>
      </c>
      <c r="F64" s="5" t="s">
        <v>706</v>
      </c>
      <c r="G64" s="5" t="s">
        <v>80</v>
      </c>
      <c r="H64" s="5" t="s">
        <v>731</v>
      </c>
      <c r="I64" s="5">
        <v>4000</v>
      </c>
      <c r="J64" s="5">
        <v>5500</v>
      </c>
      <c r="K64" s="5" t="s">
        <v>341</v>
      </c>
      <c r="L64" s="5" t="s">
        <v>28</v>
      </c>
      <c r="M64" s="5" t="s">
        <v>732</v>
      </c>
      <c r="N64" s="5" t="s">
        <v>733</v>
      </c>
      <c r="O64" s="5" t="s">
        <v>734</v>
      </c>
      <c r="P64" s="5" t="s">
        <v>735</v>
      </c>
      <c r="Q64" s="5" t="s">
        <v>705</v>
      </c>
      <c r="R64" s="5" t="s">
        <v>736</v>
      </c>
      <c r="S64" s="5" t="s">
        <v>712</v>
      </c>
      <c r="T64" s="5" t="s">
        <v>713</v>
      </c>
      <c r="U64" s="5" t="s">
        <v>133</v>
      </c>
      <c r="V64" s="5" t="s">
        <v>729</v>
      </c>
      <c r="W64" s="5" t="s">
        <v>714</v>
      </c>
      <c r="X64" s="5" t="s">
        <v>715</v>
      </c>
      <c r="Y64" s="5" t="s">
        <v>716</v>
      </c>
      <c r="Z64" s="5" t="s">
        <v>206</v>
      </c>
      <c r="AA64" s="5" t="s">
        <v>97</v>
      </c>
      <c r="AB64" s="5" t="s">
        <v>717</v>
      </c>
      <c r="AC64" s="5" t="s">
        <v>192</v>
      </c>
      <c r="AD64" s="5" t="s">
        <v>99</v>
      </c>
      <c r="AE64" s="5" t="s">
        <v>193</v>
      </c>
      <c r="AF64" s="5" t="s">
        <v>101</v>
      </c>
      <c r="AG64" s="5" t="s">
        <v>102</v>
      </c>
      <c r="AH64" s="5">
        <v>22045</v>
      </c>
      <c r="AI64" s="5" t="s">
        <v>737</v>
      </c>
      <c r="AJ64" s="14" t="s">
        <v>738</v>
      </c>
      <c r="AK64" s="14"/>
      <c r="AL64" s="5">
        <v>3285</v>
      </c>
      <c r="AM64" s="5" t="s">
        <v>739</v>
      </c>
      <c r="AN64" s="5"/>
      <c r="AO64" s="5" t="s">
        <v>720</v>
      </c>
      <c r="AP64" s="5" t="s">
        <v>107</v>
      </c>
      <c r="AQ64" s="5"/>
    </row>
    <row r="65" spans="1:43" ht="42.75">
      <c r="A65" s="5">
        <v>64</v>
      </c>
      <c r="B65" s="5" t="s">
        <v>740</v>
      </c>
      <c r="C65" s="5" t="s">
        <v>740</v>
      </c>
      <c r="D65" s="5" t="s">
        <v>741</v>
      </c>
      <c r="E65" s="5" t="s">
        <v>705</v>
      </c>
      <c r="F65" s="5" t="s">
        <v>706</v>
      </c>
      <c r="G65" s="5" t="s">
        <v>80</v>
      </c>
      <c r="H65" s="5" t="s">
        <v>340</v>
      </c>
      <c r="I65" s="5">
        <v>4500</v>
      </c>
      <c r="J65" s="5">
        <v>6000</v>
      </c>
      <c r="K65" s="5" t="s">
        <v>341</v>
      </c>
      <c r="L65" s="5" t="s">
        <v>28</v>
      </c>
      <c r="M65" s="5" t="s">
        <v>742</v>
      </c>
      <c r="N65" s="5" t="s">
        <v>743</v>
      </c>
      <c r="O65" s="5" t="s">
        <v>744</v>
      </c>
      <c r="P65" s="5" t="s">
        <v>745</v>
      </c>
      <c r="Q65" s="5" t="s">
        <v>705</v>
      </c>
      <c r="R65" s="5" t="s">
        <v>736</v>
      </c>
      <c r="S65" s="5" t="s">
        <v>712</v>
      </c>
      <c r="T65" s="5" t="s">
        <v>713</v>
      </c>
      <c r="U65" s="5" t="s">
        <v>133</v>
      </c>
      <c r="V65" s="5" t="s">
        <v>740</v>
      </c>
      <c r="W65" s="5" t="s">
        <v>714</v>
      </c>
      <c r="X65" s="5" t="s">
        <v>715</v>
      </c>
      <c r="Y65" s="5" t="s">
        <v>716</v>
      </c>
      <c r="Z65" s="5" t="s">
        <v>206</v>
      </c>
      <c r="AA65" s="5" t="s">
        <v>97</v>
      </c>
      <c r="AB65" s="5" t="s">
        <v>717</v>
      </c>
      <c r="AC65" s="5" t="s">
        <v>192</v>
      </c>
      <c r="AD65" s="5" t="s">
        <v>99</v>
      </c>
      <c r="AE65" s="5" t="s">
        <v>193</v>
      </c>
      <c r="AF65" s="5" t="s">
        <v>101</v>
      </c>
      <c r="AG65" s="5" t="s">
        <v>102</v>
      </c>
      <c r="AH65" s="5">
        <v>22047</v>
      </c>
      <c r="AI65" s="5" t="s">
        <v>746</v>
      </c>
      <c r="AJ65" s="14" t="s">
        <v>747</v>
      </c>
      <c r="AK65" s="14"/>
      <c r="AL65" s="5">
        <v>3771</v>
      </c>
      <c r="AM65" s="5" t="s">
        <v>356</v>
      </c>
      <c r="AN65" s="5"/>
      <c r="AO65" s="5" t="s">
        <v>720</v>
      </c>
      <c r="AP65" s="5" t="s">
        <v>107</v>
      </c>
      <c r="AQ65" s="5"/>
    </row>
    <row r="66" spans="1:43" ht="42.75">
      <c r="A66" s="5">
        <v>65</v>
      </c>
      <c r="B66" s="5" t="s">
        <v>748</v>
      </c>
      <c r="C66" s="5" t="s">
        <v>748</v>
      </c>
      <c r="D66" s="5" t="s">
        <v>749</v>
      </c>
      <c r="E66" s="5" t="s">
        <v>705</v>
      </c>
      <c r="F66" s="5" t="s">
        <v>162</v>
      </c>
      <c r="G66" s="5" t="s">
        <v>162</v>
      </c>
      <c r="H66" s="5" t="s">
        <v>340</v>
      </c>
      <c r="I66" s="5">
        <v>4500</v>
      </c>
      <c r="J66" s="5">
        <v>6000</v>
      </c>
      <c r="K66" s="5" t="s">
        <v>341</v>
      </c>
      <c r="L66" s="5" t="s">
        <v>28</v>
      </c>
      <c r="M66" s="5" t="s">
        <v>750</v>
      </c>
      <c r="N66" s="5" t="s">
        <v>751</v>
      </c>
      <c r="O66" s="5" t="s">
        <v>752</v>
      </c>
      <c r="P66" s="5" t="s">
        <v>753</v>
      </c>
      <c r="Q66" s="5" t="s">
        <v>705</v>
      </c>
      <c r="R66" s="5" t="s">
        <v>754</v>
      </c>
      <c r="S66" s="5" t="s">
        <v>168</v>
      </c>
      <c r="T66" s="5" t="s">
        <v>169</v>
      </c>
      <c r="U66" s="5" t="s">
        <v>170</v>
      </c>
      <c r="V66" s="5" t="s">
        <v>748</v>
      </c>
      <c r="W66" s="5" t="s">
        <v>714</v>
      </c>
      <c r="X66" s="5" t="s">
        <v>715</v>
      </c>
      <c r="Y66" s="5" t="s">
        <v>716</v>
      </c>
      <c r="Z66" s="5" t="s">
        <v>206</v>
      </c>
      <c r="AA66" s="5" t="s">
        <v>97</v>
      </c>
      <c r="AB66" s="5" t="s">
        <v>717</v>
      </c>
      <c r="AC66" s="5" t="s">
        <v>192</v>
      </c>
      <c r="AD66" s="5" t="s">
        <v>99</v>
      </c>
      <c r="AE66" s="5" t="s">
        <v>193</v>
      </c>
      <c r="AF66" s="5" t="s">
        <v>101</v>
      </c>
      <c r="AG66" s="5" t="s">
        <v>102</v>
      </c>
      <c r="AH66" s="5">
        <v>22049</v>
      </c>
      <c r="AI66" s="5" t="s">
        <v>755</v>
      </c>
      <c r="AJ66" s="14" t="s">
        <v>756</v>
      </c>
      <c r="AK66" s="14"/>
      <c r="AL66" s="5">
        <v>3764</v>
      </c>
      <c r="AM66" s="5" t="s">
        <v>356</v>
      </c>
      <c r="AN66" s="5"/>
      <c r="AO66" s="5" t="s">
        <v>720</v>
      </c>
      <c r="AP66" s="5" t="s">
        <v>107</v>
      </c>
      <c r="AQ66" s="5"/>
    </row>
    <row r="67" spans="1:43" ht="42.75">
      <c r="A67" s="5">
        <v>66</v>
      </c>
      <c r="B67" s="5" t="s">
        <v>757</v>
      </c>
      <c r="C67" s="5" t="s">
        <v>757</v>
      </c>
      <c r="D67" s="5" t="s">
        <v>758</v>
      </c>
      <c r="E67" s="5" t="s">
        <v>705</v>
      </c>
      <c r="F67" s="5" t="s">
        <v>706</v>
      </c>
      <c r="G67" s="5" t="s">
        <v>80</v>
      </c>
      <c r="H67" s="5" t="s">
        <v>340</v>
      </c>
      <c r="I67" s="5">
        <v>4500</v>
      </c>
      <c r="J67" s="5">
        <v>6000</v>
      </c>
      <c r="K67" s="5" t="s">
        <v>341</v>
      </c>
      <c r="L67" s="5" t="s">
        <v>28</v>
      </c>
      <c r="M67" s="5" t="s">
        <v>759</v>
      </c>
      <c r="N67" s="5" t="s">
        <v>760</v>
      </c>
      <c r="O67" s="5" t="s">
        <v>761</v>
      </c>
      <c r="P67" s="5" t="s">
        <v>762</v>
      </c>
      <c r="Q67" s="5" t="s">
        <v>705</v>
      </c>
      <c r="R67" s="5" t="s">
        <v>736</v>
      </c>
      <c r="S67" s="5" t="s">
        <v>712</v>
      </c>
      <c r="T67" s="5" t="s">
        <v>713</v>
      </c>
      <c r="U67" s="5" t="s">
        <v>133</v>
      </c>
      <c r="V67" s="5" t="s">
        <v>757</v>
      </c>
      <c r="W67" s="5" t="s">
        <v>714</v>
      </c>
      <c r="X67" s="5" t="s">
        <v>715</v>
      </c>
      <c r="Y67" s="5" t="s">
        <v>716</v>
      </c>
      <c r="Z67" s="5" t="s">
        <v>206</v>
      </c>
      <c r="AA67" s="5" t="s">
        <v>97</v>
      </c>
      <c r="AB67" s="5" t="s">
        <v>717</v>
      </c>
      <c r="AC67" s="5" t="s">
        <v>192</v>
      </c>
      <c r="AD67" s="5" t="s">
        <v>99</v>
      </c>
      <c r="AE67" s="5" t="s">
        <v>193</v>
      </c>
      <c r="AF67" s="5" t="s">
        <v>101</v>
      </c>
      <c r="AG67" s="5" t="s">
        <v>102</v>
      </c>
      <c r="AH67" s="5">
        <v>22051</v>
      </c>
      <c r="AI67" s="5" t="s">
        <v>763</v>
      </c>
      <c r="AJ67" s="14" t="s">
        <v>764</v>
      </c>
      <c r="AK67" s="14"/>
      <c r="AL67" s="5">
        <v>3762</v>
      </c>
      <c r="AM67" s="5" t="s">
        <v>356</v>
      </c>
      <c r="AN67" s="5"/>
      <c r="AO67" s="5" t="s">
        <v>720</v>
      </c>
      <c r="AP67" s="5" t="s">
        <v>107</v>
      </c>
      <c r="AQ67" s="5"/>
    </row>
    <row r="68" spans="1:43" ht="42.75">
      <c r="A68" s="5">
        <v>67</v>
      </c>
      <c r="B68" s="5" t="s">
        <v>765</v>
      </c>
      <c r="C68" s="5" t="s">
        <v>765</v>
      </c>
      <c r="D68" s="5" t="s">
        <v>766</v>
      </c>
      <c r="E68" s="5" t="s">
        <v>705</v>
      </c>
      <c r="F68" s="5" t="s">
        <v>706</v>
      </c>
      <c r="G68" s="5" t="s">
        <v>80</v>
      </c>
      <c r="H68" s="5" t="s">
        <v>340</v>
      </c>
      <c r="I68" s="5">
        <v>4500</v>
      </c>
      <c r="J68" s="5">
        <v>6000</v>
      </c>
      <c r="K68" s="5" t="s">
        <v>341</v>
      </c>
      <c r="L68" s="5" t="s">
        <v>28</v>
      </c>
      <c r="M68" s="5" t="s">
        <v>767</v>
      </c>
      <c r="N68" s="5" t="s">
        <v>768</v>
      </c>
      <c r="O68" s="5" t="s">
        <v>769</v>
      </c>
      <c r="P68" s="5" t="s">
        <v>770</v>
      </c>
      <c r="Q68" s="5" t="s">
        <v>705</v>
      </c>
      <c r="R68" s="5" t="s">
        <v>736</v>
      </c>
      <c r="S68" s="5" t="s">
        <v>712</v>
      </c>
      <c r="T68" s="5" t="s">
        <v>713</v>
      </c>
      <c r="U68" s="5" t="s">
        <v>133</v>
      </c>
      <c r="V68" s="5" t="s">
        <v>765</v>
      </c>
      <c r="W68" s="5" t="s">
        <v>714</v>
      </c>
      <c r="X68" s="5" t="s">
        <v>715</v>
      </c>
      <c r="Y68" s="5" t="s">
        <v>716</v>
      </c>
      <c r="Z68" s="5" t="s">
        <v>206</v>
      </c>
      <c r="AA68" s="5" t="s">
        <v>97</v>
      </c>
      <c r="AB68" s="5" t="s">
        <v>717</v>
      </c>
      <c r="AC68" s="5" t="s">
        <v>192</v>
      </c>
      <c r="AD68" s="5" t="s">
        <v>99</v>
      </c>
      <c r="AE68" s="5" t="s">
        <v>193</v>
      </c>
      <c r="AF68" s="5" t="s">
        <v>101</v>
      </c>
      <c r="AG68" s="5" t="s">
        <v>102</v>
      </c>
      <c r="AH68" s="5">
        <v>22053</v>
      </c>
      <c r="AI68" s="5" t="s">
        <v>771</v>
      </c>
      <c r="AJ68" s="14" t="s">
        <v>772</v>
      </c>
      <c r="AK68" s="14"/>
      <c r="AL68" s="5">
        <v>3752</v>
      </c>
      <c r="AM68" s="5" t="s">
        <v>356</v>
      </c>
      <c r="AN68" s="5"/>
      <c r="AO68" s="5" t="s">
        <v>720</v>
      </c>
      <c r="AP68" s="5" t="s">
        <v>107</v>
      </c>
      <c r="AQ68" s="5"/>
    </row>
    <row r="69" spans="1:43" ht="42.75">
      <c r="A69" s="5">
        <v>68</v>
      </c>
      <c r="B69" s="5" t="s">
        <v>773</v>
      </c>
      <c r="C69" s="5" t="s">
        <v>773</v>
      </c>
      <c r="D69" s="5" t="s">
        <v>774</v>
      </c>
      <c r="E69" s="5" t="s">
        <v>705</v>
      </c>
      <c r="F69" s="5" t="s">
        <v>706</v>
      </c>
      <c r="G69" s="5" t="s">
        <v>181</v>
      </c>
      <c r="H69" s="5" t="s">
        <v>340</v>
      </c>
      <c r="I69" s="5">
        <v>4500</v>
      </c>
      <c r="J69" s="5">
        <v>6000</v>
      </c>
      <c r="K69" s="5" t="s">
        <v>341</v>
      </c>
      <c r="L69" s="5" t="s">
        <v>28</v>
      </c>
      <c r="M69" s="5" t="s">
        <v>775</v>
      </c>
      <c r="N69" s="5" t="s">
        <v>776</v>
      </c>
      <c r="O69" s="5" t="s">
        <v>777</v>
      </c>
      <c r="P69" s="5" t="s">
        <v>778</v>
      </c>
      <c r="Q69" s="5" t="s">
        <v>705</v>
      </c>
      <c r="R69" s="5" t="s">
        <v>736</v>
      </c>
      <c r="S69" s="5" t="s">
        <v>712</v>
      </c>
      <c r="T69" s="5" t="s">
        <v>713</v>
      </c>
      <c r="U69" s="5" t="s">
        <v>133</v>
      </c>
      <c r="V69" s="5" t="s">
        <v>773</v>
      </c>
      <c r="W69" s="5" t="s">
        <v>714</v>
      </c>
      <c r="X69" s="5" t="s">
        <v>715</v>
      </c>
      <c r="Y69" s="5" t="s">
        <v>716</v>
      </c>
      <c r="Z69" s="5" t="s">
        <v>206</v>
      </c>
      <c r="AA69" s="5" t="s">
        <v>97</v>
      </c>
      <c r="AB69" s="5" t="s">
        <v>717</v>
      </c>
      <c r="AC69" s="5" t="s">
        <v>192</v>
      </c>
      <c r="AD69" s="5" t="s">
        <v>99</v>
      </c>
      <c r="AE69" s="5" t="s">
        <v>193</v>
      </c>
      <c r="AF69" s="5" t="s">
        <v>101</v>
      </c>
      <c r="AG69" s="5" t="s">
        <v>102</v>
      </c>
      <c r="AH69" s="5">
        <v>22055</v>
      </c>
      <c r="AI69" s="5" t="s">
        <v>779</v>
      </c>
      <c r="AJ69" s="14" t="s">
        <v>780</v>
      </c>
      <c r="AK69" s="14"/>
      <c r="AL69" s="5">
        <v>3761</v>
      </c>
      <c r="AM69" s="5" t="s">
        <v>356</v>
      </c>
      <c r="AN69" s="5"/>
      <c r="AO69" s="5" t="s">
        <v>720</v>
      </c>
      <c r="AP69" s="5" t="s">
        <v>107</v>
      </c>
      <c r="AQ69" s="5"/>
    </row>
    <row r="70" spans="1:43" ht="42.75">
      <c r="A70" s="5">
        <v>69</v>
      </c>
      <c r="B70" s="5" t="s">
        <v>781</v>
      </c>
      <c r="C70" s="5" t="s">
        <v>781</v>
      </c>
      <c r="D70" s="5" t="s">
        <v>782</v>
      </c>
      <c r="E70" s="5" t="s">
        <v>705</v>
      </c>
      <c r="F70" s="5" t="s">
        <v>706</v>
      </c>
      <c r="G70" s="5" t="s">
        <v>80</v>
      </c>
      <c r="H70" s="5" t="s">
        <v>731</v>
      </c>
      <c r="I70" s="5">
        <v>4000</v>
      </c>
      <c r="J70" s="5">
        <v>5500</v>
      </c>
      <c r="K70" s="5" t="s">
        <v>341</v>
      </c>
      <c r="L70" s="5" t="s">
        <v>28</v>
      </c>
      <c r="M70" s="5" t="s">
        <v>783</v>
      </c>
      <c r="N70" s="5" t="s">
        <v>784</v>
      </c>
      <c r="O70" s="5" t="s">
        <v>785</v>
      </c>
      <c r="P70" s="5" t="s">
        <v>786</v>
      </c>
      <c r="Q70" s="5" t="s">
        <v>705</v>
      </c>
      <c r="R70" s="5" t="s">
        <v>736</v>
      </c>
      <c r="S70" s="5" t="s">
        <v>712</v>
      </c>
      <c r="T70" s="5" t="s">
        <v>713</v>
      </c>
      <c r="U70" s="5" t="s">
        <v>133</v>
      </c>
      <c r="V70" s="5" t="s">
        <v>781</v>
      </c>
      <c r="W70" s="5" t="s">
        <v>714</v>
      </c>
      <c r="X70" s="5" t="s">
        <v>715</v>
      </c>
      <c r="Y70" s="5" t="s">
        <v>716</v>
      </c>
      <c r="Z70" s="5" t="s">
        <v>206</v>
      </c>
      <c r="AA70" s="5" t="s">
        <v>97</v>
      </c>
      <c r="AB70" s="5" t="s">
        <v>717</v>
      </c>
      <c r="AC70" s="5" t="s">
        <v>192</v>
      </c>
      <c r="AD70" s="5" t="s">
        <v>99</v>
      </c>
      <c r="AE70" s="5" t="s">
        <v>193</v>
      </c>
      <c r="AF70" s="5" t="s">
        <v>101</v>
      </c>
      <c r="AG70" s="5" t="s">
        <v>102</v>
      </c>
      <c r="AH70" s="5">
        <v>22057</v>
      </c>
      <c r="AI70" s="5" t="s">
        <v>787</v>
      </c>
      <c r="AJ70" s="14" t="s">
        <v>788</v>
      </c>
      <c r="AK70" s="14"/>
      <c r="AL70" s="5">
        <v>3314</v>
      </c>
      <c r="AM70" s="5" t="s">
        <v>739</v>
      </c>
      <c r="AN70" s="5"/>
      <c r="AO70" s="5" t="s">
        <v>720</v>
      </c>
      <c r="AP70" s="5" t="s">
        <v>107</v>
      </c>
      <c r="AQ70" s="5"/>
    </row>
    <row r="71" spans="1:43" ht="42.75">
      <c r="A71" s="5">
        <v>70</v>
      </c>
      <c r="B71" s="5" t="s">
        <v>789</v>
      </c>
      <c r="C71" s="5" t="s">
        <v>789</v>
      </c>
      <c r="D71" s="5" t="s">
        <v>790</v>
      </c>
      <c r="E71" s="5" t="s">
        <v>705</v>
      </c>
      <c r="F71" s="5" t="s">
        <v>706</v>
      </c>
      <c r="G71" s="5" t="s">
        <v>80</v>
      </c>
      <c r="H71" s="5" t="s">
        <v>340</v>
      </c>
      <c r="I71" s="5">
        <v>4500</v>
      </c>
      <c r="J71" s="5">
        <v>6000</v>
      </c>
      <c r="K71" s="5" t="s">
        <v>341</v>
      </c>
      <c r="L71" s="5" t="s">
        <v>28</v>
      </c>
      <c r="M71" s="5" t="s">
        <v>791</v>
      </c>
      <c r="N71" s="5" t="s">
        <v>792</v>
      </c>
      <c r="O71" s="5" t="s">
        <v>793</v>
      </c>
      <c r="P71" s="5" t="s">
        <v>794</v>
      </c>
      <c r="Q71" s="5" t="s">
        <v>705</v>
      </c>
      <c r="R71" s="5" t="s">
        <v>736</v>
      </c>
      <c r="S71" s="5" t="s">
        <v>712</v>
      </c>
      <c r="T71" s="5" t="s">
        <v>713</v>
      </c>
      <c r="U71" s="5" t="s">
        <v>133</v>
      </c>
      <c r="V71" s="5" t="s">
        <v>789</v>
      </c>
      <c r="W71" s="5" t="s">
        <v>714</v>
      </c>
      <c r="X71" s="5" t="s">
        <v>715</v>
      </c>
      <c r="Y71" s="5" t="s">
        <v>716</v>
      </c>
      <c r="Z71" s="5" t="s">
        <v>206</v>
      </c>
      <c r="AA71" s="5" t="s">
        <v>97</v>
      </c>
      <c r="AB71" s="5" t="s">
        <v>717</v>
      </c>
      <c r="AC71" s="5" t="s">
        <v>192</v>
      </c>
      <c r="AD71" s="5" t="s">
        <v>99</v>
      </c>
      <c r="AE71" s="5" t="s">
        <v>193</v>
      </c>
      <c r="AF71" s="5" t="s">
        <v>101</v>
      </c>
      <c r="AG71" s="5" t="s">
        <v>102</v>
      </c>
      <c r="AH71" s="5">
        <v>22059</v>
      </c>
      <c r="AI71" s="5" t="s">
        <v>795</v>
      </c>
      <c r="AJ71" s="14" t="s">
        <v>796</v>
      </c>
      <c r="AK71" s="14"/>
      <c r="AL71" s="5">
        <v>3791</v>
      </c>
      <c r="AM71" s="5" t="s">
        <v>356</v>
      </c>
      <c r="AN71" s="5"/>
      <c r="AO71" s="5" t="s">
        <v>720</v>
      </c>
      <c r="AP71" s="5" t="s">
        <v>107</v>
      </c>
      <c r="AQ71" s="5"/>
    </row>
    <row r="72" spans="1:43" ht="42.75">
      <c r="A72" s="5">
        <v>71</v>
      </c>
      <c r="B72" s="5" t="s">
        <v>797</v>
      </c>
      <c r="C72" s="5" t="s">
        <v>797</v>
      </c>
      <c r="D72" s="5" t="s">
        <v>798</v>
      </c>
      <c r="E72" s="5" t="s">
        <v>705</v>
      </c>
      <c r="F72" s="5" t="s">
        <v>706</v>
      </c>
      <c r="G72" s="5" t="s">
        <v>80</v>
      </c>
      <c r="H72" s="5" t="s">
        <v>340</v>
      </c>
      <c r="I72" s="5">
        <v>4500</v>
      </c>
      <c r="J72" s="5">
        <v>6000</v>
      </c>
      <c r="K72" s="5" t="s">
        <v>341</v>
      </c>
      <c r="L72" s="5" t="s">
        <v>28</v>
      </c>
      <c r="M72" s="5" t="s">
        <v>799</v>
      </c>
      <c r="N72" s="5" t="s">
        <v>800</v>
      </c>
      <c r="O72" s="5" t="s">
        <v>801</v>
      </c>
      <c r="P72" s="5" t="s">
        <v>802</v>
      </c>
      <c r="Q72" s="5" t="s">
        <v>705</v>
      </c>
      <c r="R72" s="5" t="s">
        <v>803</v>
      </c>
      <c r="S72" s="5" t="s">
        <v>712</v>
      </c>
      <c r="T72" s="5" t="s">
        <v>713</v>
      </c>
      <c r="U72" s="5" t="s">
        <v>133</v>
      </c>
      <c r="V72" s="5" t="s">
        <v>797</v>
      </c>
      <c r="W72" s="5" t="s">
        <v>449</v>
      </c>
      <c r="X72" s="5" t="s">
        <v>450</v>
      </c>
      <c r="Y72" s="5" t="s">
        <v>451</v>
      </c>
      <c r="Z72" s="5" t="s">
        <v>452</v>
      </c>
      <c r="AA72" s="5" t="s">
        <v>97</v>
      </c>
      <c r="AB72" s="5" t="s">
        <v>453</v>
      </c>
      <c r="AC72" s="5" t="s">
        <v>192</v>
      </c>
      <c r="AD72" s="5" t="s">
        <v>99</v>
      </c>
      <c r="AE72" s="5" t="s">
        <v>193</v>
      </c>
      <c r="AF72" s="5" t="s">
        <v>101</v>
      </c>
      <c r="AG72" s="5" t="s">
        <v>102</v>
      </c>
      <c r="AH72" s="5">
        <v>22068</v>
      </c>
      <c r="AI72" s="5" t="s">
        <v>804</v>
      </c>
      <c r="AJ72" s="14" t="s">
        <v>805</v>
      </c>
      <c r="AK72" s="14"/>
      <c r="AL72" s="5">
        <v>3551</v>
      </c>
      <c r="AM72" s="5" t="s">
        <v>356</v>
      </c>
      <c r="AN72" s="5"/>
      <c r="AO72" s="5" t="s">
        <v>720</v>
      </c>
      <c r="AP72" s="5" t="s">
        <v>107</v>
      </c>
      <c r="AQ72" s="5"/>
    </row>
    <row r="73" spans="1:43" ht="42.75">
      <c r="A73" s="5">
        <v>72</v>
      </c>
      <c r="B73" s="5" t="s">
        <v>806</v>
      </c>
      <c r="C73" s="5" t="s">
        <v>806</v>
      </c>
      <c r="D73" s="5" t="s">
        <v>807</v>
      </c>
      <c r="E73" s="5" t="s">
        <v>705</v>
      </c>
      <c r="F73" s="5" t="s">
        <v>706</v>
      </c>
      <c r="G73" s="5" t="s">
        <v>181</v>
      </c>
      <c r="H73" s="5" t="s">
        <v>340</v>
      </c>
      <c r="I73" s="5">
        <v>4500</v>
      </c>
      <c r="J73" s="5">
        <v>6000</v>
      </c>
      <c r="K73" s="5" t="s">
        <v>341</v>
      </c>
      <c r="L73" s="5" t="s">
        <v>28</v>
      </c>
      <c r="M73" s="5" t="s">
        <v>808</v>
      </c>
      <c r="N73" s="5" t="s">
        <v>809</v>
      </c>
      <c r="O73" s="5" t="s">
        <v>810</v>
      </c>
      <c r="P73" s="5" t="s">
        <v>811</v>
      </c>
      <c r="Q73" s="5" t="s">
        <v>705</v>
      </c>
      <c r="R73" s="5" t="s">
        <v>812</v>
      </c>
      <c r="S73" s="5" t="s">
        <v>712</v>
      </c>
      <c r="T73" s="5" t="s">
        <v>713</v>
      </c>
      <c r="U73" s="5" t="s">
        <v>133</v>
      </c>
      <c r="V73" s="5" t="s">
        <v>813</v>
      </c>
      <c r="W73" s="5" t="s">
        <v>187</v>
      </c>
      <c r="X73" s="5" t="s">
        <v>188</v>
      </c>
      <c r="Y73" s="5" t="s">
        <v>189</v>
      </c>
      <c r="Z73" s="5" t="s">
        <v>190</v>
      </c>
      <c r="AA73" s="5" t="s">
        <v>97</v>
      </c>
      <c r="AB73" s="5" t="s">
        <v>191</v>
      </c>
      <c r="AC73" s="5" t="s">
        <v>192</v>
      </c>
      <c r="AD73" s="5" t="s">
        <v>99</v>
      </c>
      <c r="AE73" s="5" t="s">
        <v>193</v>
      </c>
      <c r="AF73" s="5" t="s">
        <v>101</v>
      </c>
      <c r="AG73" s="5" t="s">
        <v>102</v>
      </c>
      <c r="AH73" s="5">
        <v>22070</v>
      </c>
      <c r="AI73" s="5" t="s">
        <v>814</v>
      </c>
      <c r="AJ73" s="14" t="s">
        <v>815</v>
      </c>
      <c r="AK73" s="14"/>
      <c r="AL73" s="5">
        <v>3553</v>
      </c>
      <c r="AM73" s="5" t="s">
        <v>356</v>
      </c>
      <c r="AN73" s="5"/>
      <c r="AO73" s="5" t="s">
        <v>720</v>
      </c>
      <c r="AP73" s="5" t="s">
        <v>107</v>
      </c>
      <c r="AQ73" s="5"/>
    </row>
    <row r="74" spans="1:43" ht="42.75">
      <c r="A74" s="5">
        <v>73</v>
      </c>
      <c r="B74" s="5" t="s">
        <v>816</v>
      </c>
      <c r="C74" s="5" t="s">
        <v>816</v>
      </c>
      <c r="D74" s="5" t="s">
        <v>817</v>
      </c>
      <c r="E74" s="5" t="s">
        <v>705</v>
      </c>
      <c r="F74" s="5" t="s">
        <v>706</v>
      </c>
      <c r="G74" s="5" t="s">
        <v>80</v>
      </c>
      <c r="H74" s="5" t="s">
        <v>731</v>
      </c>
      <c r="I74" s="5">
        <v>4000</v>
      </c>
      <c r="J74" s="5">
        <v>5500</v>
      </c>
      <c r="K74" s="5" t="s">
        <v>341</v>
      </c>
      <c r="L74" s="5" t="s">
        <v>28</v>
      </c>
      <c r="M74" s="5" t="s">
        <v>818</v>
      </c>
      <c r="N74" s="5" t="s">
        <v>819</v>
      </c>
      <c r="O74" s="5" t="s">
        <v>820</v>
      </c>
      <c r="P74" s="5" t="s">
        <v>821</v>
      </c>
      <c r="Q74" s="5" t="s">
        <v>705</v>
      </c>
      <c r="R74" s="5" t="s">
        <v>812</v>
      </c>
      <c r="S74" s="5" t="s">
        <v>712</v>
      </c>
      <c r="T74" s="5" t="s">
        <v>713</v>
      </c>
      <c r="U74" s="5" t="s">
        <v>133</v>
      </c>
      <c r="V74" s="5" t="s">
        <v>816</v>
      </c>
      <c r="W74" s="5" t="s">
        <v>449</v>
      </c>
      <c r="X74" s="5" t="s">
        <v>450</v>
      </c>
      <c r="Y74" s="5" t="s">
        <v>451</v>
      </c>
      <c r="Z74" s="5" t="s">
        <v>452</v>
      </c>
      <c r="AA74" s="5" t="s">
        <v>97</v>
      </c>
      <c r="AB74" s="5" t="s">
        <v>453</v>
      </c>
      <c r="AC74" s="5" t="s">
        <v>192</v>
      </c>
      <c r="AD74" s="5" t="s">
        <v>99</v>
      </c>
      <c r="AE74" s="5" t="s">
        <v>193</v>
      </c>
      <c r="AF74" s="5" t="s">
        <v>101</v>
      </c>
      <c r="AG74" s="5" t="s">
        <v>102</v>
      </c>
      <c r="AH74" s="5">
        <v>22072</v>
      </c>
      <c r="AI74" s="5" t="s">
        <v>822</v>
      </c>
      <c r="AJ74" s="14" t="s">
        <v>823</v>
      </c>
      <c r="AK74" s="14"/>
      <c r="AL74" s="5">
        <v>3237</v>
      </c>
      <c r="AM74" s="5" t="s">
        <v>739</v>
      </c>
      <c r="AN74" s="5"/>
      <c r="AO74" s="5" t="s">
        <v>720</v>
      </c>
      <c r="AP74" s="5" t="s">
        <v>107</v>
      </c>
      <c r="AQ74" s="5"/>
    </row>
    <row r="75" spans="1:43" ht="42.75">
      <c r="A75" s="5">
        <v>74</v>
      </c>
      <c r="B75" s="5" t="s">
        <v>824</v>
      </c>
      <c r="C75" s="5" t="s">
        <v>824</v>
      </c>
      <c r="D75" s="5" t="s">
        <v>825</v>
      </c>
      <c r="E75" s="5" t="s">
        <v>705</v>
      </c>
      <c r="F75" s="5" t="s">
        <v>706</v>
      </c>
      <c r="G75" s="5" t="s">
        <v>80</v>
      </c>
      <c r="H75" s="5" t="s">
        <v>731</v>
      </c>
      <c r="I75" s="5">
        <v>4000</v>
      </c>
      <c r="J75" s="5">
        <v>5500</v>
      </c>
      <c r="K75" s="5" t="s">
        <v>341</v>
      </c>
      <c r="L75" s="5" t="s">
        <v>28</v>
      </c>
      <c r="M75" s="5" t="s">
        <v>826</v>
      </c>
      <c r="N75" s="5" t="s">
        <v>827</v>
      </c>
      <c r="O75" s="5" t="s">
        <v>828</v>
      </c>
      <c r="P75" s="5" t="s">
        <v>829</v>
      </c>
      <c r="Q75" s="5" t="s">
        <v>705</v>
      </c>
      <c r="R75" s="5" t="s">
        <v>812</v>
      </c>
      <c r="S75" s="5" t="s">
        <v>712</v>
      </c>
      <c r="T75" s="5" t="s">
        <v>713</v>
      </c>
      <c r="U75" s="5" t="s">
        <v>133</v>
      </c>
      <c r="V75" s="5" t="s">
        <v>824</v>
      </c>
      <c r="W75" s="5" t="s">
        <v>449</v>
      </c>
      <c r="X75" s="5" t="s">
        <v>450</v>
      </c>
      <c r="Y75" s="5" t="s">
        <v>451</v>
      </c>
      <c r="Z75" s="5" t="s">
        <v>452</v>
      </c>
      <c r="AA75" s="5" t="s">
        <v>97</v>
      </c>
      <c r="AB75" s="5" t="s">
        <v>453</v>
      </c>
      <c r="AC75" s="5" t="s">
        <v>192</v>
      </c>
      <c r="AD75" s="5" t="s">
        <v>99</v>
      </c>
      <c r="AE75" s="5" t="s">
        <v>193</v>
      </c>
      <c r="AF75" s="5" t="s">
        <v>101</v>
      </c>
      <c r="AG75" s="5" t="s">
        <v>102</v>
      </c>
      <c r="AH75" s="5">
        <v>22074</v>
      </c>
      <c r="AI75" s="5" t="s">
        <v>830</v>
      </c>
      <c r="AJ75" s="14" t="s">
        <v>831</v>
      </c>
      <c r="AK75" s="14"/>
      <c r="AL75" s="5">
        <v>3228</v>
      </c>
      <c r="AM75" s="5" t="s">
        <v>739</v>
      </c>
      <c r="AN75" s="5"/>
      <c r="AO75" s="5" t="s">
        <v>720</v>
      </c>
      <c r="AP75" s="5" t="s">
        <v>107</v>
      </c>
      <c r="AQ75" s="5"/>
    </row>
    <row r="76" spans="1:43" ht="42.75">
      <c r="A76" s="5">
        <v>75</v>
      </c>
      <c r="B76" s="5" t="s">
        <v>832</v>
      </c>
      <c r="C76" s="5" t="s">
        <v>832</v>
      </c>
      <c r="D76" s="5" t="s">
        <v>833</v>
      </c>
      <c r="E76" s="5" t="s">
        <v>705</v>
      </c>
      <c r="F76" s="5" t="s">
        <v>706</v>
      </c>
      <c r="G76" s="5" t="s">
        <v>80</v>
      </c>
      <c r="H76" s="5" t="s">
        <v>340</v>
      </c>
      <c r="I76" s="5">
        <v>4500</v>
      </c>
      <c r="J76" s="5">
        <v>6000</v>
      </c>
      <c r="K76" s="5" t="s">
        <v>341</v>
      </c>
      <c r="L76" s="5" t="s">
        <v>28</v>
      </c>
      <c r="M76" s="5" t="s">
        <v>834</v>
      </c>
      <c r="N76" s="5" t="s">
        <v>835</v>
      </c>
      <c r="O76" s="5" t="s">
        <v>836</v>
      </c>
      <c r="P76" s="5" t="s">
        <v>837</v>
      </c>
      <c r="Q76" s="5" t="s">
        <v>705</v>
      </c>
      <c r="R76" s="5" t="s">
        <v>812</v>
      </c>
      <c r="S76" s="5" t="s">
        <v>712</v>
      </c>
      <c r="T76" s="5" t="s">
        <v>713</v>
      </c>
      <c r="U76" s="5" t="s">
        <v>133</v>
      </c>
      <c r="V76" s="5" t="s">
        <v>832</v>
      </c>
      <c r="W76" s="5" t="s">
        <v>449</v>
      </c>
      <c r="X76" s="5" t="s">
        <v>450</v>
      </c>
      <c r="Y76" s="5" t="s">
        <v>451</v>
      </c>
      <c r="Z76" s="5" t="s">
        <v>452</v>
      </c>
      <c r="AA76" s="5" t="s">
        <v>97</v>
      </c>
      <c r="AB76" s="5" t="s">
        <v>453</v>
      </c>
      <c r="AC76" s="5" t="s">
        <v>192</v>
      </c>
      <c r="AD76" s="5" t="s">
        <v>99</v>
      </c>
      <c r="AE76" s="5" t="s">
        <v>193</v>
      </c>
      <c r="AF76" s="5" t="s">
        <v>101</v>
      </c>
      <c r="AG76" s="5" t="s">
        <v>102</v>
      </c>
      <c r="AH76" s="5">
        <v>22076</v>
      </c>
      <c r="AI76" s="5" t="s">
        <v>838</v>
      </c>
      <c r="AJ76" s="14" t="s">
        <v>839</v>
      </c>
      <c r="AK76" s="14"/>
      <c r="AL76" s="5">
        <v>3552</v>
      </c>
      <c r="AM76" s="5" t="s">
        <v>356</v>
      </c>
      <c r="AN76" s="5"/>
      <c r="AO76" s="5" t="s">
        <v>720</v>
      </c>
      <c r="AP76" s="5" t="s">
        <v>107</v>
      </c>
      <c r="AQ76" s="5"/>
    </row>
    <row r="77" spans="1:43" ht="42.75">
      <c r="A77" s="5">
        <v>76</v>
      </c>
      <c r="B77" s="5" t="s">
        <v>840</v>
      </c>
      <c r="C77" s="5" t="s">
        <v>840</v>
      </c>
      <c r="D77" s="5" t="s">
        <v>841</v>
      </c>
      <c r="E77" s="5" t="s">
        <v>705</v>
      </c>
      <c r="F77" s="5" t="s">
        <v>706</v>
      </c>
      <c r="G77" s="5" t="s">
        <v>80</v>
      </c>
      <c r="H77" s="5" t="s">
        <v>340</v>
      </c>
      <c r="I77" s="5">
        <v>4500</v>
      </c>
      <c r="J77" s="5">
        <v>6000</v>
      </c>
      <c r="K77" s="5" t="s">
        <v>341</v>
      </c>
      <c r="L77" s="5" t="s">
        <v>28</v>
      </c>
      <c r="M77" s="5" t="s">
        <v>842</v>
      </c>
      <c r="N77" s="5" t="s">
        <v>843</v>
      </c>
      <c r="O77" s="5" t="s">
        <v>1533</v>
      </c>
      <c r="P77" s="5" t="s">
        <v>845</v>
      </c>
      <c r="Q77" s="5" t="s">
        <v>705</v>
      </c>
      <c r="R77" s="5" t="s">
        <v>812</v>
      </c>
      <c r="S77" s="5" t="s">
        <v>712</v>
      </c>
      <c r="T77" s="5" t="s">
        <v>713</v>
      </c>
      <c r="U77" s="5" t="s">
        <v>133</v>
      </c>
      <c r="V77" s="5" t="s">
        <v>840</v>
      </c>
      <c r="W77" s="5" t="s">
        <v>449</v>
      </c>
      <c r="X77" s="5" t="s">
        <v>450</v>
      </c>
      <c r="Y77" s="5" t="s">
        <v>451</v>
      </c>
      <c r="Z77" s="5" t="s">
        <v>452</v>
      </c>
      <c r="AA77" s="5" t="s">
        <v>97</v>
      </c>
      <c r="AB77" s="5" t="s">
        <v>453</v>
      </c>
      <c r="AC77" s="5" t="s">
        <v>192</v>
      </c>
      <c r="AD77" s="5" t="s">
        <v>99</v>
      </c>
      <c r="AE77" s="5" t="s">
        <v>193</v>
      </c>
      <c r="AF77" s="5" t="s">
        <v>101</v>
      </c>
      <c r="AG77" s="5" t="s">
        <v>102</v>
      </c>
      <c r="AH77" s="5">
        <v>22079</v>
      </c>
      <c r="AI77" s="5" t="s">
        <v>846</v>
      </c>
      <c r="AJ77" s="14" t="s">
        <v>847</v>
      </c>
      <c r="AK77" s="14"/>
      <c r="AL77" s="5">
        <v>3568</v>
      </c>
      <c r="AM77" s="5" t="s">
        <v>356</v>
      </c>
      <c r="AN77" s="5"/>
      <c r="AO77" s="5" t="s">
        <v>720</v>
      </c>
      <c r="AP77" s="5" t="s">
        <v>107</v>
      </c>
      <c r="AQ77" s="5"/>
    </row>
    <row r="78" spans="1:43" ht="42.75">
      <c r="A78" s="5">
        <v>77</v>
      </c>
      <c r="B78" s="5" t="s">
        <v>848</v>
      </c>
      <c r="C78" s="5" t="s">
        <v>848</v>
      </c>
      <c r="D78" s="5" t="s">
        <v>849</v>
      </c>
      <c r="E78" s="5" t="s">
        <v>705</v>
      </c>
      <c r="F78" s="5" t="s">
        <v>706</v>
      </c>
      <c r="G78" s="5" t="s">
        <v>80</v>
      </c>
      <c r="H78" s="5" t="s">
        <v>340</v>
      </c>
      <c r="I78" s="5">
        <v>4500</v>
      </c>
      <c r="J78" s="5">
        <v>6000</v>
      </c>
      <c r="K78" s="5" t="s">
        <v>341</v>
      </c>
      <c r="L78" s="5" t="s">
        <v>28</v>
      </c>
      <c r="M78" s="5" t="s">
        <v>850</v>
      </c>
      <c r="N78" s="5" t="s">
        <v>851</v>
      </c>
      <c r="O78" s="5" t="s">
        <v>446</v>
      </c>
      <c r="P78" s="5" t="s">
        <v>852</v>
      </c>
      <c r="Q78" s="5" t="s">
        <v>705</v>
      </c>
      <c r="R78" s="5" t="s">
        <v>853</v>
      </c>
      <c r="S78" s="5" t="s">
        <v>89</v>
      </c>
      <c r="T78" s="5" t="s">
        <v>90</v>
      </c>
      <c r="U78" s="5" t="s">
        <v>91</v>
      </c>
      <c r="V78" s="5" t="s">
        <v>848</v>
      </c>
      <c r="W78" s="5" t="s">
        <v>449</v>
      </c>
      <c r="X78" s="5" t="s">
        <v>450</v>
      </c>
      <c r="Y78" s="5" t="s">
        <v>451</v>
      </c>
      <c r="Z78" s="5" t="s">
        <v>452</v>
      </c>
      <c r="AA78" s="5" t="s">
        <v>97</v>
      </c>
      <c r="AB78" s="5" t="s">
        <v>453</v>
      </c>
      <c r="AC78" s="5" t="s">
        <v>192</v>
      </c>
      <c r="AD78" s="5" t="s">
        <v>99</v>
      </c>
      <c r="AE78" s="5" t="s">
        <v>193</v>
      </c>
      <c r="AF78" s="5" t="s">
        <v>854</v>
      </c>
      <c r="AG78" s="5" t="s">
        <v>102</v>
      </c>
      <c r="AH78" s="5">
        <v>21983</v>
      </c>
      <c r="AI78" s="5" t="s">
        <v>454</v>
      </c>
      <c r="AJ78" s="14"/>
      <c r="AK78" s="14"/>
      <c r="AL78" s="5">
        <v>3551</v>
      </c>
      <c r="AM78" s="5" t="s">
        <v>356</v>
      </c>
      <c r="AN78" s="5" t="s">
        <v>855</v>
      </c>
      <c r="AO78" s="5" t="s">
        <v>720</v>
      </c>
      <c r="AP78" s="5" t="s">
        <v>107</v>
      </c>
      <c r="AQ78" s="5"/>
    </row>
    <row r="79" spans="1:43" ht="42.75">
      <c r="A79" s="5">
        <v>78</v>
      </c>
      <c r="B79" s="5" t="s">
        <v>856</v>
      </c>
      <c r="C79" s="5" t="s">
        <v>856</v>
      </c>
      <c r="D79" s="5" t="s">
        <v>857</v>
      </c>
      <c r="E79" s="5" t="s">
        <v>705</v>
      </c>
      <c r="F79" s="5" t="s">
        <v>162</v>
      </c>
      <c r="G79" s="5" t="s">
        <v>162</v>
      </c>
      <c r="H79" s="5" t="s">
        <v>340</v>
      </c>
      <c r="I79" s="5">
        <v>4500</v>
      </c>
      <c r="J79" s="5">
        <v>6000</v>
      </c>
      <c r="K79" s="5" t="s">
        <v>341</v>
      </c>
      <c r="L79" s="5" t="s">
        <v>28</v>
      </c>
      <c r="M79" s="5" t="s">
        <v>858</v>
      </c>
      <c r="N79" s="5" t="s">
        <v>859</v>
      </c>
      <c r="O79" s="5" t="s">
        <v>860</v>
      </c>
      <c r="P79" s="5" t="s">
        <v>861</v>
      </c>
      <c r="Q79" s="5" t="s">
        <v>705</v>
      </c>
      <c r="R79" s="5" t="s">
        <v>862</v>
      </c>
      <c r="S79" s="5" t="s">
        <v>168</v>
      </c>
      <c r="T79" s="5" t="s">
        <v>169</v>
      </c>
      <c r="U79" s="5" t="s">
        <v>170</v>
      </c>
      <c r="V79" s="5" t="s">
        <v>856</v>
      </c>
      <c r="W79" s="5" t="s">
        <v>449</v>
      </c>
      <c r="X79" s="5" t="s">
        <v>450</v>
      </c>
      <c r="Y79" s="5" t="s">
        <v>451</v>
      </c>
      <c r="Z79" s="5" t="s">
        <v>452</v>
      </c>
      <c r="AA79" s="5" t="s">
        <v>97</v>
      </c>
      <c r="AB79" s="5" t="s">
        <v>453</v>
      </c>
      <c r="AC79" s="5" t="s">
        <v>192</v>
      </c>
      <c r="AD79" s="5" t="s">
        <v>99</v>
      </c>
      <c r="AE79" s="5" t="s">
        <v>193</v>
      </c>
      <c r="AF79" s="5" t="s">
        <v>101</v>
      </c>
      <c r="AG79" s="5" t="s">
        <v>102</v>
      </c>
      <c r="AH79" s="5">
        <v>22081</v>
      </c>
      <c r="AI79" s="5" t="s">
        <v>863</v>
      </c>
      <c r="AJ79" s="14" t="s">
        <v>864</v>
      </c>
      <c r="AK79" s="14"/>
      <c r="AL79" s="5">
        <v>3554</v>
      </c>
      <c r="AM79" s="5" t="s">
        <v>356</v>
      </c>
      <c r="AN79" s="5"/>
      <c r="AO79" s="5" t="s">
        <v>720</v>
      </c>
      <c r="AP79" s="5" t="s">
        <v>107</v>
      </c>
      <c r="AQ79" s="5"/>
    </row>
    <row r="80" spans="1:43" ht="42.75">
      <c r="A80" s="5">
        <v>79</v>
      </c>
      <c r="B80" s="5" t="s">
        <v>865</v>
      </c>
      <c r="C80" s="5" t="s">
        <v>865</v>
      </c>
      <c r="D80" s="5" t="s">
        <v>866</v>
      </c>
      <c r="E80" s="5" t="s">
        <v>705</v>
      </c>
      <c r="F80" s="5" t="s">
        <v>706</v>
      </c>
      <c r="G80" s="5" t="s">
        <v>80</v>
      </c>
      <c r="H80" s="5" t="s">
        <v>340</v>
      </c>
      <c r="I80" s="5">
        <v>4500</v>
      </c>
      <c r="J80" s="5">
        <v>6000</v>
      </c>
      <c r="K80" s="5" t="s">
        <v>341</v>
      </c>
      <c r="L80" s="5" t="s">
        <v>28</v>
      </c>
      <c r="M80" s="5" t="s">
        <v>867</v>
      </c>
      <c r="N80" s="5" t="s">
        <v>868</v>
      </c>
      <c r="O80" s="5" t="s">
        <v>869</v>
      </c>
      <c r="P80" s="5" t="s">
        <v>870</v>
      </c>
      <c r="Q80" s="5" t="s">
        <v>705</v>
      </c>
      <c r="R80" s="5" t="s">
        <v>812</v>
      </c>
      <c r="S80" s="5" t="s">
        <v>712</v>
      </c>
      <c r="T80" s="5" t="s">
        <v>713</v>
      </c>
      <c r="U80" s="5" t="s">
        <v>133</v>
      </c>
      <c r="V80" s="5" t="s">
        <v>865</v>
      </c>
      <c r="W80" s="5" t="s">
        <v>449</v>
      </c>
      <c r="X80" s="5" t="s">
        <v>450</v>
      </c>
      <c r="Y80" s="5" t="s">
        <v>451</v>
      </c>
      <c r="Z80" s="5" t="s">
        <v>452</v>
      </c>
      <c r="AA80" s="5" t="s">
        <v>97</v>
      </c>
      <c r="AB80" s="5" t="s">
        <v>453</v>
      </c>
      <c r="AC80" s="5" t="s">
        <v>192</v>
      </c>
      <c r="AD80" s="5" t="s">
        <v>99</v>
      </c>
      <c r="AE80" s="5" t="s">
        <v>193</v>
      </c>
      <c r="AF80" s="5" t="s">
        <v>101</v>
      </c>
      <c r="AG80" s="5" t="s">
        <v>102</v>
      </c>
      <c r="AH80" s="5">
        <v>22083</v>
      </c>
      <c r="AI80" s="5" t="s">
        <v>871</v>
      </c>
      <c r="AJ80" s="14" t="s">
        <v>872</v>
      </c>
      <c r="AK80" s="14"/>
      <c r="AL80" s="5">
        <v>3554</v>
      </c>
      <c r="AM80" s="5" t="s">
        <v>356</v>
      </c>
      <c r="AN80" s="5"/>
      <c r="AO80" s="5" t="s">
        <v>720</v>
      </c>
      <c r="AP80" s="5" t="s">
        <v>107</v>
      </c>
      <c r="AQ80" s="5"/>
    </row>
    <row r="81" spans="1:43" ht="42.75">
      <c r="A81" s="5">
        <v>80</v>
      </c>
      <c r="B81" s="5" t="s">
        <v>873</v>
      </c>
      <c r="C81" s="5" t="s">
        <v>873</v>
      </c>
      <c r="D81" s="5" t="s">
        <v>874</v>
      </c>
      <c r="E81" s="5" t="s">
        <v>705</v>
      </c>
      <c r="F81" s="5" t="s">
        <v>706</v>
      </c>
      <c r="G81" s="5" t="s">
        <v>80</v>
      </c>
      <c r="H81" s="5" t="s">
        <v>340</v>
      </c>
      <c r="I81" s="5">
        <v>4500</v>
      </c>
      <c r="J81" s="5">
        <v>6000</v>
      </c>
      <c r="K81" s="5" t="s">
        <v>341</v>
      </c>
      <c r="L81" s="5" t="s">
        <v>28</v>
      </c>
      <c r="M81" s="5" t="s">
        <v>875</v>
      </c>
      <c r="N81" s="5" t="s">
        <v>876</v>
      </c>
      <c r="O81" s="5" t="s">
        <v>877</v>
      </c>
      <c r="P81" s="5" t="s">
        <v>878</v>
      </c>
      <c r="Q81" s="5" t="s">
        <v>705</v>
      </c>
      <c r="R81" s="5" t="s">
        <v>812</v>
      </c>
      <c r="S81" s="5" t="s">
        <v>712</v>
      </c>
      <c r="T81" s="5" t="s">
        <v>713</v>
      </c>
      <c r="U81" s="5" t="s">
        <v>133</v>
      </c>
      <c r="V81" s="5" t="s">
        <v>873</v>
      </c>
      <c r="W81" s="5" t="s">
        <v>449</v>
      </c>
      <c r="X81" s="5" t="s">
        <v>450</v>
      </c>
      <c r="Y81" s="5" t="s">
        <v>451</v>
      </c>
      <c r="Z81" s="5" t="s">
        <v>452</v>
      </c>
      <c r="AA81" s="5" t="s">
        <v>97</v>
      </c>
      <c r="AB81" s="5" t="s">
        <v>453</v>
      </c>
      <c r="AC81" s="5" t="s">
        <v>192</v>
      </c>
      <c r="AD81" s="5" t="s">
        <v>99</v>
      </c>
      <c r="AE81" s="5" t="s">
        <v>193</v>
      </c>
      <c r="AF81" s="5" t="s">
        <v>101</v>
      </c>
      <c r="AG81" s="5" t="s">
        <v>102</v>
      </c>
      <c r="AH81" s="5">
        <v>22085</v>
      </c>
      <c r="AI81" s="5" t="s">
        <v>879</v>
      </c>
      <c r="AJ81" s="14" t="s">
        <v>880</v>
      </c>
      <c r="AK81" s="14"/>
      <c r="AL81" s="5">
        <v>3567</v>
      </c>
      <c r="AM81" s="5" t="s">
        <v>356</v>
      </c>
      <c r="AN81" s="5"/>
      <c r="AO81" s="5" t="s">
        <v>720</v>
      </c>
      <c r="AP81" s="5" t="s">
        <v>107</v>
      </c>
      <c r="AQ81" s="5"/>
    </row>
  </sheetData>
  <phoneticPr fontId="7"/>
  <conditionalFormatting sqref="AC2:AC81">
    <cfRule type="expression" dxfId="34" priority="1">
      <formula>AC2="完了"</formula>
    </cfRule>
    <cfRule type="expression" dxfId="33" priority="2">
      <formula>AC2="OK"</formula>
    </cfRule>
    <cfRule type="expression" dxfId="32" priority="3">
      <formula>AC2="error"</formula>
    </cfRule>
    <cfRule type="expression" dxfId="31" priority="4">
      <formula>AC2="不足"</formula>
    </cfRule>
    <cfRule type="expression" dxfId="30" priority="5">
      <formula>AC2="超過"</formula>
    </cfRule>
    <cfRule type="expression" dxfId="29" priority="6">
      <formula>AC2="差替必要"</formula>
    </cfRule>
    <cfRule type="expression" dxfId="28" priority="7">
      <formula>AC2="要再編集"</formula>
    </cfRule>
  </conditionalFormatting>
  <conditionalFormatting sqref="AD2:AD81">
    <cfRule type="expression" dxfId="27" priority="8">
      <formula>AD2="完了"</formula>
    </cfRule>
    <cfRule type="expression" dxfId="26" priority="9">
      <formula>AD2="OK"</formula>
    </cfRule>
    <cfRule type="expression" dxfId="25" priority="10">
      <formula>AD2="error"</formula>
    </cfRule>
    <cfRule type="expression" dxfId="24" priority="11">
      <formula>AD2="不足"</formula>
    </cfRule>
    <cfRule type="expression" dxfId="23" priority="12">
      <formula>AD2="超過"</formula>
    </cfRule>
    <cfRule type="expression" dxfId="22" priority="13">
      <formula>AD2="差替必要"</formula>
    </cfRule>
    <cfRule type="expression" dxfId="21" priority="14">
      <formula>AD2="要再編集"</formula>
    </cfRule>
  </conditionalFormatting>
  <conditionalFormatting sqref="AE2:AE81">
    <cfRule type="expression" dxfId="20" priority="15">
      <formula>AE2="完了"</formula>
    </cfRule>
    <cfRule type="expression" dxfId="19" priority="16">
      <formula>AE2="OK"</formula>
    </cfRule>
    <cfRule type="expression" dxfId="18" priority="17">
      <formula>AE2="error"</formula>
    </cfRule>
    <cfRule type="expression" dxfId="17" priority="18">
      <formula>AE2="不足"</formula>
    </cfRule>
    <cfRule type="expression" dxfId="16" priority="19">
      <formula>AE2="超過"</formula>
    </cfRule>
    <cfRule type="expression" dxfId="15" priority="20">
      <formula>AE2="差替必要"</formula>
    </cfRule>
    <cfRule type="expression" dxfId="14" priority="21">
      <formula>AE2="要再編集"</formula>
    </cfRule>
  </conditionalFormatting>
  <conditionalFormatting sqref="AF2:AF81">
    <cfRule type="expression" dxfId="13" priority="22">
      <formula>AF2="完了"</formula>
    </cfRule>
    <cfRule type="expression" dxfId="12" priority="23">
      <formula>AF2="OK"</formula>
    </cfRule>
    <cfRule type="expression" dxfId="11" priority="24">
      <formula>AF2="error"</formula>
    </cfRule>
    <cfRule type="expression" dxfId="10" priority="25">
      <formula>AF2="不足"</formula>
    </cfRule>
    <cfRule type="expression" dxfId="9" priority="26">
      <formula>AF2="超過"</formula>
    </cfRule>
    <cfRule type="expression" dxfId="8" priority="27">
      <formula>AF2="差替必要"</formula>
    </cfRule>
    <cfRule type="expression" dxfId="7" priority="28">
      <formula>AF2="要再編集"</formula>
    </cfRule>
  </conditionalFormatting>
  <conditionalFormatting sqref="AM2:AM81">
    <cfRule type="expression" dxfId="6" priority="29">
      <formula>AM2="完了"</formula>
    </cfRule>
    <cfRule type="expression" dxfId="5" priority="30">
      <formula>AM2="OK"</formula>
    </cfRule>
    <cfRule type="expression" dxfId="4" priority="31">
      <formula>AM2="error"</formula>
    </cfRule>
    <cfRule type="expression" dxfId="3" priority="32">
      <formula>AM2="不足"</formula>
    </cfRule>
    <cfRule type="expression" dxfId="2" priority="33">
      <formula>AM2="超過"</formula>
    </cfRule>
    <cfRule type="expression" dxfId="1" priority="34">
      <formula>AM2="差替必要"</formula>
    </cfRule>
    <cfRule type="expression" dxfId="0" priority="35">
      <formula>AM2="要再編集"</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9">
        <x14:dataValidation type="list" xr:uid="{00000000-0002-0000-0100-000000000000}">
          <x14:formula1>
            <xm:f>設定!$A$2:$A$7</xm:f>
          </x14:formula1>
          <xm:sqref>AC2:AC81</xm:sqref>
        </x14:dataValidation>
        <x14:dataValidation type="list" xr:uid="{00000000-0002-0000-0100-000001000000}">
          <x14:formula1>
            <xm:f>設定!$B$2:$B$7</xm:f>
          </x14:formula1>
          <xm:sqref>AD2:AD81</xm:sqref>
        </x14:dataValidation>
        <x14:dataValidation type="list" xr:uid="{00000000-0002-0000-0100-000002000000}">
          <x14:formula1>
            <xm:f>設定!$C$2:$C$5</xm:f>
          </x14:formula1>
          <xm:sqref>AE2:AE81</xm:sqref>
        </x14:dataValidation>
        <x14:dataValidation type="list" xr:uid="{00000000-0002-0000-0100-000003000000}">
          <x14:formula1>
            <xm:f>設定!$D$2:$D$9</xm:f>
          </x14:formula1>
          <xm:sqref>AF2:AF81</xm:sqref>
        </x14:dataValidation>
        <x14:dataValidation type="list" xr:uid="{00000000-0002-0000-0100-000004000000}">
          <x14:formula1>
            <xm:f>設定!$E$2:$E$4</xm:f>
          </x14:formula1>
          <xm:sqref>AG2:AG81</xm:sqref>
        </x14:dataValidation>
        <x14:dataValidation type="list" xr:uid="{00000000-0002-0000-0100-000005000000}">
          <x14:formula1>
            <xm:f>設定!$F$2:$F$10</xm:f>
          </x14:formula1>
          <xm:sqref>S2:S81</xm:sqref>
        </x14:dataValidation>
        <x14:dataValidation type="list" xr:uid="{00000000-0002-0000-0100-000006000000}">
          <x14:formula1>
            <xm:f>設定!$G$2:$G$8</xm:f>
          </x14:formula1>
          <xm:sqref>T2:T81</xm:sqref>
        </x14:dataValidation>
        <x14:dataValidation type="list" xr:uid="{00000000-0002-0000-0100-000007000000}">
          <x14:formula1>
            <xm:f>設定!$H$2:$H$7</xm:f>
          </x14:formula1>
          <xm:sqref>G2:G81</xm:sqref>
        </x14:dataValidation>
        <x14:dataValidation type="list" xr:uid="{00000000-0002-0000-0100-000008000000}">
          <x14:formula1>
            <xm:f>設定!$I$2:$I$13</xm:f>
          </x14:formula1>
          <xm:sqref>AB2:AB81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81"/>
  <sheetViews>
    <sheetView workbookViewId="0"/>
  </sheetViews>
  <sheetFormatPr defaultRowHeight="14.25"/>
  <cols>
    <col min="1" max="1" width="6" customWidth="1"/>
    <col min="2" max="2" width="24" customWidth="1"/>
    <col min="3" max="3" width="12" customWidth="1"/>
    <col min="4" max="4" width="28" customWidth="1"/>
    <col min="5" max="5" width="36" customWidth="1"/>
    <col min="6" max="6" width="32" customWidth="1"/>
    <col min="7" max="7" width="38" customWidth="1"/>
    <col min="8" max="8" width="26" customWidth="1"/>
    <col min="9" max="9" width="14" customWidth="1"/>
    <col min="10" max="10" width="24" customWidth="1"/>
    <col min="11" max="11" width="20" customWidth="1"/>
  </cols>
  <sheetData>
    <row r="1" spans="1:11" ht="30">
      <c r="A1" s="10" t="s">
        <v>35</v>
      </c>
      <c r="B1" s="10" t="s">
        <v>36</v>
      </c>
      <c r="C1" s="10" t="s">
        <v>47</v>
      </c>
      <c r="D1" s="10" t="s">
        <v>55</v>
      </c>
      <c r="E1" s="10" t="s">
        <v>56</v>
      </c>
      <c r="F1" s="10" t="s">
        <v>881</v>
      </c>
      <c r="G1" s="10" t="s">
        <v>58</v>
      </c>
      <c r="H1" s="10" t="s">
        <v>59</v>
      </c>
      <c r="I1" s="10" t="s">
        <v>60</v>
      </c>
      <c r="J1" s="10" t="s">
        <v>882</v>
      </c>
      <c r="K1" s="10" t="s">
        <v>76</v>
      </c>
    </row>
    <row r="2" spans="1:11">
      <c r="A2" s="3">
        <v>1</v>
      </c>
      <c r="B2" s="3" t="s">
        <v>77</v>
      </c>
      <c r="C2" s="3" t="s">
        <v>84</v>
      </c>
      <c r="D2" s="3" t="s">
        <v>92</v>
      </c>
      <c r="E2" s="3" t="s">
        <v>93</v>
      </c>
      <c r="F2" s="3" t="s">
        <v>94</v>
      </c>
      <c r="G2" s="3" t="s">
        <v>95</v>
      </c>
      <c r="H2" s="3" t="s">
        <v>96</v>
      </c>
      <c r="I2" s="3" t="s">
        <v>97</v>
      </c>
      <c r="J2" s="3" t="s">
        <v>98</v>
      </c>
      <c r="K2" s="3"/>
    </row>
    <row r="3" spans="1:11">
      <c r="A3" s="3">
        <v>2</v>
      </c>
      <c r="B3" s="3" t="s">
        <v>108</v>
      </c>
      <c r="C3" s="3" t="s">
        <v>111</v>
      </c>
      <c r="D3" s="3" t="s">
        <v>117</v>
      </c>
      <c r="E3" s="3" t="s">
        <v>118</v>
      </c>
      <c r="F3" s="3" t="s">
        <v>119</v>
      </c>
      <c r="G3" s="3" t="s">
        <v>120</v>
      </c>
      <c r="H3" s="3" t="s">
        <v>121</v>
      </c>
      <c r="I3" s="3" t="s">
        <v>97</v>
      </c>
      <c r="J3" s="3" t="s">
        <v>122</v>
      </c>
      <c r="K3" s="3"/>
    </row>
    <row r="4" spans="1:11">
      <c r="A4" s="3">
        <v>3</v>
      </c>
      <c r="B4" s="3" t="s">
        <v>125</v>
      </c>
      <c r="C4" s="3" t="s">
        <v>128</v>
      </c>
      <c r="D4" s="3" t="s">
        <v>134</v>
      </c>
      <c r="E4" s="3" t="s">
        <v>135</v>
      </c>
      <c r="F4" s="3" t="s">
        <v>136</v>
      </c>
      <c r="G4" s="3" t="s">
        <v>137</v>
      </c>
      <c r="H4" s="3" t="s">
        <v>138</v>
      </c>
      <c r="I4" s="3" t="s">
        <v>97</v>
      </c>
      <c r="J4" s="3" t="s">
        <v>139</v>
      </c>
      <c r="K4" s="3"/>
    </row>
    <row r="5" spans="1:11">
      <c r="A5" s="3">
        <v>4</v>
      </c>
      <c r="B5" s="3" t="s">
        <v>142</v>
      </c>
      <c r="C5" s="3" t="s">
        <v>147</v>
      </c>
      <c r="D5" s="3" t="s">
        <v>151</v>
      </c>
      <c r="E5" s="3" t="s">
        <v>152</v>
      </c>
      <c r="F5" s="3" t="s">
        <v>153</v>
      </c>
      <c r="G5" s="3" t="s">
        <v>154</v>
      </c>
      <c r="H5" s="3" t="s">
        <v>155</v>
      </c>
      <c r="I5" s="3" t="s">
        <v>97</v>
      </c>
      <c r="J5" s="3" t="s">
        <v>156</v>
      </c>
      <c r="K5" s="3"/>
    </row>
    <row r="6" spans="1:11">
      <c r="A6" s="3">
        <v>5</v>
      </c>
      <c r="B6" s="3" t="s">
        <v>160</v>
      </c>
      <c r="C6" s="3" t="s">
        <v>164</v>
      </c>
      <c r="D6" s="3" t="s">
        <v>171</v>
      </c>
      <c r="E6" s="3" t="s">
        <v>172</v>
      </c>
      <c r="F6" s="3" t="s">
        <v>173</v>
      </c>
      <c r="G6" s="3" t="s">
        <v>174</v>
      </c>
      <c r="H6" s="3" t="s">
        <v>175</v>
      </c>
      <c r="I6" s="3" t="s">
        <v>97</v>
      </c>
      <c r="J6" s="3" t="s">
        <v>176</v>
      </c>
      <c r="K6" s="3"/>
    </row>
    <row r="7" spans="1:11">
      <c r="A7" s="3">
        <v>6</v>
      </c>
      <c r="B7" s="3" t="s">
        <v>179</v>
      </c>
      <c r="C7" s="3" t="s">
        <v>183</v>
      </c>
      <c r="D7" s="3" t="s">
        <v>186</v>
      </c>
      <c r="E7" s="3" t="s">
        <v>187</v>
      </c>
      <c r="F7" s="3" t="s">
        <v>188</v>
      </c>
      <c r="G7" s="3" t="s">
        <v>189</v>
      </c>
      <c r="H7" s="3" t="s">
        <v>190</v>
      </c>
      <c r="I7" s="3" t="s">
        <v>97</v>
      </c>
      <c r="J7" s="3" t="s">
        <v>191</v>
      </c>
      <c r="K7" s="3"/>
    </row>
    <row r="8" spans="1:11">
      <c r="A8" s="3">
        <v>7</v>
      </c>
      <c r="B8" s="3" t="s">
        <v>196</v>
      </c>
      <c r="C8" s="3" t="s">
        <v>199</v>
      </c>
      <c r="D8" s="3" t="s">
        <v>202</v>
      </c>
      <c r="E8" s="3" t="s">
        <v>203</v>
      </c>
      <c r="F8" s="3" t="s">
        <v>204</v>
      </c>
      <c r="G8" s="3" t="s">
        <v>205</v>
      </c>
      <c r="H8" s="3" t="s">
        <v>206</v>
      </c>
      <c r="I8" s="3" t="s">
        <v>97</v>
      </c>
      <c r="J8" s="3" t="s">
        <v>207</v>
      </c>
      <c r="K8" s="3"/>
    </row>
    <row r="9" spans="1:11">
      <c r="A9" s="3">
        <v>8</v>
      </c>
      <c r="B9" s="3" t="s">
        <v>210</v>
      </c>
      <c r="C9" s="3" t="s">
        <v>213</v>
      </c>
      <c r="D9" s="3" t="s">
        <v>216</v>
      </c>
      <c r="E9" s="3" t="s">
        <v>217</v>
      </c>
      <c r="F9" s="3" t="s">
        <v>218</v>
      </c>
      <c r="G9" s="3" t="s">
        <v>219</v>
      </c>
      <c r="H9" s="3" t="s">
        <v>190</v>
      </c>
      <c r="I9" s="3" t="s">
        <v>97</v>
      </c>
      <c r="J9" s="3" t="s">
        <v>220</v>
      </c>
      <c r="K9" s="3"/>
    </row>
    <row r="10" spans="1:11">
      <c r="A10" s="3">
        <v>9</v>
      </c>
      <c r="B10" s="3" t="s">
        <v>223</v>
      </c>
      <c r="C10" s="3" t="s">
        <v>226</v>
      </c>
      <c r="D10" s="3" t="s">
        <v>229</v>
      </c>
      <c r="E10" s="3" t="s">
        <v>217</v>
      </c>
      <c r="F10" s="3" t="s">
        <v>218</v>
      </c>
      <c r="G10" s="3" t="s">
        <v>219</v>
      </c>
      <c r="H10" s="3" t="s">
        <v>190</v>
      </c>
      <c r="I10" s="3" t="s">
        <v>97</v>
      </c>
      <c r="J10" s="3" t="s">
        <v>220</v>
      </c>
      <c r="K10" s="3"/>
    </row>
    <row r="11" spans="1:11">
      <c r="A11" s="3">
        <v>10</v>
      </c>
      <c r="B11" s="3" t="s">
        <v>232</v>
      </c>
      <c r="C11" s="3" t="s">
        <v>235</v>
      </c>
      <c r="D11" s="3" t="s">
        <v>238</v>
      </c>
      <c r="E11" s="3" t="s">
        <v>239</v>
      </c>
      <c r="F11" s="3" t="s">
        <v>240</v>
      </c>
      <c r="G11" s="3" t="s">
        <v>241</v>
      </c>
      <c r="H11" s="3" t="s">
        <v>242</v>
      </c>
      <c r="I11" s="3" t="s">
        <v>97</v>
      </c>
      <c r="J11" s="3" t="s">
        <v>243</v>
      </c>
      <c r="K11" s="3"/>
    </row>
    <row r="12" spans="1:11">
      <c r="A12" s="3">
        <v>11</v>
      </c>
      <c r="B12" s="3" t="s">
        <v>246</v>
      </c>
      <c r="C12" s="3" t="s">
        <v>250</v>
      </c>
      <c r="D12" s="3" t="s">
        <v>253</v>
      </c>
      <c r="E12" s="3" t="s">
        <v>239</v>
      </c>
      <c r="F12" s="3" t="s">
        <v>240</v>
      </c>
      <c r="G12" s="3" t="s">
        <v>241</v>
      </c>
      <c r="H12" s="3" t="s">
        <v>242</v>
      </c>
      <c r="I12" s="3" t="s">
        <v>97</v>
      </c>
      <c r="J12" s="3" t="s">
        <v>243</v>
      </c>
      <c r="K12" s="3"/>
    </row>
    <row r="13" spans="1:11">
      <c r="A13" s="3">
        <v>12</v>
      </c>
      <c r="B13" s="3" t="s">
        <v>261</v>
      </c>
      <c r="C13" s="3" t="s">
        <v>264</v>
      </c>
      <c r="D13" s="3" t="s">
        <v>267</v>
      </c>
      <c r="E13" s="3" t="s">
        <v>239</v>
      </c>
      <c r="F13" s="3" t="s">
        <v>240</v>
      </c>
      <c r="G13" s="3" t="s">
        <v>241</v>
      </c>
      <c r="H13" s="3" t="s">
        <v>242</v>
      </c>
      <c r="I13" s="3" t="s">
        <v>97</v>
      </c>
      <c r="J13" s="3" t="s">
        <v>243</v>
      </c>
      <c r="K13" s="3"/>
    </row>
    <row r="14" spans="1:11">
      <c r="A14" s="3">
        <v>13</v>
      </c>
      <c r="B14" s="3" t="s">
        <v>270</v>
      </c>
      <c r="C14" s="3" t="s">
        <v>273</v>
      </c>
      <c r="D14" s="3" t="s">
        <v>276</v>
      </c>
      <c r="E14" s="3" t="s">
        <v>239</v>
      </c>
      <c r="F14" s="3" t="s">
        <v>240</v>
      </c>
      <c r="G14" s="3" t="s">
        <v>241</v>
      </c>
      <c r="H14" s="3" t="s">
        <v>242</v>
      </c>
      <c r="I14" s="3" t="s">
        <v>97</v>
      </c>
      <c r="J14" s="3" t="s">
        <v>243</v>
      </c>
      <c r="K14" s="3"/>
    </row>
    <row r="15" spans="1:11">
      <c r="A15" s="3">
        <v>14</v>
      </c>
      <c r="B15" s="3" t="s">
        <v>279</v>
      </c>
      <c r="C15" s="3" t="s">
        <v>282</v>
      </c>
      <c r="D15" s="3" t="s">
        <v>285</v>
      </c>
      <c r="E15" s="3" t="s">
        <v>239</v>
      </c>
      <c r="F15" s="3" t="s">
        <v>240</v>
      </c>
      <c r="G15" s="3" t="s">
        <v>241</v>
      </c>
      <c r="H15" s="3" t="s">
        <v>242</v>
      </c>
      <c r="I15" s="3" t="s">
        <v>97</v>
      </c>
      <c r="J15" s="3" t="s">
        <v>243</v>
      </c>
      <c r="K15" s="3"/>
    </row>
    <row r="16" spans="1:11">
      <c r="A16" s="3">
        <v>15</v>
      </c>
      <c r="B16" s="3" t="s">
        <v>288</v>
      </c>
      <c r="C16" s="3" t="s">
        <v>291</v>
      </c>
      <c r="D16" s="3" t="s">
        <v>294</v>
      </c>
      <c r="E16" s="3" t="s">
        <v>239</v>
      </c>
      <c r="F16" s="3" t="s">
        <v>240</v>
      </c>
      <c r="G16" s="3" t="s">
        <v>241</v>
      </c>
      <c r="H16" s="3" t="s">
        <v>242</v>
      </c>
      <c r="I16" s="3" t="s">
        <v>97</v>
      </c>
      <c r="J16" s="3" t="s">
        <v>243</v>
      </c>
      <c r="K16" s="3"/>
    </row>
    <row r="17" spans="1:11">
      <c r="A17" s="3">
        <v>16</v>
      </c>
      <c r="B17" s="3" t="s">
        <v>297</v>
      </c>
      <c r="C17" s="3" t="s">
        <v>300</v>
      </c>
      <c r="D17" s="3" t="s">
        <v>303</v>
      </c>
      <c r="E17" s="3" t="s">
        <v>239</v>
      </c>
      <c r="F17" s="3" t="s">
        <v>240</v>
      </c>
      <c r="G17" s="3" t="s">
        <v>241</v>
      </c>
      <c r="H17" s="3" t="s">
        <v>242</v>
      </c>
      <c r="I17" s="3" t="s">
        <v>97</v>
      </c>
      <c r="J17" s="3" t="s">
        <v>243</v>
      </c>
      <c r="K17" s="3"/>
    </row>
    <row r="18" spans="1:11">
      <c r="A18" s="3">
        <v>17</v>
      </c>
      <c r="B18" s="3" t="s">
        <v>306</v>
      </c>
      <c r="C18" s="3" t="s">
        <v>311</v>
      </c>
      <c r="D18" s="3" t="s">
        <v>314</v>
      </c>
      <c r="E18" s="3" t="s">
        <v>239</v>
      </c>
      <c r="F18" s="3" t="s">
        <v>240</v>
      </c>
      <c r="G18" s="3" t="s">
        <v>241</v>
      </c>
      <c r="H18" s="3" t="s">
        <v>242</v>
      </c>
      <c r="I18" s="3" t="s">
        <v>97</v>
      </c>
      <c r="J18" s="3" t="s">
        <v>243</v>
      </c>
      <c r="K18" s="3"/>
    </row>
    <row r="19" spans="1:11">
      <c r="A19" s="3">
        <v>18</v>
      </c>
      <c r="B19" s="3" t="s">
        <v>317</v>
      </c>
      <c r="C19" s="3" t="s">
        <v>320</v>
      </c>
      <c r="D19" s="3" t="s">
        <v>323</v>
      </c>
      <c r="E19" s="3" t="s">
        <v>239</v>
      </c>
      <c r="F19" s="3" t="s">
        <v>240</v>
      </c>
      <c r="G19" s="3" t="s">
        <v>241</v>
      </c>
      <c r="H19" s="3" t="s">
        <v>242</v>
      </c>
      <c r="I19" s="3" t="s">
        <v>97</v>
      </c>
      <c r="J19" s="3" t="s">
        <v>243</v>
      </c>
      <c r="K19" s="3"/>
    </row>
    <row r="20" spans="1:11">
      <c r="A20" s="3">
        <v>19</v>
      </c>
      <c r="B20" s="3" t="s">
        <v>326</v>
      </c>
      <c r="C20" s="3" t="s">
        <v>329</v>
      </c>
      <c r="D20" s="3" t="s">
        <v>332</v>
      </c>
      <c r="E20" s="3" t="s">
        <v>239</v>
      </c>
      <c r="F20" s="3" t="s">
        <v>240</v>
      </c>
      <c r="G20" s="3" t="s">
        <v>241</v>
      </c>
      <c r="H20" s="3" t="s">
        <v>242</v>
      </c>
      <c r="I20" s="3" t="s">
        <v>97</v>
      </c>
      <c r="J20" s="3" t="s">
        <v>243</v>
      </c>
      <c r="K20" s="3"/>
    </row>
    <row r="21" spans="1:11" ht="28.5">
      <c r="A21" s="3">
        <v>20</v>
      </c>
      <c r="B21" s="3" t="s">
        <v>335</v>
      </c>
      <c r="C21" s="3" t="s">
        <v>343</v>
      </c>
      <c r="D21" s="3" t="s">
        <v>335</v>
      </c>
      <c r="E21" s="3" t="s">
        <v>349</v>
      </c>
      <c r="F21" s="3" t="s">
        <v>350</v>
      </c>
      <c r="G21" s="3" t="s">
        <v>351</v>
      </c>
      <c r="H21" s="3" t="s">
        <v>352</v>
      </c>
      <c r="I21" s="3" t="s">
        <v>97</v>
      </c>
      <c r="J21" s="3" t="s">
        <v>353</v>
      </c>
      <c r="K21" s="3"/>
    </row>
    <row r="22" spans="1:11" ht="28.5">
      <c r="A22" s="3">
        <v>21</v>
      </c>
      <c r="B22" s="3" t="s">
        <v>358</v>
      </c>
      <c r="C22" s="3" t="s">
        <v>361</v>
      </c>
      <c r="D22" s="3" t="s">
        <v>358</v>
      </c>
      <c r="E22" s="3" t="s">
        <v>349</v>
      </c>
      <c r="F22" s="3" t="s">
        <v>350</v>
      </c>
      <c r="G22" s="3" t="s">
        <v>351</v>
      </c>
      <c r="H22" s="3" t="s">
        <v>352</v>
      </c>
      <c r="I22" s="3" t="s">
        <v>97</v>
      </c>
      <c r="J22" s="3" t="s">
        <v>353</v>
      </c>
      <c r="K22" s="3"/>
    </row>
    <row r="23" spans="1:11" ht="28.5">
      <c r="A23" s="3">
        <v>22</v>
      </c>
      <c r="B23" s="3" t="s">
        <v>366</v>
      </c>
      <c r="C23" s="3" t="s">
        <v>369</v>
      </c>
      <c r="D23" s="3" t="s">
        <v>366</v>
      </c>
      <c r="E23" s="3" t="s">
        <v>349</v>
      </c>
      <c r="F23" s="3" t="s">
        <v>350</v>
      </c>
      <c r="G23" s="3" t="s">
        <v>351</v>
      </c>
      <c r="H23" s="3" t="s">
        <v>352</v>
      </c>
      <c r="I23" s="3" t="s">
        <v>97</v>
      </c>
      <c r="J23" s="3" t="s">
        <v>353</v>
      </c>
      <c r="K23" s="3"/>
    </row>
    <row r="24" spans="1:11" ht="28.5">
      <c r="A24" s="3">
        <v>23</v>
      </c>
      <c r="B24" s="3" t="s">
        <v>374</v>
      </c>
      <c r="C24" s="3" t="s">
        <v>377</v>
      </c>
      <c r="D24" s="3" t="s">
        <v>374</v>
      </c>
      <c r="E24" s="3" t="s">
        <v>349</v>
      </c>
      <c r="F24" s="3" t="s">
        <v>350</v>
      </c>
      <c r="G24" s="3" t="s">
        <v>351</v>
      </c>
      <c r="H24" s="3" t="s">
        <v>352</v>
      </c>
      <c r="I24" s="3" t="s">
        <v>97</v>
      </c>
      <c r="J24" s="3" t="s">
        <v>353</v>
      </c>
      <c r="K24" s="3"/>
    </row>
    <row r="25" spans="1:11" ht="28.5">
      <c r="A25" s="3">
        <v>24</v>
      </c>
      <c r="B25" s="3" t="s">
        <v>382</v>
      </c>
      <c r="C25" s="3" t="s">
        <v>385</v>
      </c>
      <c r="D25" s="3" t="s">
        <v>382</v>
      </c>
      <c r="E25" s="3" t="s">
        <v>349</v>
      </c>
      <c r="F25" s="3" t="s">
        <v>350</v>
      </c>
      <c r="G25" s="3" t="s">
        <v>351</v>
      </c>
      <c r="H25" s="3" t="s">
        <v>352</v>
      </c>
      <c r="I25" s="3" t="s">
        <v>97</v>
      </c>
      <c r="J25" s="3" t="s">
        <v>353</v>
      </c>
      <c r="K25" s="3"/>
    </row>
    <row r="26" spans="1:11" ht="28.5">
      <c r="A26" s="3">
        <v>25</v>
      </c>
      <c r="B26" s="3" t="s">
        <v>390</v>
      </c>
      <c r="C26" s="3" t="s">
        <v>394</v>
      </c>
      <c r="D26" s="3" t="s">
        <v>398</v>
      </c>
      <c r="E26" s="3" t="s">
        <v>187</v>
      </c>
      <c r="F26" s="3" t="s">
        <v>188</v>
      </c>
      <c r="G26" s="3" t="s">
        <v>189</v>
      </c>
      <c r="H26" s="3" t="s">
        <v>190</v>
      </c>
      <c r="I26" s="3" t="s">
        <v>97</v>
      </c>
      <c r="J26" s="3" t="s">
        <v>191</v>
      </c>
      <c r="K26" s="3"/>
    </row>
    <row r="27" spans="1:11" ht="28.5">
      <c r="A27" s="3">
        <v>26</v>
      </c>
      <c r="B27" s="3" t="s">
        <v>401</v>
      </c>
      <c r="C27" s="3" t="s">
        <v>404</v>
      </c>
      <c r="D27" s="3" t="s">
        <v>407</v>
      </c>
      <c r="E27" s="3" t="s">
        <v>187</v>
      </c>
      <c r="F27" s="3" t="s">
        <v>188</v>
      </c>
      <c r="G27" s="3" t="s">
        <v>189</v>
      </c>
      <c r="H27" s="3" t="s">
        <v>190</v>
      </c>
      <c r="I27" s="3" t="s">
        <v>97</v>
      </c>
      <c r="J27" s="3" t="s">
        <v>191</v>
      </c>
      <c r="K27" s="3"/>
    </row>
    <row r="28" spans="1:11">
      <c r="A28" s="3">
        <v>27</v>
      </c>
      <c r="B28" s="3" t="s">
        <v>410</v>
      </c>
      <c r="C28" s="3" t="s">
        <v>413</v>
      </c>
      <c r="D28" s="3" t="s">
        <v>92</v>
      </c>
      <c r="E28" s="3" t="s">
        <v>93</v>
      </c>
      <c r="F28" s="3" t="s">
        <v>94</v>
      </c>
      <c r="G28" s="3" t="s">
        <v>95</v>
      </c>
      <c r="H28" s="3" t="s">
        <v>96</v>
      </c>
      <c r="I28" s="3" t="s">
        <v>97</v>
      </c>
      <c r="J28" s="3" t="s">
        <v>98</v>
      </c>
      <c r="K28" s="3"/>
    </row>
    <row r="29" spans="1:11">
      <c r="A29" s="3">
        <v>28</v>
      </c>
      <c r="B29" s="3" t="s">
        <v>418</v>
      </c>
      <c r="C29" s="3" t="s">
        <v>421</v>
      </c>
      <c r="D29" s="3" t="s">
        <v>418</v>
      </c>
      <c r="E29" s="3" t="s">
        <v>217</v>
      </c>
      <c r="F29" s="3" t="s">
        <v>218</v>
      </c>
      <c r="G29" s="3" t="s">
        <v>219</v>
      </c>
      <c r="H29" s="3" t="s">
        <v>190</v>
      </c>
      <c r="I29" s="3" t="s">
        <v>97</v>
      </c>
      <c r="J29" s="3" t="s">
        <v>220</v>
      </c>
      <c r="K29" s="3"/>
    </row>
    <row r="30" spans="1:11">
      <c r="A30" s="3">
        <v>29</v>
      </c>
      <c r="B30" s="3" t="s">
        <v>426</v>
      </c>
      <c r="C30" s="3" t="s">
        <v>429</v>
      </c>
      <c r="D30" s="3" t="s">
        <v>426</v>
      </c>
      <c r="E30" s="3" t="s">
        <v>217</v>
      </c>
      <c r="F30" s="3" t="s">
        <v>218</v>
      </c>
      <c r="G30" s="3" t="s">
        <v>219</v>
      </c>
      <c r="H30" s="3" t="s">
        <v>190</v>
      </c>
      <c r="I30" s="3" t="s">
        <v>97</v>
      </c>
      <c r="J30" s="3" t="s">
        <v>220</v>
      </c>
      <c r="K30" s="3"/>
    </row>
    <row r="31" spans="1:11">
      <c r="A31" s="3">
        <v>30</v>
      </c>
      <c r="B31" s="3" t="s">
        <v>434</v>
      </c>
      <c r="C31" s="3" t="s">
        <v>437</v>
      </c>
      <c r="D31" s="3" t="s">
        <v>434</v>
      </c>
      <c r="E31" s="3" t="s">
        <v>217</v>
      </c>
      <c r="F31" s="3" t="s">
        <v>218</v>
      </c>
      <c r="G31" s="3" t="s">
        <v>219</v>
      </c>
      <c r="H31" s="3" t="s">
        <v>190</v>
      </c>
      <c r="I31" s="3" t="s">
        <v>97</v>
      </c>
      <c r="J31" s="3" t="s">
        <v>220</v>
      </c>
      <c r="K31" s="3"/>
    </row>
    <row r="32" spans="1:11">
      <c r="A32" s="3">
        <v>31</v>
      </c>
      <c r="B32" s="3" t="s">
        <v>442</v>
      </c>
      <c r="C32" s="3" t="s">
        <v>445</v>
      </c>
      <c r="D32" s="3" t="s">
        <v>442</v>
      </c>
      <c r="E32" s="3" t="s">
        <v>449</v>
      </c>
      <c r="F32" s="3" t="s">
        <v>450</v>
      </c>
      <c r="G32" s="3" t="s">
        <v>451</v>
      </c>
      <c r="H32" s="3" t="s">
        <v>452</v>
      </c>
      <c r="I32" s="3" t="s">
        <v>97</v>
      </c>
      <c r="J32" s="3" t="s">
        <v>453</v>
      </c>
      <c r="K32" s="3"/>
    </row>
    <row r="33" spans="1:11">
      <c r="A33" s="3">
        <v>32</v>
      </c>
      <c r="B33" s="3" t="s">
        <v>456</v>
      </c>
      <c r="C33" s="3" t="s">
        <v>459</v>
      </c>
      <c r="D33" s="3" t="s">
        <v>456</v>
      </c>
      <c r="E33" s="3" t="s">
        <v>217</v>
      </c>
      <c r="F33" s="3" t="s">
        <v>218</v>
      </c>
      <c r="G33" s="3" t="s">
        <v>219</v>
      </c>
      <c r="H33" s="3" t="s">
        <v>190</v>
      </c>
      <c r="I33" s="3" t="s">
        <v>97</v>
      </c>
      <c r="J33" s="3" t="s">
        <v>220</v>
      </c>
      <c r="K33" s="3"/>
    </row>
    <row r="34" spans="1:11">
      <c r="A34" s="3">
        <v>33</v>
      </c>
      <c r="B34" s="3" t="s">
        <v>464</v>
      </c>
      <c r="C34" s="3" t="s">
        <v>469</v>
      </c>
      <c r="D34" s="3" t="s">
        <v>464</v>
      </c>
      <c r="E34" s="3" t="s">
        <v>203</v>
      </c>
      <c r="F34" s="3" t="s">
        <v>204</v>
      </c>
      <c r="G34" s="3" t="s">
        <v>205</v>
      </c>
      <c r="H34" s="3" t="s">
        <v>206</v>
      </c>
      <c r="I34" s="3" t="s">
        <v>97</v>
      </c>
      <c r="J34" s="3" t="s">
        <v>207</v>
      </c>
      <c r="K34" s="3"/>
    </row>
    <row r="35" spans="1:11">
      <c r="A35" s="3">
        <v>34</v>
      </c>
      <c r="B35" s="3" t="s">
        <v>476</v>
      </c>
      <c r="C35" s="3" t="s">
        <v>479</v>
      </c>
      <c r="D35" s="3" t="s">
        <v>476</v>
      </c>
      <c r="E35" s="3" t="s">
        <v>203</v>
      </c>
      <c r="F35" s="3" t="s">
        <v>204</v>
      </c>
      <c r="G35" s="3" t="s">
        <v>205</v>
      </c>
      <c r="H35" s="3" t="s">
        <v>206</v>
      </c>
      <c r="I35" s="3" t="s">
        <v>97</v>
      </c>
      <c r="J35" s="3" t="s">
        <v>207</v>
      </c>
      <c r="K35" s="3"/>
    </row>
    <row r="36" spans="1:11">
      <c r="A36" s="3">
        <v>35</v>
      </c>
      <c r="B36" s="3" t="s">
        <v>484</v>
      </c>
      <c r="C36" s="3" t="s">
        <v>487</v>
      </c>
      <c r="D36" s="3" t="s">
        <v>484</v>
      </c>
      <c r="E36" s="3" t="s">
        <v>203</v>
      </c>
      <c r="F36" s="3" t="s">
        <v>204</v>
      </c>
      <c r="G36" s="3" t="s">
        <v>205</v>
      </c>
      <c r="H36" s="3" t="s">
        <v>206</v>
      </c>
      <c r="I36" s="3" t="s">
        <v>97</v>
      </c>
      <c r="J36" s="3" t="s">
        <v>207</v>
      </c>
      <c r="K36" s="3"/>
    </row>
    <row r="37" spans="1:11">
      <c r="A37" s="3">
        <v>36</v>
      </c>
      <c r="B37" s="3" t="s">
        <v>493</v>
      </c>
      <c r="C37" s="3" t="s">
        <v>496</v>
      </c>
      <c r="D37" s="3" t="s">
        <v>493</v>
      </c>
      <c r="E37" s="3" t="s">
        <v>203</v>
      </c>
      <c r="F37" s="3" t="s">
        <v>204</v>
      </c>
      <c r="G37" s="3" t="s">
        <v>205</v>
      </c>
      <c r="H37" s="3" t="s">
        <v>206</v>
      </c>
      <c r="I37" s="3" t="s">
        <v>97</v>
      </c>
      <c r="J37" s="3" t="s">
        <v>207</v>
      </c>
      <c r="K37" s="3"/>
    </row>
    <row r="38" spans="1:11">
      <c r="A38" s="3">
        <v>37</v>
      </c>
      <c r="B38" s="3" t="s">
        <v>502</v>
      </c>
      <c r="C38" s="3" t="s">
        <v>505</v>
      </c>
      <c r="D38" s="3" t="s">
        <v>502</v>
      </c>
      <c r="E38" s="3" t="s">
        <v>203</v>
      </c>
      <c r="F38" s="3" t="s">
        <v>204</v>
      </c>
      <c r="G38" s="3" t="s">
        <v>205</v>
      </c>
      <c r="H38" s="3" t="s">
        <v>206</v>
      </c>
      <c r="I38" s="3" t="s">
        <v>97</v>
      </c>
      <c r="J38" s="3" t="s">
        <v>207</v>
      </c>
      <c r="K38" s="3"/>
    </row>
    <row r="39" spans="1:11">
      <c r="A39" s="3">
        <v>38</v>
      </c>
      <c r="B39" s="3" t="s">
        <v>511</v>
      </c>
      <c r="C39" s="3" t="s">
        <v>514</v>
      </c>
      <c r="D39" s="3" t="s">
        <v>511</v>
      </c>
      <c r="E39" s="3" t="s">
        <v>203</v>
      </c>
      <c r="F39" s="3" t="s">
        <v>204</v>
      </c>
      <c r="G39" s="3" t="s">
        <v>205</v>
      </c>
      <c r="H39" s="3" t="s">
        <v>206</v>
      </c>
      <c r="I39" s="3" t="s">
        <v>97</v>
      </c>
      <c r="J39" s="3" t="s">
        <v>207</v>
      </c>
      <c r="K39" s="3"/>
    </row>
    <row r="40" spans="1:11">
      <c r="A40" s="3">
        <v>39</v>
      </c>
      <c r="B40" s="3" t="s">
        <v>523</v>
      </c>
      <c r="C40" s="3" t="s">
        <v>526</v>
      </c>
      <c r="D40" s="3" t="s">
        <v>523</v>
      </c>
      <c r="E40" s="3" t="s">
        <v>203</v>
      </c>
      <c r="F40" s="3" t="s">
        <v>204</v>
      </c>
      <c r="G40" s="3" t="s">
        <v>205</v>
      </c>
      <c r="H40" s="3" t="s">
        <v>206</v>
      </c>
      <c r="I40" s="3" t="s">
        <v>97</v>
      </c>
      <c r="J40" s="3" t="s">
        <v>207</v>
      </c>
      <c r="K40" s="3"/>
    </row>
    <row r="41" spans="1:11">
      <c r="A41" s="3">
        <v>40</v>
      </c>
      <c r="B41" s="3" t="s">
        <v>531</v>
      </c>
      <c r="C41" s="3" t="s">
        <v>534</v>
      </c>
      <c r="D41" s="3" t="s">
        <v>531</v>
      </c>
      <c r="E41" s="3" t="s">
        <v>203</v>
      </c>
      <c r="F41" s="3" t="s">
        <v>204</v>
      </c>
      <c r="G41" s="3" t="s">
        <v>205</v>
      </c>
      <c r="H41" s="3" t="s">
        <v>206</v>
      </c>
      <c r="I41" s="3" t="s">
        <v>97</v>
      </c>
      <c r="J41" s="3" t="s">
        <v>207</v>
      </c>
      <c r="K41" s="3"/>
    </row>
    <row r="42" spans="1:11">
      <c r="A42" s="3">
        <v>41</v>
      </c>
      <c r="B42" s="3" t="s">
        <v>539</v>
      </c>
      <c r="C42" s="3" t="s">
        <v>542</v>
      </c>
      <c r="D42" s="3" t="s">
        <v>539</v>
      </c>
      <c r="E42" s="3" t="s">
        <v>239</v>
      </c>
      <c r="F42" s="3" t="s">
        <v>240</v>
      </c>
      <c r="G42" s="3" t="s">
        <v>241</v>
      </c>
      <c r="H42" s="3" t="s">
        <v>242</v>
      </c>
      <c r="I42" s="3" t="s">
        <v>97</v>
      </c>
      <c r="J42" s="3" t="s">
        <v>243</v>
      </c>
      <c r="K42" s="3"/>
    </row>
    <row r="43" spans="1:11">
      <c r="A43" s="3">
        <v>42</v>
      </c>
      <c r="B43" s="3" t="s">
        <v>547</v>
      </c>
      <c r="C43" s="3" t="s">
        <v>550</v>
      </c>
      <c r="D43" s="3" t="s">
        <v>547</v>
      </c>
      <c r="E43" s="3" t="s">
        <v>239</v>
      </c>
      <c r="F43" s="3" t="s">
        <v>240</v>
      </c>
      <c r="G43" s="3" t="s">
        <v>241</v>
      </c>
      <c r="H43" s="3" t="s">
        <v>242</v>
      </c>
      <c r="I43" s="3" t="s">
        <v>97</v>
      </c>
      <c r="J43" s="3" t="s">
        <v>243</v>
      </c>
      <c r="K43" s="3"/>
    </row>
    <row r="44" spans="1:11">
      <c r="A44" s="3">
        <v>43</v>
      </c>
      <c r="B44" s="3" t="s">
        <v>555</v>
      </c>
      <c r="C44" s="3" t="s">
        <v>558</v>
      </c>
      <c r="D44" s="3" t="s">
        <v>555</v>
      </c>
      <c r="E44" s="3" t="s">
        <v>239</v>
      </c>
      <c r="F44" s="3" t="s">
        <v>240</v>
      </c>
      <c r="G44" s="3" t="s">
        <v>241</v>
      </c>
      <c r="H44" s="3" t="s">
        <v>242</v>
      </c>
      <c r="I44" s="3" t="s">
        <v>97</v>
      </c>
      <c r="J44" s="3" t="s">
        <v>243</v>
      </c>
      <c r="K44" s="3"/>
    </row>
    <row r="45" spans="1:11">
      <c r="A45" s="3">
        <v>44</v>
      </c>
      <c r="B45" s="3" t="s">
        <v>563</v>
      </c>
      <c r="C45" s="3" t="s">
        <v>566</v>
      </c>
      <c r="D45" s="3" t="s">
        <v>563</v>
      </c>
      <c r="E45" s="3" t="s">
        <v>239</v>
      </c>
      <c r="F45" s="3" t="s">
        <v>240</v>
      </c>
      <c r="G45" s="3" t="s">
        <v>241</v>
      </c>
      <c r="H45" s="3" t="s">
        <v>242</v>
      </c>
      <c r="I45" s="3" t="s">
        <v>97</v>
      </c>
      <c r="J45" s="3" t="s">
        <v>243</v>
      </c>
      <c r="K45" s="3"/>
    </row>
    <row r="46" spans="1:11">
      <c r="A46" s="3">
        <v>45</v>
      </c>
      <c r="B46" s="3" t="s">
        <v>571</v>
      </c>
      <c r="C46" s="3" t="s">
        <v>574</v>
      </c>
      <c r="D46" s="3" t="s">
        <v>571</v>
      </c>
      <c r="E46" s="3" t="s">
        <v>239</v>
      </c>
      <c r="F46" s="3" t="s">
        <v>240</v>
      </c>
      <c r="G46" s="3" t="s">
        <v>241</v>
      </c>
      <c r="H46" s="3" t="s">
        <v>242</v>
      </c>
      <c r="I46" s="3" t="s">
        <v>97</v>
      </c>
      <c r="J46" s="3" t="s">
        <v>243</v>
      </c>
      <c r="K46" s="3"/>
    </row>
    <row r="47" spans="1:11">
      <c r="A47" s="3">
        <v>46</v>
      </c>
      <c r="B47" s="3" t="s">
        <v>580</v>
      </c>
      <c r="C47" s="3" t="s">
        <v>583</v>
      </c>
      <c r="D47" s="3" t="s">
        <v>580</v>
      </c>
      <c r="E47" s="3" t="s">
        <v>239</v>
      </c>
      <c r="F47" s="3" t="s">
        <v>240</v>
      </c>
      <c r="G47" s="3" t="s">
        <v>241</v>
      </c>
      <c r="H47" s="3" t="s">
        <v>242</v>
      </c>
      <c r="I47" s="3" t="s">
        <v>97</v>
      </c>
      <c r="J47" s="3" t="s">
        <v>243</v>
      </c>
      <c r="K47" s="3"/>
    </row>
    <row r="48" spans="1:11">
      <c r="A48" s="3">
        <v>47</v>
      </c>
      <c r="B48" s="3" t="s">
        <v>588</v>
      </c>
      <c r="C48" s="3" t="s">
        <v>591</v>
      </c>
      <c r="D48" s="3" t="s">
        <v>588</v>
      </c>
      <c r="E48" s="3" t="s">
        <v>239</v>
      </c>
      <c r="F48" s="3" t="s">
        <v>240</v>
      </c>
      <c r="G48" s="3" t="s">
        <v>241</v>
      </c>
      <c r="H48" s="3" t="s">
        <v>242</v>
      </c>
      <c r="I48" s="3" t="s">
        <v>97</v>
      </c>
      <c r="J48" s="3" t="s">
        <v>243</v>
      </c>
      <c r="K48" s="3"/>
    </row>
    <row r="49" spans="1:11">
      <c r="A49" s="3">
        <v>48</v>
      </c>
      <c r="B49" s="3" t="s">
        <v>596</v>
      </c>
      <c r="C49" s="3" t="s">
        <v>599</v>
      </c>
      <c r="D49" s="3" t="s">
        <v>596</v>
      </c>
      <c r="E49" s="3" t="s">
        <v>239</v>
      </c>
      <c r="F49" s="3" t="s">
        <v>240</v>
      </c>
      <c r="G49" s="3" t="s">
        <v>241</v>
      </c>
      <c r="H49" s="3" t="s">
        <v>242</v>
      </c>
      <c r="I49" s="3" t="s">
        <v>97</v>
      </c>
      <c r="J49" s="3" t="s">
        <v>243</v>
      </c>
      <c r="K49" s="3"/>
    </row>
    <row r="50" spans="1:11" ht="28.5">
      <c r="A50" s="3">
        <v>49</v>
      </c>
      <c r="B50" s="3" t="s">
        <v>604</v>
      </c>
      <c r="C50" s="3" t="s">
        <v>607</v>
      </c>
      <c r="D50" s="3" t="s">
        <v>604</v>
      </c>
      <c r="E50" s="3" t="s">
        <v>239</v>
      </c>
      <c r="F50" s="3" t="s">
        <v>240</v>
      </c>
      <c r="G50" s="3" t="s">
        <v>241</v>
      </c>
      <c r="H50" s="3" t="s">
        <v>242</v>
      </c>
      <c r="I50" s="3" t="s">
        <v>97</v>
      </c>
      <c r="J50" s="3" t="s">
        <v>243</v>
      </c>
      <c r="K50" s="3"/>
    </row>
    <row r="51" spans="1:11">
      <c r="A51" s="3">
        <v>50</v>
      </c>
      <c r="B51" s="3" t="s">
        <v>612</v>
      </c>
      <c r="C51" s="3" t="s">
        <v>615</v>
      </c>
      <c r="D51" s="3" t="s">
        <v>612</v>
      </c>
      <c r="E51" s="3" t="s">
        <v>203</v>
      </c>
      <c r="F51" s="3" t="s">
        <v>204</v>
      </c>
      <c r="G51" s="3" t="s">
        <v>205</v>
      </c>
      <c r="H51" s="3" t="s">
        <v>206</v>
      </c>
      <c r="I51" s="3" t="s">
        <v>97</v>
      </c>
      <c r="J51" s="3" t="s">
        <v>207</v>
      </c>
      <c r="K51" s="3"/>
    </row>
    <row r="52" spans="1:11">
      <c r="A52" s="3">
        <v>51</v>
      </c>
      <c r="B52" s="3" t="s">
        <v>621</v>
      </c>
      <c r="C52" s="3" t="s">
        <v>623</v>
      </c>
      <c r="D52" s="3" t="s">
        <v>621</v>
      </c>
      <c r="E52" s="3" t="s">
        <v>239</v>
      </c>
      <c r="F52" s="3" t="s">
        <v>240</v>
      </c>
      <c r="G52" s="3" t="s">
        <v>241</v>
      </c>
      <c r="H52" s="3" t="s">
        <v>242</v>
      </c>
      <c r="I52" s="3" t="s">
        <v>97</v>
      </c>
      <c r="J52" s="3" t="s">
        <v>243</v>
      </c>
      <c r="K52" s="3"/>
    </row>
    <row r="53" spans="1:11">
      <c r="A53" s="3">
        <v>52</v>
      </c>
      <c r="B53" s="3" t="s">
        <v>629</v>
      </c>
      <c r="C53" s="3" t="s">
        <v>633</v>
      </c>
      <c r="D53" s="3" t="s">
        <v>629</v>
      </c>
      <c r="E53" s="3" t="s">
        <v>349</v>
      </c>
      <c r="F53" s="3" t="s">
        <v>350</v>
      </c>
      <c r="G53" s="3" t="s">
        <v>351</v>
      </c>
      <c r="H53" s="3" t="s">
        <v>352</v>
      </c>
      <c r="I53" s="3" t="s">
        <v>97</v>
      </c>
      <c r="J53" s="3" t="s">
        <v>353</v>
      </c>
      <c r="K53" s="3"/>
    </row>
    <row r="54" spans="1:11">
      <c r="A54" s="3">
        <v>53</v>
      </c>
      <c r="B54" s="3" t="s">
        <v>638</v>
      </c>
      <c r="C54" s="3" t="s">
        <v>641</v>
      </c>
      <c r="D54" s="3" t="s">
        <v>638</v>
      </c>
      <c r="E54" s="3" t="s">
        <v>349</v>
      </c>
      <c r="F54" s="3" t="s">
        <v>350</v>
      </c>
      <c r="G54" s="3" t="s">
        <v>351</v>
      </c>
      <c r="H54" s="3" t="s">
        <v>352</v>
      </c>
      <c r="I54" s="3" t="s">
        <v>97</v>
      </c>
      <c r="J54" s="3" t="s">
        <v>353</v>
      </c>
      <c r="K54" s="3"/>
    </row>
    <row r="55" spans="1:11">
      <c r="A55" s="3">
        <v>54</v>
      </c>
      <c r="B55" s="3" t="s">
        <v>646</v>
      </c>
      <c r="C55" s="3" t="s">
        <v>649</v>
      </c>
      <c r="D55" s="3" t="s">
        <v>646</v>
      </c>
      <c r="E55" s="3" t="s">
        <v>349</v>
      </c>
      <c r="F55" s="3" t="s">
        <v>350</v>
      </c>
      <c r="G55" s="3" t="s">
        <v>351</v>
      </c>
      <c r="H55" s="3" t="s">
        <v>352</v>
      </c>
      <c r="I55" s="3" t="s">
        <v>97</v>
      </c>
      <c r="J55" s="3" t="s">
        <v>353</v>
      </c>
      <c r="K55" s="3"/>
    </row>
    <row r="56" spans="1:11">
      <c r="A56" s="3">
        <v>55</v>
      </c>
      <c r="B56" s="3" t="s">
        <v>654</v>
      </c>
      <c r="C56" s="3" t="s">
        <v>657</v>
      </c>
      <c r="D56" s="3" t="s">
        <v>654</v>
      </c>
      <c r="E56" s="3" t="s">
        <v>349</v>
      </c>
      <c r="F56" s="3" t="s">
        <v>350</v>
      </c>
      <c r="G56" s="3" t="s">
        <v>351</v>
      </c>
      <c r="H56" s="3" t="s">
        <v>352</v>
      </c>
      <c r="I56" s="3" t="s">
        <v>97</v>
      </c>
      <c r="J56" s="3" t="s">
        <v>353</v>
      </c>
      <c r="K56" s="3"/>
    </row>
    <row r="57" spans="1:11">
      <c r="A57" s="3">
        <v>56</v>
      </c>
      <c r="B57" s="3" t="s">
        <v>662</v>
      </c>
      <c r="C57" s="3" t="s">
        <v>665</v>
      </c>
      <c r="D57" s="3" t="s">
        <v>662</v>
      </c>
      <c r="E57" s="3" t="s">
        <v>349</v>
      </c>
      <c r="F57" s="3" t="s">
        <v>350</v>
      </c>
      <c r="G57" s="3" t="s">
        <v>351</v>
      </c>
      <c r="H57" s="3" t="s">
        <v>352</v>
      </c>
      <c r="I57" s="3" t="s">
        <v>97</v>
      </c>
      <c r="J57" s="3" t="s">
        <v>353</v>
      </c>
      <c r="K57" s="3"/>
    </row>
    <row r="58" spans="1:11">
      <c r="A58" s="3">
        <v>57</v>
      </c>
      <c r="B58" s="3" t="s">
        <v>670</v>
      </c>
      <c r="C58" s="3" t="s">
        <v>673</v>
      </c>
      <c r="D58" s="3" t="s">
        <v>670</v>
      </c>
      <c r="E58" s="3" t="s">
        <v>349</v>
      </c>
      <c r="F58" s="3" t="s">
        <v>350</v>
      </c>
      <c r="G58" s="3" t="s">
        <v>351</v>
      </c>
      <c r="H58" s="3" t="s">
        <v>352</v>
      </c>
      <c r="I58" s="3" t="s">
        <v>97</v>
      </c>
      <c r="J58" s="3" t="s">
        <v>353</v>
      </c>
      <c r="K58" s="3"/>
    </row>
    <row r="59" spans="1:11">
      <c r="A59" s="3">
        <v>58</v>
      </c>
      <c r="B59" s="3" t="s">
        <v>678</v>
      </c>
      <c r="C59" s="3" t="s">
        <v>681</v>
      </c>
      <c r="D59" s="3" t="s">
        <v>678</v>
      </c>
      <c r="E59" s="3" t="s">
        <v>349</v>
      </c>
      <c r="F59" s="3" t="s">
        <v>350</v>
      </c>
      <c r="G59" s="3" t="s">
        <v>351</v>
      </c>
      <c r="H59" s="3" t="s">
        <v>352</v>
      </c>
      <c r="I59" s="3" t="s">
        <v>97</v>
      </c>
      <c r="J59" s="3" t="s">
        <v>353</v>
      </c>
      <c r="K59" s="3"/>
    </row>
    <row r="60" spans="1:11">
      <c r="A60" s="3">
        <v>59</v>
      </c>
      <c r="B60" s="3" t="s">
        <v>686</v>
      </c>
      <c r="C60" s="3" t="s">
        <v>689</v>
      </c>
      <c r="D60" s="3" t="s">
        <v>686</v>
      </c>
      <c r="E60" s="3" t="s">
        <v>349</v>
      </c>
      <c r="F60" s="3" t="s">
        <v>350</v>
      </c>
      <c r="G60" s="3" t="s">
        <v>351</v>
      </c>
      <c r="H60" s="3" t="s">
        <v>352</v>
      </c>
      <c r="I60" s="3" t="s">
        <v>97</v>
      </c>
      <c r="J60" s="3" t="s">
        <v>353</v>
      </c>
      <c r="K60" s="3"/>
    </row>
    <row r="61" spans="1:11">
      <c r="A61" s="3">
        <v>60</v>
      </c>
      <c r="B61" s="3" t="s">
        <v>694</v>
      </c>
      <c r="C61" s="3" t="s">
        <v>697</v>
      </c>
      <c r="D61" s="3" t="s">
        <v>694</v>
      </c>
      <c r="E61" s="3" t="s">
        <v>349</v>
      </c>
      <c r="F61" s="3" t="s">
        <v>350</v>
      </c>
      <c r="G61" s="3" t="s">
        <v>351</v>
      </c>
      <c r="H61" s="3" t="s">
        <v>352</v>
      </c>
      <c r="I61" s="3" t="s">
        <v>97</v>
      </c>
      <c r="J61" s="3" t="s">
        <v>353</v>
      </c>
      <c r="K61" s="3"/>
    </row>
    <row r="62" spans="1:11">
      <c r="A62" s="3">
        <v>61</v>
      </c>
      <c r="B62" s="3" t="s">
        <v>702</v>
      </c>
      <c r="C62" s="3" t="s">
        <v>708</v>
      </c>
      <c r="D62" s="3" t="s">
        <v>702</v>
      </c>
      <c r="E62" s="3" t="s">
        <v>714</v>
      </c>
      <c r="F62" s="3" t="s">
        <v>715</v>
      </c>
      <c r="G62" s="3" t="s">
        <v>716</v>
      </c>
      <c r="H62" s="3" t="s">
        <v>206</v>
      </c>
      <c r="I62" s="3" t="s">
        <v>97</v>
      </c>
      <c r="J62" s="3" t="s">
        <v>717</v>
      </c>
      <c r="K62" s="3"/>
    </row>
    <row r="63" spans="1:11">
      <c r="A63" s="3">
        <v>62</v>
      </c>
      <c r="B63" s="3" t="s">
        <v>721</v>
      </c>
      <c r="C63" s="3" t="s">
        <v>724</v>
      </c>
      <c r="D63" s="3" t="s">
        <v>721</v>
      </c>
      <c r="E63" s="3" t="s">
        <v>714</v>
      </c>
      <c r="F63" s="3" t="s">
        <v>715</v>
      </c>
      <c r="G63" s="3" t="s">
        <v>716</v>
      </c>
      <c r="H63" s="3" t="s">
        <v>206</v>
      </c>
      <c r="I63" s="3" t="s">
        <v>97</v>
      </c>
      <c r="J63" s="3" t="s">
        <v>717</v>
      </c>
      <c r="K63" s="3"/>
    </row>
    <row r="64" spans="1:11">
      <c r="A64" s="3">
        <v>63</v>
      </c>
      <c r="B64" s="3" t="s">
        <v>729</v>
      </c>
      <c r="C64" s="3" t="s">
        <v>733</v>
      </c>
      <c r="D64" s="3" t="s">
        <v>729</v>
      </c>
      <c r="E64" s="3" t="s">
        <v>714</v>
      </c>
      <c r="F64" s="3" t="s">
        <v>715</v>
      </c>
      <c r="G64" s="3" t="s">
        <v>716</v>
      </c>
      <c r="H64" s="3" t="s">
        <v>206</v>
      </c>
      <c r="I64" s="3" t="s">
        <v>97</v>
      </c>
      <c r="J64" s="3" t="s">
        <v>717</v>
      </c>
      <c r="K64" s="3"/>
    </row>
    <row r="65" spans="1:11">
      <c r="A65" s="3">
        <v>64</v>
      </c>
      <c r="B65" s="3" t="s">
        <v>740</v>
      </c>
      <c r="C65" s="3" t="s">
        <v>743</v>
      </c>
      <c r="D65" s="3" t="s">
        <v>740</v>
      </c>
      <c r="E65" s="3" t="s">
        <v>714</v>
      </c>
      <c r="F65" s="3" t="s">
        <v>715</v>
      </c>
      <c r="G65" s="3" t="s">
        <v>716</v>
      </c>
      <c r="H65" s="3" t="s">
        <v>206</v>
      </c>
      <c r="I65" s="3" t="s">
        <v>97</v>
      </c>
      <c r="J65" s="3" t="s">
        <v>717</v>
      </c>
      <c r="K65" s="3"/>
    </row>
    <row r="66" spans="1:11">
      <c r="A66" s="3">
        <v>65</v>
      </c>
      <c r="B66" s="3" t="s">
        <v>748</v>
      </c>
      <c r="C66" s="3" t="s">
        <v>751</v>
      </c>
      <c r="D66" s="3" t="s">
        <v>748</v>
      </c>
      <c r="E66" s="3" t="s">
        <v>714</v>
      </c>
      <c r="F66" s="3" t="s">
        <v>715</v>
      </c>
      <c r="G66" s="3" t="s">
        <v>716</v>
      </c>
      <c r="H66" s="3" t="s">
        <v>206</v>
      </c>
      <c r="I66" s="3" t="s">
        <v>97</v>
      </c>
      <c r="J66" s="3" t="s">
        <v>717</v>
      </c>
      <c r="K66" s="3"/>
    </row>
    <row r="67" spans="1:11">
      <c r="A67" s="3">
        <v>66</v>
      </c>
      <c r="B67" s="3" t="s">
        <v>757</v>
      </c>
      <c r="C67" s="3" t="s">
        <v>760</v>
      </c>
      <c r="D67" s="3" t="s">
        <v>757</v>
      </c>
      <c r="E67" s="3" t="s">
        <v>714</v>
      </c>
      <c r="F67" s="3" t="s">
        <v>715</v>
      </c>
      <c r="G67" s="3" t="s">
        <v>716</v>
      </c>
      <c r="H67" s="3" t="s">
        <v>206</v>
      </c>
      <c r="I67" s="3" t="s">
        <v>97</v>
      </c>
      <c r="J67" s="3" t="s">
        <v>717</v>
      </c>
      <c r="K67" s="3"/>
    </row>
    <row r="68" spans="1:11">
      <c r="A68" s="3">
        <v>67</v>
      </c>
      <c r="B68" s="3" t="s">
        <v>765</v>
      </c>
      <c r="C68" s="3" t="s">
        <v>768</v>
      </c>
      <c r="D68" s="3" t="s">
        <v>765</v>
      </c>
      <c r="E68" s="3" t="s">
        <v>714</v>
      </c>
      <c r="F68" s="3" t="s">
        <v>715</v>
      </c>
      <c r="G68" s="3" t="s">
        <v>716</v>
      </c>
      <c r="H68" s="3" t="s">
        <v>206</v>
      </c>
      <c r="I68" s="3" t="s">
        <v>97</v>
      </c>
      <c r="J68" s="3" t="s">
        <v>717</v>
      </c>
      <c r="K68" s="3"/>
    </row>
    <row r="69" spans="1:11">
      <c r="A69" s="3">
        <v>68</v>
      </c>
      <c r="B69" s="3" t="s">
        <v>773</v>
      </c>
      <c r="C69" s="3" t="s">
        <v>776</v>
      </c>
      <c r="D69" s="3" t="s">
        <v>773</v>
      </c>
      <c r="E69" s="3" t="s">
        <v>714</v>
      </c>
      <c r="F69" s="3" t="s">
        <v>715</v>
      </c>
      <c r="G69" s="3" t="s">
        <v>716</v>
      </c>
      <c r="H69" s="3" t="s">
        <v>206</v>
      </c>
      <c r="I69" s="3" t="s">
        <v>97</v>
      </c>
      <c r="J69" s="3" t="s">
        <v>717</v>
      </c>
      <c r="K69" s="3"/>
    </row>
    <row r="70" spans="1:11">
      <c r="A70" s="3">
        <v>69</v>
      </c>
      <c r="B70" s="3" t="s">
        <v>781</v>
      </c>
      <c r="C70" s="3" t="s">
        <v>784</v>
      </c>
      <c r="D70" s="3" t="s">
        <v>781</v>
      </c>
      <c r="E70" s="3" t="s">
        <v>714</v>
      </c>
      <c r="F70" s="3" t="s">
        <v>715</v>
      </c>
      <c r="G70" s="3" t="s">
        <v>716</v>
      </c>
      <c r="H70" s="3" t="s">
        <v>206</v>
      </c>
      <c r="I70" s="3" t="s">
        <v>97</v>
      </c>
      <c r="J70" s="3" t="s">
        <v>717</v>
      </c>
      <c r="K70" s="3"/>
    </row>
    <row r="71" spans="1:11">
      <c r="A71" s="3">
        <v>70</v>
      </c>
      <c r="B71" s="3" t="s">
        <v>789</v>
      </c>
      <c r="C71" s="3" t="s">
        <v>792</v>
      </c>
      <c r="D71" s="3" t="s">
        <v>789</v>
      </c>
      <c r="E71" s="3" t="s">
        <v>714</v>
      </c>
      <c r="F71" s="3" t="s">
        <v>715</v>
      </c>
      <c r="G71" s="3" t="s">
        <v>716</v>
      </c>
      <c r="H71" s="3" t="s">
        <v>206</v>
      </c>
      <c r="I71" s="3" t="s">
        <v>97</v>
      </c>
      <c r="J71" s="3" t="s">
        <v>717</v>
      </c>
      <c r="K71" s="3"/>
    </row>
    <row r="72" spans="1:11">
      <c r="A72" s="3">
        <v>71</v>
      </c>
      <c r="B72" s="3" t="s">
        <v>797</v>
      </c>
      <c r="C72" s="3" t="s">
        <v>800</v>
      </c>
      <c r="D72" s="3" t="s">
        <v>797</v>
      </c>
      <c r="E72" s="3" t="s">
        <v>449</v>
      </c>
      <c r="F72" s="3" t="s">
        <v>450</v>
      </c>
      <c r="G72" s="3" t="s">
        <v>451</v>
      </c>
      <c r="H72" s="3" t="s">
        <v>452</v>
      </c>
      <c r="I72" s="3" t="s">
        <v>97</v>
      </c>
      <c r="J72" s="3" t="s">
        <v>453</v>
      </c>
      <c r="K72" s="3"/>
    </row>
    <row r="73" spans="1:11">
      <c r="A73" s="3">
        <v>72</v>
      </c>
      <c r="B73" s="3" t="s">
        <v>806</v>
      </c>
      <c r="C73" s="3" t="s">
        <v>809</v>
      </c>
      <c r="D73" s="3" t="s">
        <v>813</v>
      </c>
      <c r="E73" s="3" t="s">
        <v>187</v>
      </c>
      <c r="F73" s="3" t="s">
        <v>188</v>
      </c>
      <c r="G73" s="3" t="s">
        <v>189</v>
      </c>
      <c r="H73" s="3" t="s">
        <v>190</v>
      </c>
      <c r="I73" s="3" t="s">
        <v>97</v>
      </c>
      <c r="J73" s="3" t="s">
        <v>191</v>
      </c>
      <c r="K73" s="3"/>
    </row>
    <row r="74" spans="1:11">
      <c r="A74" s="3">
        <v>73</v>
      </c>
      <c r="B74" s="3" t="s">
        <v>816</v>
      </c>
      <c r="C74" s="3" t="s">
        <v>819</v>
      </c>
      <c r="D74" s="3" t="s">
        <v>816</v>
      </c>
      <c r="E74" s="3" t="s">
        <v>449</v>
      </c>
      <c r="F74" s="3" t="s">
        <v>450</v>
      </c>
      <c r="G74" s="3" t="s">
        <v>451</v>
      </c>
      <c r="H74" s="3" t="s">
        <v>452</v>
      </c>
      <c r="I74" s="3" t="s">
        <v>97</v>
      </c>
      <c r="J74" s="3" t="s">
        <v>453</v>
      </c>
      <c r="K74" s="3"/>
    </row>
    <row r="75" spans="1:11">
      <c r="A75" s="3">
        <v>74</v>
      </c>
      <c r="B75" s="3" t="s">
        <v>824</v>
      </c>
      <c r="C75" s="3" t="s">
        <v>827</v>
      </c>
      <c r="D75" s="3" t="s">
        <v>824</v>
      </c>
      <c r="E75" s="3" t="s">
        <v>449</v>
      </c>
      <c r="F75" s="3" t="s">
        <v>450</v>
      </c>
      <c r="G75" s="3" t="s">
        <v>451</v>
      </c>
      <c r="H75" s="3" t="s">
        <v>452</v>
      </c>
      <c r="I75" s="3" t="s">
        <v>97</v>
      </c>
      <c r="J75" s="3" t="s">
        <v>453</v>
      </c>
      <c r="K75" s="3"/>
    </row>
    <row r="76" spans="1:11">
      <c r="A76" s="3">
        <v>75</v>
      </c>
      <c r="B76" s="3" t="s">
        <v>832</v>
      </c>
      <c r="C76" s="3" t="s">
        <v>835</v>
      </c>
      <c r="D76" s="3" t="s">
        <v>832</v>
      </c>
      <c r="E76" s="3" t="s">
        <v>449</v>
      </c>
      <c r="F76" s="3" t="s">
        <v>450</v>
      </c>
      <c r="G76" s="3" t="s">
        <v>451</v>
      </c>
      <c r="H76" s="3" t="s">
        <v>452</v>
      </c>
      <c r="I76" s="3" t="s">
        <v>97</v>
      </c>
      <c r="J76" s="3" t="s">
        <v>453</v>
      </c>
      <c r="K76" s="3"/>
    </row>
    <row r="77" spans="1:11">
      <c r="A77" s="3">
        <v>76</v>
      </c>
      <c r="B77" s="3" t="s">
        <v>840</v>
      </c>
      <c r="C77" s="3" t="s">
        <v>843</v>
      </c>
      <c r="D77" s="3" t="s">
        <v>840</v>
      </c>
      <c r="E77" s="3" t="s">
        <v>449</v>
      </c>
      <c r="F77" s="3" t="s">
        <v>450</v>
      </c>
      <c r="G77" s="3" t="s">
        <v>451</v>
      </c>
      <c r="H77" s="3" t="s">
        <v>452</v>
      </c>
      <c r="I77" s="3" t="s">
        <v>97</v>
      </c>
      <c r="J77" s="3" t="s">
        <v>453</v>
      </c>
      <c r="K77" s="3"/>
    </row>
    <row r="78" spans="1:11">
      <c r="A78" s="3">
        <v>77</v>
      </c>
      <c r="B78" s="3" t="s">
        <v>848</v>
      </c>
      <c r="C78" s="3" t="s">
        <v>851</v>
      </c>
      <c r="D78" s="3" t="s">
        <v>848</v>
      </c>
      <c r="E78" s="3" t="s">
        <v>449</v>
      </c>
      <c r="F78" s="3" t="s">
        <v>450</v>
      </c>
      <c r="G78" s="3" t="s">
        <v>451</v>
      </c>
      <c r="H78" s="3" t="s">
        <v>452</v>
      </c>
      <c r="I78" s="3" t="s">
        <v>97</v>
      </c>
      <c r="J78" s="3" t="s">
        <v>453</v>
      </c>
      <c r="K78" s="3"/>
    </row>
    <row r="79" spans="1:11">
      <c r="A79" s="3">
        <v>78</v>
      </c>
      <c r="B79" s="3" t="s">
        <v>856</v>
      </c>
      <c r="C79" s="3" t="s">
        <v>859</v>
      </c>
      <c r="D79" s="3" t="s">
        <v>856</v>
      </c>
      <c r="E79" s="3" t="s">
        <v>449</v>
      </c>
      <c r="F79" s="3" t="s">
        <v>450</v>
      </c>
      <c r="G79" s="3" t="s">
        <v>451</v>
      </c>
      <c r="H79" s="3" t="s">
        <v>452</v>
      </c>
      <c r="I79" s="3" t="s">
        <v>97</v>
      </c>
      <c r="J79" s="3" t="s">
        <v>453</v>
      </c>
      <c r="K79" s="3"/>
    </row>
    <row r="80" spans="1:11">
      <c r="A80" s="3">
        <v>79</v>
      </c>
      <c r="B80" s="3" t="s">
        <v>865</v>
      </c>
      <c r="C80" s="3" t="s">
        <v>868</v>
      </c>
      <c r="D80" s="3" t="s">
        <v>865</v>
      </c>
      <c r="E80" s="3" t="s">
        <v>449</v>
      </c>
      <c r="F80" s="3" t="s">
        <v>450</v>
      </c>
      <c r="G80" s="3" t="s">
        <v>451</v>
      </c>
      <c r="H80" s="3" t="s">
        <v>452</v>
      </c>
      <c r="I80" s="3" t="s">
        <v>97</v>
      </c>
      <c r="J80" s="3" t="s">
        <v>453</v>
      </c>
      <c r="K80" s="3"/>
    </row>
    <row r="81" spans="1:11">
      <c r="A81" s="3">
        <v>80</v>
      </c>
      <c r="B81" s="3" t="s">
        <v>873</v>
      </c>
      <c r="C81" s="3" t="s">
        <v>876</v>
      </c>
      <c r="D81" s="3" t="s">
        <v>873</v>
      </c>
      <c r="E81" s="3" t="s">
        <v>449</v>
      </c>
      <c r="F81" s="3" t="s">
        <v>450</v>
      </c>
      <c r="G81" s="3" t="s">
        <v>451</v>
      </c>
      <c r="H81" s="3" t="s">
        <v>452</v>
      </c>
      <c r="I81" s="3" t="s">
        <v>97</v>
      </c>
      <c r="J81" s="3" t="s">
        <v>453</v>
      </c>
      <c r="K81" s="3"/>
    </row>
  </sheetData>
  <phoneticPr fontId="7"/>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heetViews>
  <sheetFormatPr defaultRowHeight="14.25"/>
  <cols>
    <col min="1" max="1" width="16" customWidth="1"/>
    <col min="2" max="2" width="24" customWidth="1"/>
    <col min="3" max="3" width="90" customWidth="1"/>
  </cols>
  <sheetData>
    <row r="1" spans="1:3" ht="15">
      <c r="A1" s="11" t="s">
        <v>883</v>
      </c>
      <c r="B1" s="11" t="s">
        <v>884</v>
      </c>
      <c r="C1" s="11" t="s">
        <v>885</v>
      </c>
    </row>
    <row r="2" spans="1:3">
      <c r="A2" s="3" t="s">
        <v>886</v>
      </c>
      <c r="B2" s="3" t="s">
        <v>887</v>
      </c>
      <c r="C2" s="3" t="s">
        <v>888</v>
      </c>
    </row>
    <row r="3" spans="1:3" ht="28.5">
      <c r="A3" s="3" t="s">
        <v>886</v>
      </c>
      <c r="B3" s="3" t="s">
        <v>889</v>
      </c>
      <c r="C3" s="3" t="s">
        <v>890</v>
      </c>
    </row>
    <row r="4" spans="1:3" ht="28.5">
      <c r="A4" s="3" t="s">
        <v>886</v>
      </c>
      <c r="B4" s="3" t="s">
        <v>891</v>
      </c>
      <c r="C4" s="3" t="s">
        <v>892</v>
      </c>
    </row>
    <row r="5" spans="1:3">
      <c r="A5" s="3" t="s">
        <v>886</v>
      </c>
      <c r="B5" s="3" t="s">
        <v>893</v>
      </c>
      <c r="C5" s="3" t="s">
        <v>894</v>
      </c>
    </row>
    <row r="6" spans="1:3">
      <c r="A6" s="3" t="s">
        <v>886</v>
      </c>
      <c r="B6" s="3" t="s">
        <v>895</v>
      </c>
      <c r="C6" s="3" t="s">
        <v>896</v>
      </c>
    </row>
    <row r="7" spans="1:3">
      <c r="A7" s="3" t="s">
        <v>897</v>
      </c>
      <c r="B7" s="3" t="s">
        <v>898</v>
      </c>
      <c r="C7" s="3" t="s">
        <v>899</v>
      </c>
    </row>
    <row r="8" spans="1:3">
      <c r="A8" s="3" t="s">
        <v>897</v>
      </c>
      <c r="B8" s="3" t="s">
        <v>900</v>
      </c>
      <c r="C8" s="3" t="s">
        <v>901</v>
      </c>
    </row>
    <row r="9" spans="1:3">
      <c r="A9" s="3" t="s">
        <v>902</v>
      </c>
      <c r="B9" s="3" t="s">
        <v>903</v>
      </c>
      <c r="C9" s="3" t="s">
        <v>904</v>
      </c>
    </row>
    <row r="10" spans="1:3">
      <c r="A10" s="3" t="s">
        <v>905</v>
      </c>
      <c r="B10" s="3" t="s">
        <v>906</v>
      </c>
      <c r="C10" s="3" t="s">
        <v>907</v>
      </c>
    </row>
    <row r="11" spans="1:3">
      <c r="A11" s="3" t="s">
        <v>905</v>
      </c>
      <c r="B11" s="3" t="s">
        <v>908</v>
      </c>
      <c r="C11" s="3" t="s">
        <v>909</v>
      </c>
    </row>
  </sheetData>
  <phoneticPr fontId="7"/>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3"/>
  <sheetViews>
    <sheetView workbookViewId="0"/>
  </sheetViews>
  <sheetFormatPr defaultRowHeight="14.25"/>
  <cols>
    <col min="1" max="2" width="17" customWidth="1"/>
    <col min="3" max="3" width="18.75" customWidth="1"/>
    <col min="4" max="5" width="13.375" customWidth="1"/>
    <col min="6" max="6" width="31.75" customWidth="1"/>
    <col min="7" max="7" width="16.125" customWidth="1"/>
    <col min="8" max="9" width="20.75" customWidth="1"/>
    <col min="10" max="10" width="9.75" customWidth="1"/>
  </cols>
  <sheetData>
    <row r="1" spans="1:10" ht="15" customHeight="1">
      <c r="A1" s="2" t="s">
        <v>62</v>
      </c>
      <c r="B1" s="2" t="s">
        <v>63</v>
      </c>
      <c r="C1" s="2" t="s">
        <v>64</v>
      </c>
      <c r="D1" s="2" t="s">
        <v>65</v>
      </c>
      <c r="E1" s="2" t="s">
        <v>66</v>
      </c>
      <c r="F1" s="2" t="s">
        <v>52</v>
      </c>
      <c r="G1" s="2" t="s">
        <v>53</v>
      </c>
      <c r="H1" s="2" t="s">
        <v>41</v>
      </c>
      <c r="I1" s="2" t="s">
        <v>61</v>
      </c>
      <c r="J1" s="2" t="s">
        <v>72</v>
      </c>
    </row>
    <row r="2" spans="1:10" ht="15" customHeight="1">
      <c r="A2" s="3" t="s">
        <v>192</v>
      </c>
      <c r="B2" s="3" t="s">
        <v>192</v>
      </c>
      <c r="C2" s="3" t="s">
        <v>193</v>
      </c>
      <c r="D2" s="3" t="s">
        <v>910</v>
      </c>
      <c r="E2" s="3" t="s">
        <v>911</v>
      </c>
      <c r="F2" s="3" t="s">
        <v>712</v>
      </c>
      <c r="G2" s="3" t="s">
        <v>90</v>
      </c>
      <c r="H2" s="3" t="s">
        <v>80</v>
      </c>
      <c r="I2" s="3" t="s">
        <v>717</v>
      </c>
      <c r="J2" s="3" t="s">
        <v>912</v>
      </c>
    </row>
    <row r="3" spans="1:10" ht="15" customHeight="1">
      <c r="A3" s="3" t="s">
        <v>913</v>
      </c>
      <c r="B3" s="3" t="s">
        <v>913</v>
      </c>
      <c r="C3" s="3" t="s">
        <v>100</v>
      </c>
      <c r="D3" s="3" t="s">
        <v>914</v>
      </c>
      <c r="E3" s="3" t="s">
        <v>915</v>
      </c>
      <c r="F3" s="3" t="s">
        <v>114</v>
      </c>
      <c r="G3" s="3" t="s">
        <v>115</v>
      </c>
      <c r="H3" s="3" t="s">
        <v>162</v>
      </c>
      <c r="I3" s="3" t="s">
        <v>191</v>
      </c>
      <c r="J3" s="3" t="s">
        <v>916</v>
      </c>
    </row>
    <row r="4" spans="1:10" ht="15" customHeight="1">
      <c r="A4" s="3" t="s">
        <v>917</v>
      </c>
      <c r="B4" s="3" t="s">
        <v>917</v>
      </c>
      <c r="C4" s="3" t="s">
        <v>918</v>
      </c>
      <c r="D4" s="3" t="s">
        <v>919</v>
      </c>
      <c r="E4" s="3" t="s">
        <v>920</v>
      </c>
      <c r="F4" s="3" t="s">
        <v>150</v>
      </c>
      <c r="G4" s="3" t="s">
        <v>132</v>
      </c>
      <c r="H4" s="3" t="s">
        <v>181</v>
      </c>
      <c r="I4" s="3" t="s">
        <v>353</v>
      </c>
      <c r="J4" s="3" t="s">
        <v>921</v>
      </c>
    </row>
    <row r="5" spans="1:10" ht="15" customHeight="1">
      <c r="A5" s="3" t="s">
        <v>10</v>
      </c>
      <c r="B5" s="3" t="s">
        <v>922</v>
      </c>
      <c r="C5" s="3" t="s">
        <v>923</v>
      </c>
      <c r="D5" s="3" t="s">
        <v>924</v>
      </c>
      <c r="E5" s="3"/>
      <c r="F5" s="3" t="s">
        <v>348</v>
      </c>
      <c r="G5" s="3" t="s">
        <v>169</v>
      </c>
      <c r="H5" s="3" t="s">
        <v>144</v>
      </c>
      <c r="I5" s="3" t="s">
        <v>243</v>
      </c>
      <c r="J5" s="3"/>
    </row>
    <row r="6" spans="1:10" ht="15" customHeight="1">
      <c r="A6" s="3" t="s">
        <v>925</v>
      </c>
      <c r="B6" s="3" t="s">
        <v>925</v>
      </c>
      <c r="C6" s="3"/>
      <c r="D6" s="3" t="s">
        <v>926</v>
      </c>
      <c r="E6" s="3"/>
      <c r="F6" s="3" t="s">
        <v>131</v>
      </c>
      <c r="G6" s="3" t="s">
        <v>256</v>
      </c>
      <c r="H6" s="3" t="s">
        <v>309</v>
      </c>
      <c r="I6" s="3" t="s">
        <v>176</v>
      </c>
      <c r="J6" s="3"/>
    </row>
    <row r="7" spans="1:10" ht="15" customHeight="1">
      <c r="A7" s="3" t="s">
        <v>927</v>
      </c>
      <c r="B7" s="3" t="s">
        <v>927</v>
      </c>
      <c r="C7" s="3"/>
      <c r="D7" s="3" t="s">
        <v>928</v>
      </c>
      <c r="E7" s="3"/>
      <c r="F7" s="3" t="s">
        <v>255</v>
      </c>
      <c r="G7" s="3" t="s">
        <v>519</v>
      </c>
      <c r="H7" s="3" t="s">
        <v>339</v>
      </c>
      <c r="I7" s="3" t="s">
        <v>98</v>
      </c>
      <c r="J7" s="3"/>
    </row>
    <row r="8" spans="1:10" ht="15" customHeight="1">
      <c r="A8" s="3"/>
      <c r="B8" s="3"/>
      <c r="C8" s="3"/>
      <c r="D8" s="3" t="s">
        <v>854</v>
      </c>
      <c r="E8" s="3"/>
      <c r="F8" s="3" t="s">
        <v>168</v>
      </c>
      <c r="G8" s="3" t="s">
        <v>713</v>
      </c>
      <c r="H8" s="3"/>
      <c r="I8" s="3" t="s">
        <v>156</v>
      </c>
      <c r="J8" s="3"/>
    </row>
    <row r="9" spans="1:10" ht="15" customHeight="1">
      <c r="A9" s="3"/>
      <c r="B9" s="3"/>
      <c r="C9" s="3"/>
      <c r="D9" s="3" t="s">
        <v>929</v>
      </c>
      <c r="E9" s="3"/>
      <c r="F9" s="3" t="s">
        <v>518</v>
      </c>
      <c r="G9" s="3"/>
      <c r="H9" s="3"/>
      <c r="I9" s="3" t="s">
        <v>220</v>
      </c>
      <c r="J9" s="3"/>
    </row>
    <row r="10" spans="1:10" ht="15" customHeight="1">
      <c r="A10" s="3"/>
      <c r="B10" s="3"/>
      <c r="C10" s="3"/>
      <c r="D10" s="3"/>
      <c r="E10" s="3"/>
      <c r="F10" s="3" t="s">
        <v>89</v>
      </c>
      <c r="G10" s="3"/>
      <c r="H10" s="3"/>
      <c r="I10" s="3" t="s">
        <v>139</v>
      </c>
      <c r="J10" s="3"/>
    </row>
    <row r="11" spans="1:10" ht="15" customHeight="1">
      <c r="A11" s="3"/>
      <c r="B11" s="3"/>
      <c r="C11" s="3"/>
      <c r="D11" s="3"/>
      <c r="E11" s="3"/>
      <c r="F11" s="3"/>
      <c r="G11" s="3"/>
      <c r="H11" s="3"/>
      <c r="I11" s="3" t="s">
        <v>122</v>
      </c>
      <c r="J11" s="3"/>
    </row>
    <row r="12" spans="1:10" ht="15" customHeight="1">
      <c r="A12" s="3"/>
      <c r="B12" s="3"/>
      <c r="C12" s="3"/>
      <c r="D12" s="3"/>
      <c r="E12" s="3"/>
      <c r="F12" s="3"/>
      <c r="G12" s="3"/>
      <c r="H12" s="3"/>
      <c r="I12" s="3" t="s">
        <v>453</v>
      </c>
      <c r="J12" s="3"/>
    </row>
    <row r="13" spans="1:10" ht="15" customHeight="1">
      <c r="A13" s="3"/>
      <c r="B13" s="3"/>
      <c r="C13" s="3"/>
      <c r="D13" s="3"/>
      <c r="E13" s="3"/>
      <c r="F13" s="3"/>
      <c r="G13" s="3"/>
      <c r="H13" s="3"/>
      <c r="I13" s="3" t="s">
        <v>207</v>
      </c>
      <c r="J13" s="3"/>
    </row>
  </sheetData>
  <phoneticPr fontId="7"/>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
  <sheetViews>
    <sheetView workbookViewId="0"/>
  </sheetViews>
  <sheetFormatPr defaultRowHeight="14.25"/>
  <cols>
    <col min="1" max="1" width="20" customWidth="1"/>
    <col min="2" max="2" width="6" customWidth="1"/>
    <col min="3" max="3" width="24" customWidth="1"/>
    <col min="4" max="4" width="12" customWidth="1"/>
    <col min="5" max="6" width="14" customWidth="1"/>
    <col min="7" max="7" width="12" customWidth="1"/>
    <col min="8" max="8" width="35" customWidth="1"/>
    <col min="9" max="10" width="18" customWidth="1"/>
    <col min="11" max="11" width="60" customWidth="1"/>
  </cols>
  <sheetData>
    <row r="1" spans="1:11" ht="15" customHeight="1">
      <c r="A1" s="15" t="s">
        <v>930</v>
      </c>
      <c r="B1" s="12" t="s">
        <v>35</v>
      </c>
      <c r="C1" s="12" t="s">
        <v>36</v>
      </c>
      <c r="D1" s="12" t="s">
        <v>931</v>
      </c>
      <c r="E1" s="12" t="s">
        <v>932</v>
      </c>
      <c r="F1" s="12" t="s">
        <v>933</v>
      </c>
      <c r="G1" s="12" t="s">
        <v>67</v>
      </c>
      <c r="H1" s="12" t="s">
        <v>68</v>
      </c>
      <c r="I1" s="12" t="s">
        <v>934</v>
      </c>
      <c r="J1" s="12" t="s">
        <v>935</v>
      </c>
      <c r="K1" s="12" t="s">
        <v>936</v>
      </c>
    </row>
  </sheetData>
  <phoneticPr fontId="7"/>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9"/>
  <sheetViews>
    <sheetView workbookViewId="0"/>
  </sheetViews>
  <sheetFormatPr defaultRowHeight="14.25"/>
  <cols>
    <col min="1" max="1" width="28" customWidth="1"/>
    <col min="2" max="2" width="100" customWidth="1"/>
  </cols>
  <sheetData>
    <row r="1" spans="1:2" ht="15">
      <c r="A1" s="1" t="s">
        <v>937</v>
      </c>
      <c r="B1" s="1" t="s">
        <v>938</v>
      </c>
    </row>
    <row r="2" spans="1:2">
      <c r="A2" s="3" t="s">
        <v>939</v>
      </c>
      <c r="B2" s="3" t="s">
        <v>940</v>
      </c>
    </row>
    <row r="3" spans="1:2" ht="28.5">
      <c r="A3" s="3" t="s">
        <v>941</v>
      </c>
      <c r="B3" s="3" t="s">
        <v>942</v>
      </c>
    </row>
    <row r="4" spans="1:2" ht="28.5">
      <c r="A4" s="3" t="s">
        <v>943</v>
      </c>
      <c r="B4" s="3" t="s">
        <v>944</v>
      </c>
    </row>
    <row r="5" spans="1:2">
      <c r="A5" s="3" t="s">
        <v>945</v>
      </c>
      <c r="B5" s="3" t="s">
        <v>946</v>
      </c>
    </row>
    <row r="6" spans="1:2">
      <c r="A6" s="3" t="s">
        <v>947</v>
      </c>
      <c r="B6" s="3" t="s">
        <v>948</v>
      </c>
    </row>
    <row r="7" spans="1:2">
      <c r="A7" s="3" t="s">
        <v>908</v>
      </c>
      <c r="B7" s="3" t="s">
        <v>949</v>
      </c>
    </row>
    <row r="8" spans="1:2">
      <c r="A8" s="3" t="s">
        <v>950</v>
      </c>
      <c r="B8" s="3" t="s">
        <v>951</v>
      </c>
    </row>
    <row r="9" spans="1:2">
      <c r="A9" s="3" t="s">
        <v>952</v>
      </c>
      <c r="B9" s="3" t="s">
        <v>953</v>
      </c>
    </row>
  </sheetData>
  <phoneticPr fontId="7"/>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81"/>
  <sheetViews>
    <sheetView workbookViewId="0"/>
  </sheetViews>
  <sheetFormatPr defaultRowHeight="14.25"/>
  <cols>
    <col min="1" max="1" width="5.25" customWidth="1"/>
    <col min="2" max="3" width="32.5" customWidth="1"/>
    <col min="4" max="4" width="59.125" customWidth="1"/>
    <col min="5" max="5" width="20.75" customWidth="1"/>
    <col min="6" max="6" width="17" customWidth="1"/>
    <col min="7" max="7" width="12.625" customWidth="1"/>
    <col min="8" max="8" width="8.5" customWidth="1"/>
    <col min="9" max="9" width="29" customWidth="1"/>
    <col min="10" max="10" width="15.875" customWidth="1"/>
    <col min="11" max="11" width="32.5" customWidth="1"/>
    <col min="12" max="12" width="33.5" customWidth="1"/>
    <col min="13" max="13" width="38.125" customWidth="1"/>
    <col min="14" max="14" width="113" customWidth="1"/>
    <col min="15" max="15" width="15.25" customWidth="1"/>
    <col min="16" max="16" width="31.75" customWidth="1"/>
    <col min="17" max="19" width="15.875" customWidth="1"/>
    <col min="20" max="20" width="23.25" customWidth="1"/>
    <col min="21" max="21" width="9.75" customWidth="1"/>
    <col min="22" max="22" width="68.375" customWidth="1"/>
    <col min="23" max="23" width="6.75" customWidth="1"/>
  </cols>
  <sheetData>
    <row r="1" spans="1:23" ht="30">
      <c r="A1" s="13" t="s">
        <v>35</v>
      </c>
      <c r="B1" s="13" t="s">
        <v>36</v>
      </c>
      <c r="C1" s="13" t="s">
        <v>37</v>
      </c>
      <c r="D1" s="13" t="s">
        <v>38</v>
      </c>
      <c r="E1" s="13" t="s">
        <v>39</v>
      </c>
      <c r="F1" s="13" t="s">
        <v>40</v>
      </c>
      <c r="G1" s="13" t="s">
        <v>42</v>
      </c>
      <c r="H1" s="13" t="s">
        <v>45</v>
      </c>
      <c r="I1" s="13" t="s">
        <v>19</v>
      </c>
      <c r="J1" s="13" t="s">
        <v>954</v>
      </c>
      <c r="K1" s="13" t="s">
        <v>955</v>
      </c>
      <c r="L1" s="13" t="s">
        <v>48</v>
      </c>
      <c r="M1" s="13" t="s">
        <v>47</v>
      </c>
      <c r="N1" s="13" t="s">
        <v>49</v>
      </c>
      <c r="O1" s="13" t="s">
        <v>50</v>
      </c>
      <c r="P1" s="13" t="s">
        <v>51</v>
      </c>
      <c r="Q1" s="13" t="s">
        <v>956</v>
      </c>
      <c r="R1" s="13" t="s">
        <v>957</v>
      </c>
      <c r="S1" s="13" t="s">
        <v>958</v>
      </c>
      <c r="T1" s="13" t="s">
        <v>959</v>
      </c>
      <c r="U1" s="13" t="s">
        <v>960</v>
      </c>
      <c r="V1" s="13" t="s">
        <v>74</v>
      </c>
      <c r="W1" s="13" t="s">
        <v>76</v>
      </c>
    </row>
    <row r="2" spans="1:23" ht="28.5">
      <c r="A2" s="3">
        <v>1</v>
      </c>
      <c r="B2" s="3" t="s">
        <v>77</v>
      </c>
      <c r="C2" s="3" t="s">
        <v>77</v>
      </c>
      <c r="D2" s="3" t="s">
        <v>78</v>
      </c>
      <c r="E2" s="3" t="s">
        <v>79</v>
      </c>
      <c r="F2" s="3" t="s">
        <v>80</v>
      </c>
      <c r="G2" s="3" t="s">
        <v>81</v>
      </c>
      <c r="H2" s="3" t="s">
        <v>82</v>
      </c>
      <c r="I2" s="3" t="s">
        <v>25</v>
      </c>
      <c r="J2" s="3" t="s">
        <v>961</v>
      </c>
      <c r="K2" s="3" t="s">
        <v>962</v>
      </c>
      <c r="L2" s="3" t="s">
        <v>85</v>
      </c>
      <c r="M2" s="3" t="s">
        <v>963</v>
      </c>
      <c r="N2" s="3" t="s">
        <v>86</v>
      </c>
      <c r="O2" s="3" t="s">
        <v>87</v>
      </c>
      <c r="P2" s="3" t="s">
        <v>88</v>
      </c>
      <c r="Q2" s="3" t="s">
        <v>192</v>
      </c>
      <c r="R2" s="3" t="s">
        <v>192</v>
      </c>
      <c r="S2" s="3" t="s">
        <v>192</v>
      </c>
      <c r="T2" s="3" t="s">
        <v>192</v>
      </c>
      <c r="U2" s="3"/>
      <c r="V2" s="3" t="s">
        <v>106</v>
      </c>
      <c r="W2" s="3"/>
    </row>
    <row r="3" spans="1:23" ht="28.5">
      <c r="A3" s="3">
        <v>2</v>
      </c>
      <c r="B3" s="3" t="s">
        <v>108</v>
      </c>
      <c r="C3" s="3" t="s">
        <v>108</v>
      </c>
      <c r="D3" s="3" t="s">
        <v>109</v>
      </c>
      <c r="E3" s="3" t="s">
        <v>79</v>
      </c>
      <c r="F3" s="3" t="s">
        <v>80</v>
      </c>
      <c r="G3" s="3" t="s">
        <v>81</v>
      </c>
      <c r="H3" s="3" t="s">
        <v>82</v>
      </c>
      <c r="I3" s="3" t="s">
        <v>25</v>
      </c>
      <c r="J3" s="3" t="s">
        <v>961</v>
      </c>
      <c r="K3" s="3" t="s">
        <v>964</v>
      </c>
      <c r="L3" s="3" t="s">
        <v>112</v>
      </c>
      <c r="M3" s="3" t="s">
        <v>965</v>
      </c>
      <c r="N3" s="3" t="s">
        <v>113</v>
      </c>
      <c r="O3" s="3" t="s">
        <v>87</v>
      </c>
      <c r="P3" s="3" t="s">
        <v>88</v>
      </c>
      <c r="Q3" s="3" t="s">
        <v>192</v>
      </c>
      <c r="R3" s="3" t="s">
        <v>192</v>
      </c>
      <c r="S3" s="3" t="s">
        <v>192</v>
      </c>
      <c r="T3" s="3" t="s">
        <v>192</v>
      </c>
      <c r="U3" s="3"/>
      <c r="V3" s="3" t="s">
        <v>106</v>
      </c>
      <c r="W3" s="3"/>
    </row>
    <row r="4" spans="1:23" ht="28.5">
      <c r="A4" s="3">
        <v>3</v>
      </c>
      <c r="B4" s="3" t="s">
        <v>125</v>
      </c>
      <c r="C4" s="3" t="s">
        <v>125</v>
      </c>
      <c r="D4" s="3" t="s">
        <v>126</v>
      </c>
      <c r="E4" s="3" t="s">
        <v>79</v>
      </c>
      <c r="F4" s="3" t="s">
        <v>80</v>
      </c>
      <c r="G4" s="3" t="s">
        <v>81</v>
      </c>
      <c r="H4" s="3" t="s">
        <v>82</v>
      </c>
      <c r="I4" s="3" t="s">
        <v>25</v>
      </c>
      <c r="J4" s="3" t="s">
        <v>961</v>
      </c>
      <c r="K4" s="3" t="s">
        <v>966</v>
      </c>
      <c r="L4" s="3" t="s">
        <v>129</v>
      </c>
      <c r="M4" s="3" t="s">
        <v>967</v>
      </c>
      <c r="N4" s="3" t="s">
        <v>130</v>
      </c>
      <c r="O4" s="3" t="s">
        <v>87</v>
      </c>
      <c r="P4" s="3" t="s">
        <v>88</v>
      </c>
      <c r="Q4" s="3" t="s">
        <v>192</v>
      </c>
      <c r="R4" s="3" t="s">
        <v>192</v>
      </c>
      <c r="S4" s="3" t="s">
        <v>192</v>
      </c>
      <c r="T4" s="3" t="s">
        <v>192</v>
      </c>
      <c r="U4" s="3"/>
      <c r="V4" s="3" t="s">
        <v>106</v>
      </c>
      <c r="W4" s="3"/>
    </row>
    <row r="5" spans="1:23" ht="28.5">
      <c r="A5" s="3">
        <v>4</v>
      </c>
      <c r="B5" s="3" t="s">
        <v>142</v>
      </c>
      <c r="C5" s="3" t="s">
        <v>142</v>
      </c>
      <c r="D5" s="3" t="s">
        <v>143</v>
      </c>
      <c r="E5" s="3" t="s">
        <v>79</v>
      </c>
      <c r="F5" s="3" t="s">
        <v>80</v>
      </c>
      <c r="G5" s="3" t="s">
        <v>145</v>
      </c>
      <c r="H5" s="3" t="s">
        <v>82</v>
      </c>
      <c r="I5" s="3" t="s">
        <v>25</v>
      </c>
      <c r="J5" s="3" t="s">
        <v>961</v>
      </c>
      <c r="K5" s="3" t="s">
        <v>968</v>
      </c>
      <c r="L5" s="3" t="s">
        <v>148</v>
      </c>
      <c r="M5" s="3" t="s">
        <v>969</v>
      </c>
      <c r="N5" s="3" t="s">
        <v>149</v>
      </c>
      <c r="O5" s="3" t="s">
        <v>87</v>
      </c>
      <c r="P5" s="3" t="s">
        <v>88</v>
      </c>
      <c r="Q5" s="3" t="s">
        <v>192</v>
      </c>
      <c r="R5" s="3" t="s">
        <v>192</v>
      </c>
      <c r="S5" s="3" t="s">
        <v>192</v>
      </c>
      <c r="T5" s="3" t="s">
        <v>192</v>
      </c>
      <c r="U5" s="3"/>
      <c r="V5" s="3" t="s">
        <v>106</v>
      </c>
      <c r="W5" s="3"/>
    </row>
    <row r="6" spans="1:23" ht="28.5">
      <c r="A6" s="3">
        <v>5</v>
      </c>
      <c r="B6" s="3" t="s">
        <v>160</v>
      </c>
      <c r="C6" s="3" t="s">
        <v>160</v>
      </c>
      <c r="D6" s="3" t="s">
        <v>161</v>
      </c>
      <c r="E6" s="3" t="s">
        <v>79</v>
      </c>
      <c r="F6" s="3" t="s">
        <v>80</v>
      </c>
      <c r="G6" s="3" t="s">
        <v>145</v>
      </c>
      <c r="H6" s="3" t="s">
        <v>82</v>
      </c>
      <c r="I6" s="3" t="s">
        <v>25</v>
      </c>
      <c r="J6" s="3" t="s">
        <v>961</v>
      </c>
      <c r="K6" s="3" t="s">
        <v>970</v>
      </c>
      <c r="L6" s="3" t="s">
        <v>165</v>
      </c>
      <c r="M6" s="3" t="s">
        <v>971</v>
      </c>
      <c r="N6" s="3" t="s">
        <v>166</v>
      </c>
      <c r="O6" s="3" t="s">
        <v>87</v>
      </c>
      <c r="P6" s="3" t="s">
        <v>167</v>
      </c>
      <c r="Q6" s="3" t="s">
        <v>192</v>
      </c>
      <c r="R6" s="3" t="s">
        <v>192</v>
      </c>
      <c r="S6" s="3" t="s">
        <v>192</v>
      </c>
      <c r="T6" s="3" t="s">
        <v>192</v>
      </c>
      <c r="U6" s="3"/>
      <c r="V6" s="3" t="s">
        <v>106</v>
      </c>
      <c r="W6" s="3"/>
    </row>
    <row r="7" spans="1:23" ht="28.5">
      <c r="A7" s="3">
        <v>6</v>
      </c>
      <c r="B7" s="3" t="s">
        <v>179</v>
      </c>
      <c r="C7" s="3" t="s">
        <v>179</v>
      </c>
      <c r="D7" s="3" t="s">
        <v>180</v>
      </c>
      <c r="E7" s="3" t="s">
        <v>79</v>
      </c>
      <c r="F7" s="3" t="s">
        <v>80</v>
      </c>
      <c r="G7" s="3" t="s">
        <v>81</v>
      </c>
      <c r="H7" s="3" t="s">
        <v>82</v>
      </c>
      <c r="I7" s="3" t="s">
        <v>25</v>
      </c>
      <c r="J7" s="3" t="s">
        <v>961</v>
      </c>
      <c r="K7" s="3" t="s">
        <v>972</v>
      </c>
      <c r="L7" s="3" t="s">
        <v>184</v>
      </c>
      <c r="M7" s="3" t="s">
        <v>973</v>
      </c>
      <c r="N7" s="3" t="s">
        <v>185</v>
      </c>
      <c r="O7" s="3" t="s">
        <v>87</v>
      </c>
      <c r="P7" s="3" t="s">
        <v>88</v>
      </c>
      <c r="Q7" s="3" t="s">
        <v>192</v>
      </c>
      <c r="R7" s="3" t="s">
        <v>192</v>
      </c>
      <c r="S7" s="3" t="s">
        <v>192</v>
      </c>
      <c r="T7" s="3" t="s">
        <v>192</v>
      </c>
      <c r="U7" s="3"/>
      <c r="V7" s="3" t="s">
        <v>106</v>
      </c>
      <c r="W7" s="3"/>
    </row>
    <row r="8" spans="1:23" ht="28.5">
      <c r="A8" s="3">
        <v>7</v>
      </c>
      <c r="B8" s="3" t="s">
        <v>196</v>
      </c>
      <c r="C8" s="3" t="s">
        <v>196</v>
      </c>
      <c r="D8" s="3" t="s">
        <v>197</v>
      </c>
      <c r="E8" s="3" t="s">
        <v>79</v>
      </c>
      <c r="F8" s="3" t="s">
        <v>80</v>
      </c>
      <c r="G8" s="3" t="s">
        <v>81</v>
      </c>
      <c r="H8" s="3" t="s">
        <v>82</v>
      </c>
      <c r="I8" s="3" t="s">
        <v>25</v>
      </c>
      <c r="J8" s="3" t="s">
        <v>961</v>
      </c>
      <c r="K8" s="3" t="s">
        <v>974</v>
      </c>
      <c r="L8" s="3" t="s">
        <v>200</v>
      </c>
      <c r="M8" s="3" t="s">
        <v>975</v>
      </c>
      <c r="N8" s="3" t="s">
        <v>201</v>
      </c>
      <c r="O8" s="3" t="s">
        <v>87</v>
      </c>
      <c r="P8" s="3" t="s">
        <v>88</v>
      </c>
      <c r="Q8" s="3" t="s">
        <v>192</v>
      </c>
      <c r="R8" s="3" t="s">
        <v>192</v>
      </c>
      <c r="S8" s="3" t="s">
        <v>192</v>
      </c>
      <c r="T8" s="3" t="s">
        <v>192</v>
      </c>
      <c r="U8" s="3"/>
      <c r="V8" s="3" t="s">
        <v>106</v>
      </c>
      <c r="W8" s="3"/>
    </row>
    <row r="9" spans="1:23" ht="28.5">
      <c r="A9" s="3">
        <v>8</v>
      </c>
      <c r="B9" s="3" t="s">
        <v>210</v>
      </c>
      <c r="C9" s="3" t="s">
        <v>210</v>
      </c>
      <c r="D9" s="3" t="s">
        <v>211</v>
      </c>
      <c r="E9" s="3" t="s">
        <v>79</v>
      </c>
      <c r="F9" s="3" t="s">
        <v>80</v>
      </c>
      <c r="G9" s="3" t="s">
        <v>81</v>
      </c>
      <c r="H9" s="3" t="s">
        <v>82</v>
      </c>
      <c r="I9" s="3" t="s">
        <v>25</v>
      </c>
      <c r="J9" s="3" t="s">
        <v>961</v>
      </c>
      <c r="K9" s="3" t="s">
        <v>976</v>
      </c>
      <c r="L9" s="3" t="s">
        <v>214</v>
      </c>
      <c r="M9" s="3" t="s">
        <v>977</v>
      </c>
      <c r="N9" s="3" t="s">
        <v>215</v>
      </c>
      <c r="O9" s="3" t="s">
        <v>87</v>
      </c>
      <c r="P9" s="3" t="s">
        <v>88</v>
      </c>
      <c r="Q9" s="3" t="s">
        <v>192</v>
      </c>
      <c r="R9" s="3" t="s">
        <v>192</v>
      </c>
      <c r="S9" s="3" t="s">
        <v>192</v>
      </c>
      <c r="T9" s="3" t="s">
        <v>192</v>
      </c>
      <c r="U9" s="3"/>
      <c r="V9" s="3" t="s">
        <v>106</v>
      </c>
      <c r="W9" s="3"/>
    </row>
    <row r="10" spans="1:23" ht="28.5">
      <c r="A10" s="3">
        <v>9</v>
      </c>
      <c r="B10" s="3" t="s">
        <v>223</v>
      </c>
      <c r="C10" s="3" t="s">
        <v>223</v>
      </c>
      <c r="D10" s="3" t="s">
        <v>224</v>
      </c>
      <c r="E10" s="3" t="s">
        <v>79</v>
      </c>
      <c r="F10" s="3" t="s">
        <v>80</v>
      </c>
      <c r="G10" s="3" t="s">
        <v>81</v>
      </c>
      <c r="H10" s="3" t="s">
        <v>82</v>
      </c>
      <c r="I10" s="3" t="s">
        <v>25</v>
      </c>
      <c r="J10" s="3" t="s">
        <v>961</v>
      </c>
      <c r="K10" s="3" t="s">
        <v>978</v>
      </c>
      <c r="L10" s="3" t="s">
        <v>227</v>
      </c>
      <c r="M10" s="3" t="s">
        <v>979</v>
      </c>
      <c r="N10" s="3" t="s">
        <v>228</v>
      </c>
      <c r="O10" s="3" t="s">
        <v>87</v>
      </c>
      <c r="P10" s="3" t="s">
        <v>88</v>
      </c>
      <c r="Q10" s="3" t="s">
        <v>192</v>
      </c>
      <c r="R10" s="3" t="s">
        <v>192</v>
      </c>
      <c r="S10" s="3" t="s">
        <v>192</v>
      </c>
      <c r="T10" s="3" t="s">
        <v>192</v>
      </c>
      <c r="U10" s="3"/>
      <c r="V10" s="3" t="s">
        <v>106</v>
      </c>
      <c r="W10" s="3"/>
    </row>
    <row r="11" spans="1:23" ht="28.5">
      <c r="A11" s="3">
        <v>10</v>
      </c>
      <c r="B11" s="3" t="s">
        <v>232</v>
      </c>
      <c r="C11" s="3" t="s">
        <v>232</v>
      </c>
      <c r="D11" s="3" t="s">
        <v>233</v>
      </c>
      <c r="E11" s="3" t="s">
        <v>79</v>
      </c>
      <c r="F11" s="3" t="s">
        <v>80</v>
      </c>
      <c r="G11" s="3" t="s">
        <v>81</v>
      </c>
      <c r="H11" s="3" t="s">
        <v>82</v>
      </c>
      <c r="I11" s="3" t="s">
        <v>25</v>
      </c>
      <c r="J11" s="3" t="s">
        <v>961</v>
      </c>
      <c r="K11" s="3" t="s">
        <v>980</v>
      </c>
      <c r="L11" s="3" t="s">
        <v>236</v>
      </c>
      <c r="M11" s="3" t="s">
        <v>981</v>
      </c>
      <c r="N11" s="3" t="s">
        <v>237</v>
      </c>
      <c r="O11" s="3" t="s">
        <v>87</v>
      </c>
      <c r="P11" s="3" t="s">
        <v>88</v>
      </c>
      <c r="Q11" s="3" t="s">
        <v>192</v>
      </c>
      <c r="R11" s="3" t="s">
        <v>192</v>
      </c>
      <c r="S11" s="3" t="s">
        <v>192</v>
      </c>
      <c r="T11" s="3" t="s">
        <v>192</v>
      </c>
      <c r="U11" s="3"/>
      <c r="V11" s="3" t="s">
        <v>106</v>
      </c>
      <c r="W11" s="3"/>
    </row>
    <row r="12" spans="1:23" ht="28.5">
      <c r="A12" s="3">
        <v>11</v>
      </c>
      <c r="B12" s="3" t="s">
        <v>246</v>
      </c>
      <c r="C12" s="3" t="s">
        <v>246</v>
      </c>
      <c r="D12" s="3" t="s">
        <v>247</v>
      </c>
      <c r="E12" s="3" t="s">
        <v>248</v>
      </c>
      <c r="F12" s="3" t="s">
        <v>80</v>
      </c>
      <c r="G12" s="3" t="s">
        <v>145</v>
      </c>
      <c r="H12" s="3" t="s">
        <v>82</v>
      </c>
      <c r="I12" s="3" t="s">
        <v>26</v>
      </c>
      <c r="J12" s="3" t="s">
        <v>982</v>
      </c>
      <c r="K12" s="3" t="s">
        <v>983</v>
      </c>
      <c r="L12" s="3" t="s">
        <v>251</v>
      </c>
      <c r="M12" s="3" t="s">
        <v>984</v>
      </c>
      <c r="N12" s="3" t="s">
        <v>252</v>
      </c>
      <c r="O12" s="3" t="s">
        <v>253</v>
      </c>
      <c r="P12" s="3" t="s">
        <v>254</v>
      </c>
      <c r="Q12" s="3" t="s">
        <v>192</v>
      </c>
      <c r="R12" s="3" t="s">
        <v>192</v>
      </c>
      <c r="S12" s="3" t="s">
        <v>192</v>
      </c>
      <c r="T12" s="3" t="s">
        <v>192</v>
      </c>
      <c r="U12" s="3"/>
      <c r="V12" s="3" t="s">
        <v>260</v>
      </c>
      <c r="W12" s="3"/>
    </row>
    <row r="13" spans="1:23" ht="28.5">
      <c r="A13" s="3">
        <v>12</v>
      </c>
      <c r="B13" s="3" t="s">
        <v>261</v>
      </c>
      <c r="C13" s="3" t="s">
        <v>261</v>
      </c>
      <c r="D13" s="3" t="s">
        <v>262</v>
      </c>
      <c r="E13" s="3" t="s">
        <v>248</v>
      </c>
      <c r="F13" s="3" t="s">
        <v>80</v>
      </c>
      <c r="G13" s="3" t="s">
        <v>145</v>
      </c>
      <c r="H13" s="3" t="s">
        <v>82</v>
      </c>
      <c r="I13" s="3" t="s">
        <v>26</v>
      </c>
      <c r="J13" s="3" t="s">
        <v>982</v>
      </c>
      <c r="K13" s="3" t="s">
        <v>985</v>
      </c>
      <c r="L13" s="3" t="s">
        <v>265</v>
      </c>
      <c r="M13" s="3" t="s">
        <v>986</v>
      </c>
      <c r="N13" s="3" t="s">
        <v>266</v>
      </c>
      <c r="O13" s="3" t="s">
        <v>253</v>
      </c>
      <c r="P13" s="3" t="s">
        <v>254</v>
      </c>
      <c r="Q13" s="3" t="s">
        <v>192</v>
      </c>
      <c r="R13" s="3" t="s">
        <v>192</v>
      </c>
      <c r="S13" s="3" t="s">
        <v>192</v>
      </c>
      <c r="T13" s="3" t="s">
        <v>192</v>
      </c>
      <c r="U13" s="3"/>
      <c r="V13" s="3" t="s">
        <v>260</v>
      </c>
      <c r="W13" s="3"/>
    </row>
    <row r="14" spans="1:23" ht="28.5">
      <c r="A14" s="3">
        <v>13</v>
      </c>
      <c r="B14" s="3" t="s">
        <v>270</v>
      </c>
      <c r="C14" s="3" t="s">
        <v>270</v>
      </c>
      <c r="D14" s="3" t="s">
        <v>271</v>
      </c>
      <c r="E14" s="3" t="s">
        <v>248</v>
      </c>
      <c r="F14" s="3" t="s">
        <v>80</v>
      </c>
      <c r="G14" s="3" t="s">
        <v>145</v>
      </c>
      <c r="H14" s="3" t="s">
        <v>82</v>
      </c>
      <c r="I14" s="3" t="s">
        <v>26</v>
      </c>
      <c r="J14" s="3" t="s">
        <v>982</v>
      </c>
      <c r="K14" s="3" t="s">
        <v>987</v>
      </c>
      <c r="L14" s="3" t="s">
        <v>274</v>
      </c>
      <c r="M14" s="3" t="s">
        <v>988</v>
      </c>
      <c r="N14" s="3" t="s">
        <v>275</v>
      </c>
      <c r="O14" s="3" t="s">
        <v>253</v>
      </c>
      <c r="P14" s="3" t="s">
        <v>254</v>
      </c>
      <c r="Q14" s="3" t="s">
        <v>192</v>
      </c>
      <c r="R14" s="3" t="s">
        <v>192</v>
      </c>
      <c r="S14" s="3" t="s">
        <v>192</v>
      </c>
      <c r="T14" s="3" t="s">
        <v>192</v>
      </c>
      <c r="U14" s="3"/>
      <c r="V14" s="3" t="s">
        <v>260</v>
      </c>
      <c r="W14" s="3"/>
    </row>
    <row r="15" spans="1:23" ht="28.5">
      <c r="A15" s="3">
        <v>14</v>
      </c>
      <c r="B15" s="3" t="s">
        <v>279</v>
      </c>
      <c r="C15" s="3" t="s">
        <v>279</v>
      </c>
      <c r="D15" s="3" t="s">
        <v>280</v>
      </c>
      <c r="E15" s="3" t="s">
        <v>248</v>
      </c>
      <c r="F15" s="3" t="s">
        <v>80</v>
      </c>
      <c r="G15" s="3" t="s">
        <v>145</v>
      </c>
      <c r="H15" s="3" t="s">
        <v>82</v>
      </c>
      <c r="I15" s="3" t="s">
        <v>26</v>
      </c>
      <c r="J15" s="3" t="s">
        <v>982</v>
      </c>
      <c r="K15" s="3" t="s">
        <v>989</v>
      </c>
      <c r="L15" s="3" t="s">
        <v>283</v>
      </c>
      <c r="M15" s="3" t="s">
        <v>990</v>
      </c>
      <c r="N15" s="3" t="s">
        <v>284</v>
      </c>
      <c r="O15" s="3" t="s">
        <v>253</v>
      </c>
      <c r="P15" s="3" t="s">
        <v>254</v>
      </c>
      <c r="Q15" s="3" t="s">
        <v>192</v>
      </c>
      <c r="R15" s="3" t="s">
        <v>192</v>
      </c>
      <c r="S15" s="3" t="s">
        <v>192</v>
      </c>
      <c r="T15" s="3" t="s">
        <v>192</v>
      </c>
      <c r="U15" s="3"/>
      <c r="V15" s="3" t="s">
        <v>260</v>
      </c>
      <c r="W15" s="3"/>
    </row>
    <row r="16" spans="1:23" ht="28.5">
      <c r="A16" s="3">
        <v>15</v>
      </c>
      <c r="B16" s="3" t="s">
        <v>288</v>
      </c>
      <c r="C16" s="3" t="s">
        <v>288</v>
      </c>
      <c r="D16" s="3" t="s">
        <v>289</v>
      </c>
      <c r="E16" s="3" t="s">
        <v>248</v>
      </c>
      <c r="F16" s="3" t="s">
        <v>80</v>
      </c>
      <c r="G16" s="3" t="s">
        <v>145</v>
      </c>
      <c r="H16" s="3" t="s">
        <v>82</v>
      </c>
      <c r="I16" s="3" t="s">
        <v>26</v>
      </c>
      <c r="J16" s="3" t="s">
        <v>982</v>
      </c>
      <c r="K16" s="3" t="s">
        <v>991</v>
      </c>
      <c r="L16" s="3" t="s">
        <v>292</v>
      </c>
      <c r="M16" s="3" t="s">
        <v>992</v>
      </c>
      <c r="N16" s="3" t="s">
        <v>293</v>
      </c>
      <c r="O16" s="3" t="s">
        <v>253</v>
      </c>
      <c r="P16" s="3" t="s">
        <v>254</v>
      </c>
      <c r="Q16" s="3" t="s">
        <v>192</v>
      </c>
      <c r="R16" s="3" t="s">
        <v>192</v>
      </c>
      <c r="S16" s="3" t="s">
        <v>192</v>
      </c>
      <c r="T16" s="3" t="s">
        <v>192</v>
      </c>
      <c r="U16" s="3"/>
      <c r="V16" s="3" t="s">
        <v>260</v>
      </c>
      <c r="W16" s="3"/>
    </row>
    <row r="17" spans="1:23" ht="28.5">
      <c r="A17" s="3">
        <v>16</v>
      </c>
      <c r="B17" s="3" t="s">
        <v>297</v>
      </c>
      <c r="C17" s="3" t="s">
        <v>297</v>
      </c>
      <c r="D17" s="3" t="s">
        <v>298</v>
      </c>
      <c r="E17" s="3" t="s">
        <v>248</v>
      </c>
      <c r="F17" s="3" t="s">
        <v>80</v>
      </c>
      <c r="G17" s="3" t="s">
        <v>145</v>
      </c>
      <c r="H17" s="3" t="s">
        <v>82</v>
      </c>
      <c r="I17" s="3" t="s">
        <v>26</v>
      </c>
      <c r="J17" s="3" t="s">
        <v>982</v>
      </c>
      <c r="K17" s="3" t="s">
        <v>993</v>
      </c>
      <c r="L17" s="3" t="s">
        <v>301</v>
      </c>
      <c r="M17" s="3" t="s">
        <v>994</v>
      </c>
      <c r="N17" s="3" t="s">
        <v>302</v>
      </c>
      <c r="O17" s="3" t="s">
        <v>253</v>
      </c>
      <c r="P17" s="3" t="s">
        <v>254</v>
      </c>
      <c r="Q17" s="3" t="s">
        <v>192</v>
      </c>
      <c r="R17" s="3" t="s">
        <v>192</v>
      </c>
      <c r="S17" s="3" t="s">
        <v>192</v>
      </c>
      <c r="T17" s="3" t="s">
        <v>192</v>
      </c>
      <c r="U17" s="3"/>
      <c r="V17" s="3" t="s">
        <v>260</v>
      </c>
      <c r="W17" s="3"/>
    </row>
    <row r="18" spans="1:23" ht="28.5">
      <c r="A18" s="3">
        <v>17</v>
      </c>
      <c r="B18" s="3" t="s">
        <v>306</v>
      </c>
      <c r="C18" s="3" t="s">
        <v>306</v>
      </c>
      <c r="D18" s="3" t="s">
        <v>307</v>
      </c>
      <c r="E18" s="3" t="s">
        <v>248</v>
      </c>
      <c r="F18" s="3" t="s">
        <v>308</v>
      </c>
      <c r="G18" s="3" t="s">
        <v>145</v>
      </c>
      <c r="H18" s="3" t="s">
        <v>82</v>
      </c>
      <c r="I18" s="3" t="s">
        <v>26</v>
      </c>
      <c r="J18" s="3" t="s">
        <v>982</v>
      </c>
      <c r="K18" s="3" t="s">
        <v>995</v>
      </c>
      <c r="L18" s="3" t="s">
        <v>312</v>
      </c>
      <c r="M18" s="3" t="s">
        <v>996</v>
      </c>
      <c r="N18" s="3" t="s">
        <v>313</v>
      </c>
      <c r="O18" s="3" t="s">
        <v>253</v>
      </c>
      <c r="P18" s="3" t="s">
        <v>254</v>
      </c>
      <c r="Q18" s="3" t="s">
        <v>192</v>
      </c>
      <c r="R18" s="3" t="s">
        <v>192</v>
      </c>
      <c r="S18" s="3" t="s">
        <v>192</v>
      </c>
      <c r="T18" s="3" t="s">
        <v>192</v>
      </c>
      <c r="U18" s="3"/>
      <c r="V18" s="3" t="s">
        <v>260</v>
      </c>
      <c r="W18" s="3"/>
    </row>
    <row r="19" spans="1:23" ht="28.5">
      <c r="A19" s="3">
        <v>18</v>
      </c>
      <c r="B19" s="3" t="s">
        <v>317</v>
      </c>
      <c r="C19" s="3" t="s">
        <v>317</v>
      </c>
      <c r="D19" s="3" t="s">
        <v>318</v>
      </c>
      <c r="E19" s="3" t="s">
        <v>248</v>
      </c>
      <c r="F19" s="3" t="s">
        <v>308</v>
      </c>
      <c r="G19" s="3" t="s">
        <v>145</v>
      </c>
      <c r="H19" s="3" t="s">
        <v>82</v>
      </c>
      <c r="I19" s="3" t="s">
        <v>26</v>
      </c>
      <c r="J19" s="3" t="s">
        <v>982</v>
      </c>
      <c r="K19" s="3" t="s">
        <v>997</v>
      </c>
      <c r="L19" s="3" t="s">
        <v>321</v>
      </c>
      <c r="M19" s="3" t="s">
        <v>998</v>
      </c>
      <c r="N19" s="3" t="s">
        <v>322</v>
      </c>
      <c r="O19" s="3" t="s">
        <v>253</v>
      </c>
      <c r="P19" s="3" t="s">
        <v>254</v>
      </c>
      <c r="Q19" s="3" t="s">
        <v>192</v>
      </c>
      <c r="R19" s="3" t="s">
        <v>192</v>
      </c>
      <c r="S19" s="3" t="s">
        <v>192</v>
      </c>
      <c r="T19" s="3" t="s">
        <v>192</v>
      </c>
      <c r="U19" s="3"/>
      <c r="V19" s="3" t="s">
        <v>260</v>
      </c>
      <c r="W19" s="3"/>
    </row>
    <row r="20" spans="1:23" ht="28.5">
      <c r="A20" s="3">
        <v>19</v>
      </c>
      <c r="B20" s="3" t="s">
        <v>326</v>
      </c>
      <c r="C20" s="3" t="s">
        <v>326</v>
      </c>
      <c r="D20" s="3" t="s">
        <v>327</v>
      </c>
      <c r="E20" s="3" t="s">
        <v>248</v>
      </c>
      <c r="F20" s="3" t="s">
        <v>308</v>
      </c>
      <c r="G20" s="3" t="s">
        <v>145</v>
      </c>
      <c r="H20" s="3" t="s">
        <v>82</v>
      </c>
      <c r="I20" s="3" t="s">
        <v>26</v>
      </c>
      <c r="J20" s="3" t="s">
        <v>982</v>
      </c>
      <c r="K20" s="3" t="s">
        <v>999</v>
      </c>
      <c r="L20" s="3" t="s">
        <v>330</v>
      </c>
      <c r="M20" s="3" t="s">
        <v>1000</v>
      </c>
      <c r="N20" s="3" t="s">
        <v>331</v>
      </c>
      <c r="O20" s="3" t="s">
        <v>253</v>
      </c>
      <c r="P20" s="3" t="s">
        <v>254</v>
      </c>
      <c r="Q20" s="3" t="s">
        <v>192</v>
      </c>
      <c r="R20" s="3" t="s">
        <v>192</v>
      </c>
      <c r="S20" s="3" t="s">
        <v>192</v>
      </c>
      <c r="T20" s="3" t="s">
        <v>192</v>
      </c>
      <c r="U20" s="3"/>
      <c r="V20" s="3" t="s">
        <v>260</v>
      </c>
      <c r="W20" s="3"/>
    </row>
    <row r="21" spans="1:23" ht="42.75">
      <c r="A21" s="3">
        <v>20</v>
      </c>
      <c r="B21" s="3" t="s">
        <v>335</v>
      </c>
      <c r="C21" s="3" t="s">
        <v>335</v>
      </c>
      <c r="D21" s="3" t="s">
        <v>336</v>
      </c>
      <c r="E21" s="3" t="s">
        <v>337</v>
      </c>
      <c r="F21" s="3" t="s">
        <v>338</v>
      </c>
      <c r="G21" s="3" t="s">
        <v>340</v>
      </c>
      <c r="H21" s="3" t="s">
        <v>341</v>
      </c>
      <c r="I21" s="3" t="s">
        <v>27</v>
      </c>
      <c r="J21" s="3" t="s">
        <v>1001</v>
      </c>
      <c r="K21" s="3" t="s">
        <v>1002</v>
      </c>
      <c r="L21" s="3" t="s">
        <v>344</v>
      </c>
      <c r="M21" s="3" t="s">
        <v>1003</v>
      </c>
      <c r="N21" s="3" t="s">
        <v>345</v>
      </c>
      <c r="O21" s="3" t="s">
        <v>346</v>
      </c>
      <c r="P21" s="3" t="s">
        <v>347</v>
      </c>
      <c r="Q21" s="3" t="s">
        <v>192</v>
      </c>
      <c r="R21" s="3" t="s">
        <v>192</v>
      </c>
      <c r="S21" s="3" t="s">
        <v>192</v>
      </c>
      <c r="T21" s="3" t="s">
        <v>192</v>
      </c>
      <c r="U21" s="3"/>
      <c r="V21" s="3" t="s">
        <v>357</v>
      </c>
      <c r="W21" s="3"/>
    </row>
    <row r="22" spans="1:23" ht="28.5">
      <c r="A22" s="3">
        <v>21</v>
      </c>
      <c r="B22" s="3" t="s">
        <v>358</v>
      </c>
      <c r="C22" s="3" t="s">
        <v>358</v>
      </c>
      <c r="D22" s="3" t="s">
        <v>359</v>
      </c>
      <c r="E22" s="3" t="s">
        <v>337</v>
      </c>
      <c r="F22" s="3" t="s">
        <v>338</v>
      </c>
      <c r="G22" s="3" t="s">
        <v>340</v>
      </c>
      <c r="H22" s="3" t="s">
        <v>341</v>
      </c>
      <c r="I22" s="3" t="s">
        <v>27</v>
      </c>
      <c r="J22" s="3" t="s">
        <v>1001</v>
      </c>
      <c r="K22" s="3" t="s">
        <v>1004</v>
      </c>
      <c r="L22" s="3" t="s">
        <v>362</v>
      </c>
      <c r="M22" s="3" t="s">
        <v>1005</v>
      </c>
      <c r="N22" s="3" t="s">
        <v>363</v>
      </c>
      <c r="O22" s="3" t="s">
        <v>346</v>
      </c>
      <c r="P22" s="3" t="s">
        <v>347</v>
      </c>
      <c r="Q22" s="3" t="s">
        <v>192</v>
      </c>
      <c r="R22" s="3" t="s">
        <v>192</v>
      </c>
      <c r="S22" s="3" t="s">
        <v>192</v>
      </c>
      <c r="T22" s="3" t="s">
        <v>192</v>
      </c>
      <c r="U22" s="3"/>
      <c r="V22" s="3" t="s">
        <v>357</v>
      </c>
      <c r="W22" s="3"/>
    </row>
    <row r="23" spans="1:23" ht="28.5">
      <c r="A23" s="3">
        <v>22</v>
      </c>
      <c r="B23" s="3" t="s">
        <v>366</v>
      </c>
      <c r="C23" s="3" t="s">
        <v>366</v>
      </c>
      <c r="D23" s="3" t="s">
        <v>367</v>
      </c>
      <c r="E23" s="3" t="s">
        <v>337</v>
      </c>
      <c r="F23" s="3" t="s">
        <v>338</v>
      </c>
      <c r="G23" s="3" t="s">
        <v>340</v>
      </c>
      <c r="H23" s="3" t="s">
        <v>341</v>
      </c>
      <c r="I23" s="3" t="s">
        <v>27</v>
      </c>
      <c r="J23" s="3" t="s">
        <v>1001</v>
      </c>
      <c r="K23" s="3" t="s">
        <v>1006</v>
      </c>
      <c r="L23" s="3" t="s">
        <v>370</v>
      </c>
      <c r="M23" s="3" t="s">
        <v>1007</v>
      </c>
      <c r="N23" s="3" t="s">
        <v>371</v>
      </c>
      <c r="O23" s="3" t="s">
        <v>346</v>
      </c>
      <c r="P23" s="3" t="s">
        <v>347</v>
      </c>
      <c r="Q23" s="3" t="s">
        <v>192</v>
      </c>
      <c r="R23" s="3" t="s">
        <v>192</v>
      </c>
      <c r="S23" s="3" t="s">
        <v>192</v>
      </c>
      <c r="T23" s="3" t="s">
        <v>192</v>
      </c>
      <c r="U23" s="3"/>
      <c r="V23" s="3" t="s">
        <v>357</v>
      </c>
      <c r="W23" s="3"/>
    </row>
    <row r="24" spans="1:23" ht="28.5">
      <c r="A24" s="3">
        <v>23</v>
      </c>
      <c r="B24" s="3" t="s">
        <v>374</v>
      </c>
      <c r="C24" s="3" t="s">
        <v>374</v>
      </c>
      <c r="D24" s="3" t="s">
        <v>375</v>
      </c>
      <c r="E24" s="3" t="s">
        <v>337</v>
      </c>
      <c r="F24" s="3" t="s">
        <v>338</v>
      </c>
      <c r="G24" s="3" t="s">
        <v>340</v>
      </c>
      <c r="H24" s="3" t="s">
        <v>341</v>
      </c>
      <c r="I24" s="3" t="s">
        <v>27</v>
      </c>
      <c r="J24" s="3" t="s">
        <v>1001</v>
      </c>
      <c r="K24" s="3" t="s">
        <v>1008</v>
      </c>
      <c r="L24" s="3" t="s">
        <v>378</v>
      </c>
      <c r="M24" s="3" t="s">
        <v>1009</v>
      </c>
      <c r="N24" s="3" t="s">
        <v>379</v>
      </c>
      <c r="O24" s="3" t="s">
        <v>346</v>
      </c>
      <c r="P24" s="3" t="s">
        <v>347</v>
      </c>
      <c r="Q24" s="3" t="s">
        <v>192</v>
      </c>
      <c r="R24" s="3" t="s">
        <v>192</v>
      </c>
      <c r="S24" s="3" t="s">
        <v>192</v>
      </c>
      <c r="T24" s="3" t="s">
        <v>192</v>
      </c>
      <c r="U24" s="3"/>
      <c r="V24" s="3" t="s">
        <v>357</v>
      </c>
      <c r="W24" s="3"/>
    </row>
    <row r="25" spans="1:23" ht="28.5">
      <c r="A25" s="3">
        <v>24</v>
      </c>
      <c r="B25" s="3" t="s">
        <v>382</v>
      </c>
      <c r="C25" s="3" t="s">
        <v>382</v>
      </c>
      <c r="D25" s="3" t="s">
        <v>383</v>
      </c>
      <c r="E25" s="3" t="s">
        <v>337</v>
      </c>
      <c r="F25" s="3" t="s">
        <v>338</v>
      </c>
      <c r="G25" s="3" t="s">
        <v>340</v>
      </c>
      <c r="H25" s="3" t="s">
        <v>341</v>
      </c>
      <c r="I25" s="3" t="s">
        <v>27</v>
      </c>
      <c r="J25" s="3" t="s">
        <v>1001</v>
      </c>
      <c r="K25" s="3" t="s">
        <v>1010</v>
      </c>
      <c r="L25" s="3" t="s">
        <v>386</v>
      </c>
      <c r="M25" s="3" t="s">
        <v>1011</v>
      </c>
      <c r="N25" s="3" t="s">
        <v>387</v>
      </c>
      <c r="O25" s="3" t="s">
        <v>346</v>
      </c>
      <c r="P25" s="3" t="s">
        <v>347</v>
      </c>
      <c r="Q25" s="3" t="s">
        <v>192</v>
      </c>
      <c r="R25" s="3" t="s">
        <v>192</v>
      </c>
      <c r="S25" s="3" t="s">
        <v>192</v>
      </c>
      <c r="T25" s="3" t="s">
        <v>192</v>
      </c>
      <c r="U25" s="3"/>
      <c r="V25" s="3" t="s">
        <v>357</v>
      </c>
      <c r="W25" s="3"/>
    </row>
    <row r="26" spans="1:23" ht="28.5">
      <c r="A26" s="3">
        <v>25</v>
      </c>
      <c r="B26" s="3" t="s">
        <v>390</v>
      </c>
      <c r="C26" s="3" t="s">
        <v>390</v>
      </c>
      <c r="D26" s="3" t="s">
        <v>391</v>
      </c>
      <c r="E26" s="3" t="s">
        <v>79</v>
      </c>
      <c r="F26" s="3" t="s">
        <v>392</v>
      </c>
      <c r="G26" s="3" t="s">
        <v>81</v>
      </c>
      <c r="H26" s="3" t="s">
        <v>82</v>
      </c>
      <c r="I26" s="3" t="s">
        <v>25</v>
      </c>
      <c r="J26" s="3" t="s">
        <v>961</v>
      </c>
      <c r="K26" s="3" t="s">
        <v>1012</v>
      </c>
      <c r="L26" s="3" t="s">
        <v>395</v>
      </c>
      <c r="M26" s="3" t="s">
        <v>1013</v>
      </c>
      <c r="N26" s="3" t="s">
        <v>396</v>
      </c>
      <c r="O26" s="3" t="s">
        <v>87</v>
      </c>
      <c r="P26" s="3" t="s">
        <v>397</v>
      </c>
      <c r="Q26" s="3" t="s">
        <v>192</v>
      </c>
      <c r="R26" s="3" t="s">
        <v>192</v>
      </c>
      <c r="S26" s="3" t="s">
        <v>192</v>
      </c>
      <c r="T26" s="3" t="s">
        <v>192</v>
      </c>
      <c r="U26" s="3"/>
      <c r="V26" s="3" t="s">
        <v>106</v>
      </c>
      <c r="W26" s="3"/>
    </row>
    <row r="27" spans="1:23" ht="28.5">
      <c r="A27" s="3">
        <v>26</v>
      </c>
      <c r="B27" s="3" t="s">
        <v>401</v>
      </c>
      <c r="C27" s="3" t="s">
        <v>401</v>
      </c>
      <c r="D27" s="3" t="s">
        <v>402</v>
      </c>
      <c r="E27" s="3" t="s">
        <v>79</v>
      </c>
      <c r="F27" s="3" t="s">
        <v>392</v>
      </c>
      <c r="G27" s="3" t="s">
        <v>81</v>
      </c>
      <c r="H27" s="3" t="s">
        <v>82</v>
      </c>
      <c r="I27" s="3" t="s">
        <v>25</v>
      </c>
      <c r="J27" s="3" t="s">
        <v>961</v>
      </c>
      <c r="K27" s="3" t="s">
        <v>1014</v>
      </c>
      <c r="L27" s="3" t="s">
        <v>405</v>
      </c>
      <c r="M27" s="3" t="s">
        <v>1015</v>
      </c>
      <c r="N27" s="3" t="s">
        <v>406</v>
      </c>
      <c r="O27" s="3" t="s">
        <v>87</v>
      </c>
      <c r="P27" s="3" t="s">
        <v>397</v>
      </c>
      <c r="Q27" s="3" t="s">
        <v>192</v>
      </c>
      <c r="R27" s="3" t="s">
        <v>192</v>
      </c>
      <c r="S27" s="3" t="s">
        <v>192</v>
      </c>
      <c r="T27" s="3" t="s">
        <v>192</v>
      </c>
      <c r="U27" s="3"/>
      <c r="V27" s="3" t="s">
        <v>106</v>
      </c>
      <c r="W27" s="3"/>
    </row>
    <row r="28" spans="1:23" ht="28.5">
      <c r="A28" s="3">
        <v>27</v>
      </c>
      <c r="B28" s="3" t="s">
        <v>410</v>
      </c>
      <c r="C28" s="3" t="s">
        <v>410</v>
      </c>
      <c r="D28" s="3" t="s">
        <v>411</v>
      </c>
      <c r="E28" s="3" t="s">
        <v>79</v>
      </c>
      <c r="F28" s="3" t="s">
        <v>392</v>
      </c>
      <c r="G28" s="3" t="s">
        <v>81</v>
      </c>
      <c r="H28" s="3" t="s">
        <v>82</v>
      </c>
      <c r="I28" s="3" t="s">
        <v>25</v>
      </c>
      <c r="J28" s="3" t="s">
        <v>961</v>
      </c>
      <c r="K28" s="3" t="s">
        <v>1016</v>
      </c>
      <c r="L28" s="3" t="s">
        <v>414</v>
      </c>
      <c r="M28" s="3" t="s">
        <v>1017</v>
      </c>
      <c r="N28" s="3" t="s">
        <v>415</v>
      </c>
      <c r="O28" s="3" t="s">
        <v>87</v>
      </c>
      <c r="P28" s="3" t="s">
        <v>397</v>
      </c>
      <c r="Q28" s="3" t="s">
        <v>192</v>
      </c>
      <c r="R28" s="3" t="s">
        <v>192</v>
      </c>
      <c r="S28" s="3" t="s">
        <v>192</v>
      </c>
      <c r="T28" s="3" t="s">
        <v>192</v>
      </c>
      <c r="U28" s="3"/>
      <c r="V28" s="3" t="s">
        <v>106</v>
      </c>
      <c r="W28" s="3"/>
    </row>
    <row r="29" spans="1:23" ht="28.5">
      <c r="A29" s="3">
        <v>28</v>
      </c>
      <c r="B29" s="3" t="s">
        <v>418</v>
      </c>
      <c r="C29" s="3" t="s">
        <v>418</v>
      </c>
      <c r="D29" s="3" t="s">
        <v>419</v>
      </c>
      <c r="E29" s="3" t="s">
        <v>79</v>
      </c>
      <c r="F29" s="3" t="s">
        <v>392</v>
      </c>
      <c r="G29" s="3" t="s">
        <v>81</v>
      </c>
      <c r="H29" s="3" t="s">
        <v>82</v>
      </c>
      <c r="I29" s="3" t="s">
        <v>25</v>
      </c>
      <c r="J29" s="3" t="s">
        <v>961</v>
      </c>
      <c r="K29" s="3" t="s">
        <v>1018</v>
      </c>
      <c r="L29" s="3" t="s">
        <v>422</v>
      </c>
      <c r="M29" s="3" t="s">
        <v>1019</v>
      </c>
      <c r="N29" s="3" t="s">
        <v>423</v>
      </c>
      <c r="O29" s="3" t="s">
        <v>87</v>
      </c>
      <c r="P29" s="3" t="s">
        <v>397</v>
      </c>
      <c r="Q29" s="3" t="s">
        <v>192</v>
      </c>
      <c r="R29" s="3" t="s">
        <v>192</v>
      </c>
      <c r="S29" s="3" t="s">
        <v>192</v>
      </c>
      <c r="T29" s="3" t="s">
        <v>192</v>
      </c>
      <c r="U29" s="3"/>
      <c r="V29" s="3" t="s">
        <v>106</v>
      </c>
      <c r="W29" s="3"/>
    </row>
    <row r="30" spans="1:23" ht="28.5">
      <c r="A30" s="3">
        <v>29</v>
      </c>
      <c r="B30" s="3" t="s">
        <v>426</v>
      </c>
      <c r="C30" s="3" t="s">
        <v>426</v>
      </c>
      <c r="D30" s="3" t="s">
        <v>427</v>
      </c>
      <c r="E30" s="3" t="s">
        <v>79</v>
      </c>
      <c r="F30" s="3" t="s">
        <v>392</v>
      </c>
      <c r="G30" s="3" t="s">
        <v>81</v>
      </c>
      <c r="H30" s="3" t="s">
        <v>82</v>
      </c>
      <c r="I30" s="3" t="s">
        <v>25</v>
      </c>
      <c r="J30" s="3" t="s">
        <v>961</v>
      </c>
      <c r="K30" s="3" t="s">
        <v>1020</v>
      </c>
      <c r="L30" s="3" t="s">
        <v>430</v>
      </c>
      <c r="M30" s="3" t="s">
        <v>1021</v>
      </c>
      <c r="N30" s="3" t="s">
        <v>431</v>
      </c>
      <c r="O30" s="3" t="s">
        <v>87</v>
      </c>
      <c r="P30" s="3" t="s">
        <v>397</v>
      </c>
      <c r="Q30" s="3" t="s">
        <v>192</v>
      </c>
      <c r="R30" s="3" t="s">
        <v>192</v>
      </c>
      <c r="S30" s="3" t="s">
        <v>192</v>
      </c>
      <c r="T30" s="3" t="s">
        <v>192</v>
      </c>
      <c r="U30" s="3"/>
      <c r="V30" s="3" t="s">
        <v>106</v>
      </c>
      <c r="W30" s="3"/>
    </row>
    <row r="31" spans="1:23" ht="28.5">
      <c r="A31" s="3">
        <v>30</v>
      </c>
      <c r="B31" s="3" t="s">
        <v>434</v>
      </c>
      <c r="C31" s="3" t="s">
        <v>434</v>
      </c>
      <c r="D31" s="3" t="s">
        <v>435</v>
      </c>
      <c r="E31" s="3" t="s">
        <v>79</v>
      </c>
      <c r="F31" s="3" t="s">
        <v>392</v>
      </c>
      <c r="G31" s="3" t="s">
        <v>81</v>
      </c>
      <c r="H31" s="3" t="s">
        <v>82</v>
      </c>
      <c r="I31" s="3" t="s">
        <v>25</v>
      </c>
      <c r="J31" s="3" t="s">
        <v>961</v>
      </c>
      <c r="K31" s="3" t="s">
        <v>1022</v>
      </c>
      <c r="L31" s="3" t="s">
        <v>438</v>
      </c>
      <c r="M31" s="3" t="s">
        <v>1023</v>
      </c>
      <c r="N31" s="3" t="s">
        <v>439</v>
      </c>
      <c r="O31" s="3" t="s">
        <v>87</v>
      </c>
      <c r="P31" s="3" t="s">
        <v>397</v>
      </c>
      <c r="Q31" s="3" t="s">
        <v>192</v>
      </c>
      <c r="R31" s="3" t="s">
        <v>192</v>
      </c>
      <c r="S31" s="3" t="s">
        <v>192</v>
      </c>
      <c r="T31" s="3" t="s">
        <v>192</v>
      </c>
      <c r="U31" s="3"/>
      <c r="V31" s="3" t="s">
        <v>106</v>
      </c>
      <c r="W31" s="3"/>
    </row>
    <row r="32" spans="1:23" ht="28.5">
      <c r="A32" s="3">
        <v>31</v>
      </c>
      <c r="B32" s="3" t="s">
        <v>442</v>
      </c>
      <c r="C32" s="3" t="s">
        <v>442</v>
      </c>
      <c r="D32" s="3" t="s">
        <v>443</v>
      </c>
      <c r="E32" s="3" t="s">
        <v>79</v>
      </c>
      <c r="F32" s="3" t="s">
        <v>392</v>
      </c>
      <c r="G32" s="3" t="s">
        <v>81</v>
      </c>
      <c r="H32" s="3" t="s">
        <v>82</v>
      </c>
      <c r="I32" s="3" t="s">
        <v>25</v>
      </c>
      <c r="J32" s="3" t="s">
        <v>961</v>
      </c>
      <c r="K32" s="3" t="s">
        <v>1024</v>
      </c>
      <c r="L32" s="3" t="s">
        <v>446</v>
      </c>
      <c r="M32" s="3" t="s">
        <v>1025</v>
      </c>
      <c r="N32" s="3" t="s">
        <v>447</v>
      </c>
      <c r="O32" s="3" t="s">
        <v>87</v>
      </c>
      <c r="P32" s="3" t="s">
        <v>448</v>
      </c>
      <c r="Q32" s="3" t="s">
        <v>192</v>
      </c>
      <c r="R32" s="3" t="s">
        <v>192</v>
      </c>
      <c r="S32" s="3" t="s">
        <v>192</v>
      </c>
      <c r="T32" s="3" t="s">
        <v>192</v>
      </c>
      <c r="U32" s="3"/>
      <c r="V32" s="3" t="s">
        <v>106</v>
      </c>
      <c r="W32" s="3"/>
    </row>
    <row r="33" spans="1:23" ht="28.5">
      <c r="A33" s="3">
        <v>32</v>
      </c>
      <c r="B33" s="3" t="s">
        <v>456</v>
      </c>
      <c r="C33" s="3" t="s">
        <v>456</v>
      </c>
      <c r="D33" s="3" t="s">
        <v>457</v>
      </c>
      <c r="E33" s="3" t="s">
        <v>79</v>
      </c>
      <c r="F33" s="3" t="s">
        <v>392</v>
      </c>
      <c r="G33" s="3" t="s">
        <v>145</v>
      </c>
      <c r="H33" s="3" t="s">
        <v>82</v>
      </c>
      <c r="I33" s="3" t="s">
        <v>25</v>
      </c>
      <c r="J33" s="3" t="s">
        <v>961</v>
      </c>
      <c r="K33" s="3" t="s">
        <v>1026</v>
      </c>
      <c r="L33" s="3" t="s">
        <v>460</v>
      </c>
      <c r="M33" s="3" t="s">
        <v>1027</v>
      </c>
      <c r="N33" s="3" t="s">
        <v>461</v>
      </c>
      <c r="O33" s="3" t="s">
        <v>87</v>
      </c>
      <c r="P33" s="3" t="s">
        <v>397</v>
      </c>
      <c r="Q33" s="3" t="s">
        <v>192</v>
      </c>
      <c r="R33" s="3" t="s">
        <v>192</v>
      </c>
      <c r="S33" s="3" t="s">
        <v>192</v>
      </c>
      <c r="T33" s="3" t="s">
        <v>192</v>
      </c>
      <c r="U33" s="3"/>
      <c r="V33" s="3" t="s">
        <v>106</v>
      </c>
      <c r="W33" s="3"/>
    </row>
    <row r="34" spans="1:23" ht="28.5">
      <c r="A34" s="3">
        <v>33</v>
      </c>
      <c r="B34" s="3" t="s">
        <v>464</v>
      </c>
      <c r="C34" s="3" t="s">
        <v>464</v>
      </c>
      <c r="D34" s="3" t="s">
        <v>465</v>
      </c>
      <c r="E34" s="3" t="s">
        <v>466</v>
      </c>
      <c r="F34" s="3" t="s">
        <v>467</v>
      </c>
      <c r="G34" s="3" t="s">
        <v>340</v>
      </c>
      <c r="H34" s="3" t="s">
        <v>341</v>
      </c>
      <c r="I34" s="3" t="s">
        <v>27</v>
      </c>
      <c r="J34" s="3" t="s">
        <v>1028</v>
      </c>
      <c r="K34" s="3" t="s">
        <v>1029</v>
      </c>
      <c r="L34" s="3" t="s">
        <v>470</v>
      </c>
      <c r="M34" s="3" t="s">
        <v>1030</v>
      </c>
      <c r="N34" s="3" t="s">
        <v>471</v>
      </c>
      <c r="O34" s="3" t="s">
        <v>466</v>
      </c>
      <c r="P34" s="3" t="s">
        <v>472</v>
      </c>
      <c r="Q34" s="3" t="s">
        <v>192</v>
      </c>
      <c r="R34" s="3" t="s">
        <v>192</v>
      </c>
      <c r="S34" s="3" t="s">
        <v>192</v>
      </c>
      <c r="T34" s="3" t="s">
        <v>192</v>
      </c>
      <c r="U34" s="3"/>
      <c r="V34" s="3" t="s">
        <v>475</v>
      </c>
      <c r="W34" s="3"/>
    </row>
    <row r="35" spans="1:23" ht="28.5">
      <c r="A35" s="3">
        <v>34</v>
      </c>
      <c r="B35" s="3" t="s">
        <v>476</v>
      </c>
      <c r="C35" s="3" t="s">
        <v>476</v>
      </c>
      <c r="D35" s="3" t="s">
        <v>477</v>
      </c>
      <c r="E35" s="3" t="s">
        <v>466</v>
      </c>
      <c r="F35" s="3" t="s">
        <v>467</v>
      </c>
      <c r="G35" s="3" t="s">
        <v>340</v>
      </c>
      <c r="H35" s="3" t="s">
        <v>341</v>
      </c>
      <c r="I35" s="3" t="s">
        <v>27</v>
      </c>
      <c r="J35" s="3" t="s">
        <v>1028</v>
      </c>
      <c r="K35" s="3" t="s">
        <v>1031</v>
      </c>
      <c r="L35" s="3" t="s">
        <v>480</v>
      </c>
      <c r="M35" s="3" t="s">
        <v>1032</v>
      </c>
      <c r="N35" s="3" t="s">
        <v>481</v>
      </c>
      <c r="O35" s="3" t="s">
        <v>466</v>
      </c>
      <c r="P35" s="3" t="s">
        <v>472</v>
      </c>
      <c r="Q35" s="3" t="s">
        <v>192</v>
      </c>
      <c r="R35" s="3" t="s">
        <v>192</v>
      </c>
      <c r="S35" s="3" t="s">
        <v>192</v>
      </c>
      <c r="T35" s="3" t="s">
        <v>192</v>
      </c>
      <c r="U35" s="3"/>
      <c r="V35" s="3" t="s">
        <v>475</v>
      </c>
      <c r="W35" s="3"/>
    </row>
    <row r="36" spans="1:23" ht="28.5">
      <c r="A36" s="3">
        <v>35</v>
      </c>
      <c r="B36" s="3" t="s">
        <v>484</v>
      </c>
      <c r="C36" s="3" t="s">
        <v>484</v>
      </c>
      <c r="D36" s="3" t="s">
        <v>485</v>
      </c>
      <c r="E36" s="3" t="s">
        <v>466</v>
      </c>
      <c r="F36" s="3" t="s">
        <v>162</v>
      </c>
      <c r="G36" s="3" t="s">
        <v>145</v>
      </c>
      <c r="H36" s="3" t="s">
        <v>341</v>
      </c>
      <c r="I36" s="3" t="s">
        <v>27</v>
      </c>
      <c r="J36" s="3" t="s">
        <v>1028</v>
      </c>
      <c r="K36" s="3" t="s">
        <v>1033</v>
      </c>
      <c r="L36" s="3" t="s">
        <v>488</v>
      </c>
      <c r="M36" s="3" t="s">
        <v>1034</v>
      </c>
      <c r="N36" s="3" t="s">
        <v>489</v>
      </c>
      <c r="O36" s="3" t="s">
        <v>466</v>
      </c>
      <c r="P36" s="3" t="s">
        <v>490</v>
      </c>
      <c r="Q36" s="3" t="s">
        <v>192</v>
      </c>
      <c r="R36" s="3" t="s">
        <v>192</v>
      </c>
      <c r="S36" s="3" t="s">
        <v>192</v>
      </c>
      <c r="T36" s="3" t="s">
        <v>192</v>
      </c>
      <c r="U36" s="3"/>
      <c r="V36" s="3" t="s">
        <v>475</v>
      </c>
      <c r="W36" s="3"/>
    </row>
    <row r="37" spans="1:23" ht="28.5">
      <c r="A37" s="3">
        <v>36</v>
      </c>
      <c r="B37" s="3" t="s">
        <v>493</v>
      </c>
      <c r="C37" s="3" t="s">
        <v>493</v>
      </c>
      <c r="D37" s="3" t="s">
        <v>494</v>
      </c>
      <c r="E37" s="3" t="s">
        <v>466</v>
      </c>
      <c r="F37" s="3" t="s">
        <v>162</v>
      </c>
      <c r="G37" s="3" t="s">
        <v>145</v>
      </c>
      <c r="H37" s="3" t="s">
        <v>341</v>
      </c>
      <c r="I37" s="3" t="s">
        <v>27</v>
      </c>
      <c r="J37" s="3" t="s">
        <v>1028</v>
      </c>
      <c r="K37" s="3" t="s">
        <v>1035</v>
      </c>
      <c r="L37" s="3" t="s">
        <v>497</v>
      </c>
      <c r="M37" s="3" t="s">
        <v>1036</v>
      </c>
      <c r="N37" s="3" t="s">
        <v>498</v>
      </c>
      <c r="O37" s="3" t="s">
        <v>466</v>
      </c>
      <c r="P37" s="3" t="s">
        <v>499</v>
      </c>
      <c r="Q37" s="3" t="s">
        <v>192</v>
      </c>
      <c r="R37" s="3" t="s">
        <v>192</v>
      </c>
      <c r="S37" s="3" t="s">
        <v>192</v>
      </c>
      <c r="T37" s="3" t="s">
        <v>192</v>
      </c>
      <c r="U37" s="3"/>
      <c r="V37" s="3" t="s">
        <v>475</v>
      </c>
      <c r="W37" s="3"/>
    </row>
    <row r="38" spans="1:23" ht="28.5">
      <c r="A38" s="3">
        <v>37</v>
      </c>
      <c r="B38" s="3" t="s">
        <v>502</v>
      </c>
      <c r="C38" s="3" t="s">
        <v>502</v>
      </c>
      <c r="D38" s="3" t="s">
        <v>503</v>
      </c>
      <c r="E38" s="3" t="s">
        <v>466</v>
      </c>
      <c r="F38" s="3" t="s">
        <v>162</v>
      </c>
      <c r="G38" s="3" t="s">
        <v>145</v>
      </c>
      <c r="H38" s="3" t="s">
        <v>341</v>
      </c>
      <c r="I38" s="3" t="s">
        <v>27</v>
      </c>
      <c r="J38" s="3" t="s">
        <v>1028</v>
      </c>
      <c r="K38" s="3" t="s">
        <v>1037</v>
      </c>
      <c r="L38" s="3" t="s">
        <v>506</v>
      </c>
      <c r="M38" s="3" t="s">
        <v>1038</v>
      </c>
      <c r="N38" s="3" t="s">
        <v>507</v>
      </c>
      <c r="O38" s="3" t="s">
        <v>466</v>
      </c>
      <c r="P38" s="3" t="s">
        <v>508</v>
      </c>
      <c r="Q38" s="3" t="s">
        <v>192</v>
      </c>
      <c r="R38" s="3" t="s">
        <v>192</v>
      </c>
      <c r="S38" s="3" t="s">
        <v>192</v>
      </c>
      <c r="T38" s="3" t="s">
        <v>192</v>
      </c>
      <c r="U38" s="3"/>
      <c r="V38" s="3" t="s">
        <v>475</v>
      </c>
      <c r="W38" s="3"/>
    </row>
    <row r="39" spans="1:23" ht="28.5">
      <c r="A39" s="3">
        <v>38</v>
      </c>
      <c r="B39" s="3" t="s">
        <v>511</v>
      </c>
      <c r="C39" s="3" t="s">
        <v>511</v>
      </c>
      <c r="D39" s="3" t="s">
        <v>512</v>
      </c>
      <c r="E39" s="3" t="s">
        <v>466</v>
      </c>
      <c r="F39" s="3" t="s">
        <v>467</v>
      </c>
      <c r="G39" s="3" t="s">
        <v>340</v>
      </c>
      <c r="H39" s="3" t="s">
        <v>341</v>
      </c>
      <c r="I39" s="3" t="s">
        <v>27</v>
      </c>
      <c r="J39" s="3" t="s">
        <v>1028</v>
      </c>
      <c r="K39" s="3" t="s">
        <v>1039</v>
      </c>
      <c r="L39" s="3" t="s">
        <v>515</v>
      </c>
      <c r="M39" s="3" t="s">
        <v>1040</v>
      </c>
      <c r="N39" s="3" t="s">
        <v>516</v>
      </c>
      <c r="O39" s="3" t="s">
        <v>466</v>
      </c>
      <c r="P39" s="3" t="s">
        <v>517</v>
      </c>
      <c r="Q39" s="3" t="s">
        <v>192</v>
      </c>
      <c r="R39" s="3" t="s">
        <v>192</v>
      </c>
      <c r="S39" s="3" t="s">
        <v>192</v>
      </c>
      <c r="T39" s="3" t="s">
        <v>192</v>
      </c>
      <c r="U39" s="3"/>
      <c r="V39" s="3" t="s">
        <v>475</v>
      </c>
      <c r="W39" s="3"/>
    </row>
    <row r="40" spans="1:23" ht="28.5">
      <c r="A40" s="3">
        <v>39</v>
      </c>
      <c r="B40" s="3" t="s">
        <v>523</v>
      </c>
      <c r="C40" s="3" t="s">
        <v>523</v>
      </c>
      <c r="D40" s="3" t="s">
        <v>524</v>
      </c>
      <c r="E40" s="3" t="s">
        <v>466</v>
      </c>
      <c r="F40" s="3" t="s">
        <v>467</v>
      </c>
      <c r="G40" s="3" t="s">
        <v>340</v>
      </c>
      <c r="H40" s="3" t="s">
        <v>341</v>
      </c>
      <c r="I40" s="3" t="s">
        <v>27</v>
      </c>
      <c r="J40" s="3" t="s">
        <v>1028</v>
      </c>
      <c r="K40" s="3" t="s">
        <v>1041</v>
      </c>
      <c r="L40" s="3" t="s">
        <v>527</v>
      </c>
      <c r="M40" s="3" t="s">
        <v>1042</v>
      </c>
      <c r="N40" s="3" t="s">
        <v>528</v>
      </c>
      <c r="O40" s="3" t="s">
        <v>466</v>
      </c>
      <c r="P40" s="3" t="s">
        <v>517</v>
      </c>
      <c r="Q40" s="3" t="s">
        <v>192</v>
      </c>
      <c r="R40" s="3" t="s">
        <v>192</v>
      </c>
      <c r="S40" s="3" t="s">
        <v>192</v>
      </c>
      <c r="T40" s="3" t="s">
        <v>192</v>
      </c>
      <c r="U40" s="3"/>
      <c r="V40" s="3" t="s">
        <v>475</v>
      </c>
      <c r="W40" s="3"/>
    </row>
    <row r="41" spans="1:23" ht="28.5">
      <c r="A41" s="3">
        <v>40</v>
      </c>
      <c r="B41" s="3" t="s">
        <v>531</v>
      </c>
      <c r="C41" s="3" t="s">
        <v>531</v>
      </c>
      <c r="D41" s="3" t="s">
        <v>532</v>
      </c>
      <c r="E41" s="3" t="s">
        <v>466</v>
      </c>
      <c r="F41" s="3" t="s">
        <v>467</v>
      </c>
      <c r="G41" s="3" t="s">
        <v>340</v>
      </c>
      <c r="H41" s="3" t="s">
        <v>341</v>
      </c>
      <c r="I41" s="3" t="s">
        <v>27</v>
      </c>
      <c r="J41" s="3" t="s">
        <v>1028</v>
      </c>
      <c r="K41" s="3" t="s">
        <v>1043</v>
      </c>
      <c r="L41" s="3" t="s">
        <v>535</v>
      </c>
      <c r="M41" s="3" t="s">
        <v>1044</v>
      </c>
      <c r="N41" s="3" t="s">
        <v>536</v>
      </c>
      <c r="O41" s="3" t="s">
        <v>466</v>
      </c>
      <c r="P41" s="3" t="s">
        <v>517</v>
      </c>
      <c r="Q41" s="3" t="s">
        <v>192</v>
      </c>
      <c r="R41" s="3" t="s">
        <v>192</v>
      </c>
      <c r="S41" s="3" t="s">
        <v>192</v>
      </c>
      <c r="T41" s="3" t="s">
        <v>192</v>
      </c>
      <c r="U41" s="3"/>
      <c r="V41" s="3" t="s">
        <v>475</v>
      </c>
      <c r="W41" s="3"/>
    </row>
    <row r="42" spans="1:23" ht="28.5">
      <c r="A42" s="3">
        <v>41</v>
      </c>
      <c r="B42" s="3" t="s">
        <v>539</v>
      </c>
      <c r="C42" s="3" t="s">
        <v>539</v>
      </c>
      <c r="D42" s="3" t="s">
        <v>540</v>
      </c>
      <c r="E42" s="3" t="s">
        <v>248</v>
      </c>
      <c r="F42" s="3" t="s">
        <v>80</v>
      </c>
      <c r="G42" s="3" t="s">
        <v>145</v>
      </c>
      <c r="H42" s="3" t="s">
        <v>82</v>
      </c>
      <c r="I42" s="3" t="s">
        <v>26</v>
      </c>
      <c r="J42" s="3" t="s">
        <v>982</v>
      </c>
      <c r="K42" s="3" t="s">
        <v>1045</v>
      </c>
      <c r="L42" s="3" t="s">
        <v>543</v>
      </c>
      <c r="M42" s="3" t="s">
        <v>1046</v>
      </c>
      <c r="N42" s="3" t="s">
        <v>544</v>
      </c>
      <c r="O42" s="3" t="s">
        <v>253</v>
      </c>
      <c r="P42" s="3" t="s">
        <v>253</v>
      </c>
      <c r="Q42" s="3" t="s">
        <v>192</v>
      </c>
      <c r="R42" s="3" t="s">
        <v>192</v>
      </c>
      <c r="S42" s="3" t="s">
        <v>192</v>
      </c>
      <c r="T42" s="3" t="s">
        <v>192</v>
      </c>
      <c r="U42" s="3"/>
      <c r="V42" s="3" t="s">
        <v>260</v>
      </c>
      <c r="W42" s="3"/>
    </row>
    <row r="43" spans="1:23" ht="28.5">
      <c r="A43" s="3">
        <v>42</v>
      </c>
      <c r="B43" s="3" t="s">
        <v>547</v>
      </c>
      <c r="C43" s="3" t="s">
        <v>547</v>
      </c>
      <c r="D43" s="3" t="s">
        <v>548</v>
      </c>
      <c r="E43" s="3" t="s">
        <v>248</v>
      </c>
      <c r="F43" s="3" t="s">
        <v>308</v>
      </c>
      <c r="G43" s="3" t="s">
        <v>145</v>
      </c>
      <c r="H43" s="3" t="s">
        <v>82</v>
      </c>
      <c r="I43" s="3" t="s">
        <v>26</v>
      </c>
      <c r="J43" s="3" t="s">
        <v>982</v>
      </c>
      <c r="K43" s="3" t="s">
        <v>1047</v>
      </c>
      <c r="L43" s="3" t="s">
        <v>551</v>
      </c>
      <c r="M43" s="3" t="s">
        <v>1048</v>
      </c>
      <c r="N43" s="3" t="s">
        <v>552</v>
      </c>
      <c r="O43" s="3" t="s">
        <v>253</v>
      </c>
      <c r="P43" s="3" t="s">
        <v>253</v>
      </c>
      <c r="Q43" s="3" t="s">
        <v>192</v>
      </c>
      <c r="R43" s="3" t="s">
        <v>192</v>
      </c>
      <c r="S43" s="3" t="s">
        <v>192</v>
      </c>
      <c r="T43" s="3" t="s">
        <v>192</v>
      </c>
      <c r="U43" s="3"/>
      <c r="V43" s="3" t="s">
        <v>260</v>
      </c>
      <c r="W43" s="3"/>
    </row>
    <row r="44" spans="1:23" ht="28.5">
      <c r="A44" s="3">
        <v>43</v>
      </c>
      <c r="B44" s="3" t="s">
        <v>555</v>
      </c>
      <c r="C44" s="3" t="s">
        <v>555</v>
      </c>
      <c r="D44" s="3" t="s">
        <v>556</v>
      </c>
      <c r="E44" s="3" t="s">
        <v>248</v>
      </c>
      <c r="F44" s="3" t="s">
        <v>308</v>
      </c>
      <c r="G44" s="3" t="s">
        <v>145</v>
      </c>
      <c r="H44" s="3" t="s">
        <v>82</v>
      </c>
      <c r="I44" s="3" t="s">
        <v>26</v>
      </c>
      <c r="J44" s="3" t="s">
        <v>982</v>
      </c>
      <c r="K44" s="3" t="s">
        <v>1049</v>
      </c>
      <c r="L44" s="3" t="s">
        <v>559</v>
      </c>
      <c r="M44" s="3" t="s">
        <v>1050</v>
      </c>
      <c r="N44" s="3" t="s">
        <v>560</v>
      </c>
      <c r="O44" s="3" t="s">
        <v>253</v>
      </c>
      <c r="P44" s="3" t="s">
        <v>253</v>
      </c>
      <c r="Q44" s="3" t="s">
        <v>192</v>
      </c>
      <c r="R44" s="3" t="s">
        <v>192</v>
      </c>
      <c r="S44" s="3" t="s">
        <v>192</v>
      </c>
      <c r="T44" s="3" t="s">
        <v>192</v>
      </c>
      <c r="U44" s="3"/>
      <c r="V44" s="3" t="s">
        <v>260</v>
      </c>
      <c r="W44" s="3"/>
    </row>
    <row r="45" spans="1:23" ht="28.5">
      <c r="A45" s="3">
        <v>44</v>
      </c>
      <c r="B45" s="3" t="s">
        <v>563</v>
      </c>
      <c r="C45" s="3" t="s">
        <v>563</v>
      </c>
      <c r="D45" s="3" t="s">
        <v>564</v>
      </c>
      <c r="E45" s="3" t="s">
        <v>248</v>
      </c>
      <c r="F45" s="3" t="s">
        <v>308</v>
      </c>
      <c r="G45" s="3" t="s">
        <v>145</v>
      </c>
      <c r="H45" s="3" t="s">
        <v>82</v>
      </c>
      <c r="I45" s="3" t="s">
        <v>26</v>
      </c>
      <c r="J45" s="3" t="s">
        <v>982</v>
      </c>
      <c r="K45" s="3" t="s">
        <v>1051</v>
      </c>
      <c r="L45" s="3" t="s">
        <v>567</v>
      </c>
      <c r="M45" s="3" t="s">
        <v>1052</v>
      </c>
      <c r="N45" s="3" t="s">
        <v>568</v>
      </c>
      <c r="O45" s="3" t="s">
        <v>253</v>
      </c>
      <c r="P45" s="3" t="s">
        <v>253</v>
      </c>
      <c r="Q45" s="3" t="s">
        <v>192</v>
      </c>
      <c r="R45" s="3" t="s">
        <v>192</v>
      </c>
      <c r="S45" s="3" t="s">
        <v>192</v>
      </c>
      <c r="T45" s="3" t="s">
        <v>192</v>
      </c>
      <c r="U45" s="3"/>
      <c r="V45" s="3" t="s">
        <v>260</v>
      </c>
      <c r="W45" s="3"/>
    </row>
    <row r="46" spans="1:23" ht="28.5">
      <c r="A46" s="3">
        <v>45</v>
      </c>
      <c r="B46" s="3" t="s">
        <v>571</v>
      </c>
      <c r="C46" s="3" t="s">
        <v>571</v>
      </c>
      <c r="D46" s="3" t="s">
        <v>572</v>
      </c>
      <c r="E46" s="3" t="s">
        <v>248</v>
      </c>
      <c r="F46" s="3" t="s">
        <v>308</v>
      </c>
      <c r="G46" s="3" t="s">
        <v>145</v>
      </c>
      <c r="H46" s="3" t="s">
        <v>82</v>
      </c>
      <c r="I46" s="3" t="s">
        <v>26</v>
      </c>
      <c r="J46" s="3" t="s">
        <v>982</v>
      </c>
      <c r="K46" s="3" t="s">
        <v>1053</v>
      </c>
      <c r="L46" s="3" t="s">
        <v>575</v>
      </c>
      <c r="M46" s="3" t="s">
        <v>1054</v>
      </c>
      <c r="N46" s="3" t="s">
        <v>576</v>
      </c>
      <c r="O46" s="3" t="s">
        <v>253</v>
      </c>
      <c r="P46" s="3" t="s">
        <v>577</v>
      </c>
      <c r="Q46" s="3" t="s">
        <v>192</v>
      </c>
      <c r="R46" s="3" t="s">
        <v>192</v>
      </c>
      <c r="S46" s="3" t="s">
        <v>192</v>
      </c>
      <c r="T46" s="3" t="s">
        <v>192</v>
      </c>
      <c r="U46" s="3"/>
      <c r="V46" s="3" t="s">
        <v>260</v>
      </c>
      <c r="W46" s="3"/>
    </row>
    <row r="47" spans="1:23" ht="28.5">
      <c r="A47" s="3">
        <v>46</v>
      </c>
      <c r="B47" s="3" t="s">
        <v>580</v>
      </c>
      <c r="C47" s="3" t="s">
        <v>580</v>
      </c>
      <c r="D47" s="3" t="s">
        <v>581</v>
      </c>
      <c r="E47" s="3" t="s">
        <v>248</v>
      </c>
      <c r="F47" s="3" t="s">
        <v>308</v>
      </c>
      <c r="G47" s="3" t="s">
        <v>145</v>
      </c>
      <c r="H47" s="3" t="s">
        <v>82</v>
      </c>
      <c r="I47" s="3" t="s">
        <v>26</v>
      </c>
      <c r="J47" s="3" t="s">
        <v>982</v>
      </c>
      <c r="K47" s="3" t="s">
        <v>1055</v>
      </c>
      <c r="L47" s="3" t="s">
        <v>584</v>
      </c>
      <c r="M47" s="3" t="s">
        <v>1056</v>
      </c>
      <c r="N47" s="3" t="s">
        <v>585</v>
      </c>
      <c r="O47" s="3" t="s">
        <v>253</v>
      </c>
      <c r="P47" s="3" t="s">
        <v>253</v>
      </c>
      <c r="Q47" s="3" t="s">
        <v>192</v>
      </c>
      <c r="R47" s="3" t="s">
        <v>192</v>
      </c>
      <c r="S47" s="3" t="s">
        <v>192</v>
      </c>
      <c r="T47" s="3" t="s">
        <v>192</v>
      </c>
      <c r="U47" s="3"/>
      <c r="V47" s="3" t="s">
        <v>260</v>
      </c>
      <c r="W47" s="3"/>
    </row>
    <row r="48" spans="1:23" ht="28.5">
      <c r="A48" s="3">
        <v>47</v>
      </c>
      <c r="B48" s="3" t="s">
        <v>588</v>
      </c>
      <c r="C48" s="3" t="s">
        <v>588</v>
      </c>
      <c r="D48" s="3" t="s">
        <v>589</v>
      </c>
      <c r="E48" s="3" t="s">
        <v>248</v>
      </c>
      <c r="F48" s="3" t="s">
        <v>308</v>
      </c>
      <c r="G48" s="3" t="s">
        <v>145</v>
      </c>
      <c r="H48" s="3" t="s">
        <v>82</v>
      </c>
      <c r="I48" s="3" t="s">
        <v>26</v>
      </c>
      <c r="J48" s="3" t="s">
        <v>982</v>
      </c>
      <c r="K48" s="3" t="s">
        <v>1057</v>
      </c>
      <c r="L48" s="3" t="s">
        <v>592</v>
      </c>
      <c r="M48" s="3" t="s">
        <v>1058</v>
      </c>
      <c r="N48" s="3" t="s">
        <v>593</v>
      </c>
      <c r="O48" s="3" t="s">
        <v>253</v>
      </c>
      <c r="P48" s="3" t="s">
        <v>253</v>
      </c>
      <c r="Q48" s="3" t="s">
        <v>192</v>
      </c>
      <c r="R48" s="3" t="s">
        <v>192</v>
      </c>
      <c r="S48" s="3" t="s">
        <v>192</v>
      </c>
      <c r="T48" s="3" t="s">
        <v>192</v>
      </c>
      <c r="U48" s="3"/>
      <c r="V48" s="3" t="s">
        <v>260</v>
      </c>
      <c r="W48" s="3"/>
    </row>
    <row r="49" spans="1:23" ht="28.5">
      <c r="A49" s="3">
        <v>48</v>
      </c>
      <c r="B49" s="3" t="s">
        <v>596</v>
      </c>
      <c r="C49" s="3" t="s">
        <v>596</v>
      </c>
      <c r="D49" s="3" t="s">
        <v>597</v>
      </c>
      <c r="E49" s="3" t="s">
        <v>248</v>
      </c>
      <c r="F49" s="3" t="s">
        <v>308</v>
      </c>
      <c r="G49" s="3" t="s">
        <v>145</v>
      </c>
      <c r="H49" s="3" t="s">
        <v>82</v>
      </c>
      <c r="I49" s="3" t="s">
        <v>26</v>
      </c>
      <c r="J49" s="3" t="s">
        <v>982</v>
      </c>
      <c r="K49" s="3" t="s">
        <v>1059</v>
      </c>
      <c r="L49" s="3" t="s">
        <v>600</v>
      </c>
      <c r="M49" s="3" t="s">
        <v>1060</v>
      </c>
      <c r="N49" s="3" t="s">
        <v>601</v>
      </c>
      <c r="O49" s="3" t="s">
        <v>253</v>
      </c>
      <c r="P49" s="3" t="s">
        <v>253</v>
      </c>
      <c r="Q49" s="3" t="s">
        <v>192</v>
      </c>
      <c r="R49" s="3" t="s">
        <v>192</v>
      </c>
      <c r="S49" s="3" t="s">
        <v>192</v>
      </c>
      <c r="T49" s="3" t="s">
        <v>192</v>
      </c>
      <c r="U49" s="3"/>
      <c r="V49" s="3" t="s">
        <v>260</v>
      </c>
      <c r="W49" s="3"/>
    </row>
    <row r="50" spans="1:23" ht="28.5">
      <c r="A50" s="3">
        <v>49</v>
      </c>
      <c r="B50" s="3" t="s">
        <v>604</v>
      </c>
      <c r="C50" s="3" t="s">
        <v>604</v>
      </c>
      <c r="D50" s="3" t="s">
        <v>605</v>
      </c>
      <c r="E50" s="3" t="s">
        <v>248</v>
      </c>
      <c r="F50" s="3" t="s">
        <v>308</v>
      </c>
      <c r="G50" s="3" t="s">
        <v>145</v>
      </c>
      <c r="H50" s="3" t="s">
        <v>82</v>
      </c>
      <c r="I50" s="3" t="s">
        <v>26</v>
      </c>
      <c r="J50" s="3" t="s">
        <v>982</v>
      </c>
      <c r="K50" s="3" t="s">
        <v>1061</v>
      </c>
      <c r="L50" s="3" t="s">
        <v>608</v>
      </c>
      <c r="M50" s="3" t="s">
        <v>1062</v>
      </c>
      <c r="N50" s="3" t="s">
        <v>609</v>
      </c>
      <c r="O50" s="3" t="s">
        <v>253</v>
      </c>
      <c r="P50" s="3" t="s">
        <v>253</v>
      </c>
      <c r="Q50" s="3" t="s">
        <v>192</v>
      </c>
      <c r="R50" s="3" t="s">
        <v>192</v>
      </c>
      <c r="S50" s="3" t="s">
        <v>192</v>
      </c>
      <c r="T50" s="3" t="s">
        <v>192</v>
      </c>
      <c r="U50" s="3"/>
      <c r="V50" s="3" t="s">
        <v>260</v>
      </c>
      <c r="W50" s="3"/>
    </row>
    <row r="51" spans="1:23" ht="28.5">
      <c r="A51" s="3">
        <v>50</v>
      </c>
      <c r="B51" s="3" t="s">
        <v>612</v>
      </c>
      <c r="C51" s="3" t="s">
        <v>612</v>
      </c>
      <c r="D51" s="3" t="s">
        <v>613</v>
      </c>
      <c r="E51" s="3" t="s">
        <v>466</v>
      </c>
      <c r="F51" s="3" t="s">
        <v>467</v>
      </c>
      <c r="G51" s="3" t="s">
        <v>340</v>
      </c>
      <c r="H51" s="3" t="s">
        <v>341</v>
      </c>
      <c r="I51" s="3" t="s">
        <v>27</v>
      </c>
      <c r="J51" s="3" t="s">
        <v>1028</v>
      </c>
      <c r="K51" s="3" t="s">
        <v>1063</v>
      </c>
      <c r="L51" s="3" t="s">
        <v>616</v>
      </c>
      <c r="M51" s="3" t="s">
        <v>1064</v>
      </c>
      <c r="N51" s="3" t="s">
        <v>617</v>
      </c>
      <c r="O51" s="3" t="s">
        <v>466</v>
      </c>
      <c r="P51" s="3" t="s">
        <v>618</v>
      </c>
      <c r="Q51" s="3" t="s">
        <v>192</v>
      </c>
      <c r="R51" s="3" t="s">
        <v>192</v>
      </c>
      <c r="S51" s="3" t="s">
        <v>192</v>
      </c>
      <c r="T51" s="3" t="s">
        <v>192</v>
      </c>
      <c r="U51" s="3"/>
      <c r="V51" s="3" t="s">
        <v>475</v>
      </c>
      <c r="W51" s="3"/>
    </row>
    <row r="52" spans="1:23" ht="28.5">
      <c r="A52" s="3">
        <v>51</v>
      </c>
      <c r="B52" s="3" t="s">
        <v>621</v>
      </c>
      <c r="C52" s="3" t="s">
        <v>621</v>
      </c>
      <c r="D52" s="3" t="s">
        <v>540</v>
      </c>
      <c r="E52" s="3" t="s">
        <v>248</v>
      </c>
      <c r="F52" s="3" t="s">
        <v>80</v>
      </c>
      <c r="G52" s="3" t="s">
        <v>145</v>
      </c>
      <c r="H52" s="3" t="s">
        <v>82</v>
      </c>
      <c r="I52" s="3" t="s">
        <v>26</v>
      </c>
      <c r="J52" s="3" t="s">
        <v>982</v>
      </c>
      <c r="K52" s="3" t="s">
        <v>1065</v>
      </c>
      <c r="L52" s="3" t="s">
        <v>624</v>
      </c>
      <c r="M52" s="3" t="s">
        <v>1066</v>
      </c>
      <c r="N52" s="3" t="s">
        <v>625</v>
      </c>
      <c r="O52" s="3" t="s">
        <v>253</v>
      </c>
      <c r="P52" s="3" t="s">
        <v>626</v>
      </c>
      <c r="Q52" s="3" t="s">
        <v>192</v>
      </c>
      <c r="R52" s="3" t="s">
        <v>192</v>
      </c>
      <c r="S52" s="3" t="s">
        <v>192</v>
      </c>
      <c r="T52" s="3" t="s">
        <v>192</v>
      </c>
      <c r="U52" s="3"/>
      <c r="V52" s="3" t="s">
        <v>260</v>
      </c>
      <c r="W52" s="3"/>
    </row>
    <row r="53" spans="1:23" ht="28.5">
      <c r="A53" s="3">
        <v>52</v>
      </c>
      <c r="B53" s="3" t="s">
        <v>629</v>
      </c>
      <c r="C53" s="3" t="s">
        <v>629</v>
      </c>
      <c r="D53" s="3" t="s">
        <v>630</v>
      </c>
      <c r="E53" s="3" t="s">
        <v>346</v>
      </c>
      <c r="F53" s="3" t="s">
        <v>631</v>
      </c>
      <c r="G53" s="3" t="s">
        <v>340</v>
      </c>
      <c r="H53" s="3" t="s">
        <v>341</v>
      </c>
      <c r="I53" s="3" t="s">
        <v>27</v>
      </c>
      <c r="J53" s="3" t="s">
        <v>1001</v>
      </c>
      <c r="K53" s="3" t="s">
        <v>1067</v>
      </c>
      <c r="L53" s="3" t="s">
        <v>634</v>
      </c>
      <c r="M53" s="3" t="s">
        <v>1068</v>
      </c>
      <c r="N53" s="3" t="s">
        <v>635</v>
      </c>
      <c r="O53" s="3" t="s">
        <v>346</v>
      </c>
      <c r="P53" s="3" t="s">
        <v>346</v>
      </c>
      <c r="Q53" s="3" t="s">
        <v>192</v>
      </c>
      <c r="R53" s="3" t="s">
        <v>192</v>
      </c>
      <c r="S53" s="3" t="s">
        <v>192</v>
      </c>
      <c r="T53" s="3" t="s">
        <v>192</v>
      </c>
      <c r="U53" s="3"/>
      <c r="V53" s="3" t="s">
        <v>357</v>
      </c>
      <c r="W53" s="3"/>
    </row>
    <row r="54" spans="1:23" ht="28.5">
      <c r="A54" s="3">
        <v>53</v>
      </c>
      <c r="B54" s="3" t="s">
        <v>638</v>
      </c>
      <c r="C54" s="3" t="s">
        <v>638</v>
      </c>
      <c r="D54" s="3" t="s">
        <v>639</v>
      </c>
      <c r="E54" s="3" t="s">
        <v>346</v>
      </c>
      <c r="F54" s="3" t="s">
        <v>631</v>
      </c>
      <c r="G54" s="3" t="s">
        <v>340</v>
      </c>
      <c r="H54" s="3" t="s">
        <v>341</v>
      </c>
      <c r="I54" s="3" t="s">
        <v>27</v>
      </c>
      <c r="J54" s="3" t="s">
        <v>1001</v>
      </c>
      <c r="K54" s="3" t="s">
        <v>1069</v>
      </c>
      <c r="L54" s="3" t="s">
        <v>642</v>
      </c>
      <c r="M54" s="3" t="s">
        <v>1070</v>
      </c>
      <c r="N54" s="3" t="s">
        <v>643</v>
      </c>
      <c r="O54" s="3" t="s">
        <v>346</v>
      </c>
      <c r="P54" s="3" t="s">
        <v>346</v>
      </c>
      <c r="Q54" s="3" t="s">
        <v>192</v>
      </c>
      <c r="R54" s="3" t="s">
        <v>192</v>
      </c>
      <c r="S54" s="3" t="s">
        <v>192</v>
      </c>
      <c r="T54" s="3" t="s">
        <v>192</v>
      </c>
      <c r="U54" s="3"/>
      <c r="V54" s="3" t="s">
        <v>357</v>
      </c>
      <c r="W54" s="3"/>
    </row>
    <row r="55" spans="1:23" ht="28.5">
      <c r="A55" s="3">
        <v>54</v>
      </c>
      <c r="B55" s="3" t="s">
        <v>646</v>
      </c>
      <c r="C55" s="3" t="s">
        <v>646</v>
      </c>
      <c r="D55" s="3" t="s">
        <v>647</v>
      </c>
      <c r="E55" s="3" t="s">
        <v>346</v>
      </c>
      <c r="F55" s="3" t="s">
        <v>631</v>
      </c>
      <c r="G55" s="3" t="s">
        <v>340</v>
      </c>
      <c r="H55" s="3" t="s">
        <v>341</v>
      </c>
      <c r="I55" s="3" t="s">
        <v>27</v>
      </c>
      <c r="J55" s="3" t="s">
        <v>1001</v>
      </c>
      <c r="K55" s="3" t="s">
        <v>1071</v>
      </c>
      <c r="L55" s="3" t="s">
        <v>650</v>
      </c>
      <c r="M55" s="3" t="s">
        <v>1072</v>
      </c>
      <c r="N55" s="3" t="s">
        <v>651</v>
      </c>
      <c r="O55" s="3" t="s">
        <v>346</v>
      </c>
      <c r="P55" s="3" t="s">
        <v>346</v>
      </c>
      <c r="Q55" s="3" t="s">
        <v>192</v>
      </c>
      <c r="R55" s="3" t="s">
        <v>192</v>
      </c>
      <c r="S55" s="3" t="s">
        <v>192</v>
      </c>
      <c r="T55" s="3" t="s">
        <v>192</v>
      </c>
      <c r="U55" s="3"/>
      <c r="V55" s="3" t="s">
        <v>357</v>
      </c>
      <c r="W55" s="3"/>
    </row>
    <row r="56" spans="1:23" ht="28.5">
      <c r="A56" s="3">
        <v>55</v>
      </c>
      <c r="B56" s="3" t="s">
        <v>654</v>
      </c>
      <c r="C56" s="3" t="s">
        <v>654</v>
      </c>
      <c r="D56" s="3" t="s">
        <v>655</v>
      </c>
      <c r="E56" s="3" t="s">
        <v>346</v>
      </c>
      <c r="F56" s="3" t="s">
        <v>631</v>
      </c>
      <c r="G56" s="3" t="s">
        <v>340</v>
      </c>
      <c r="H56" s="3" t="s">
        <v>341</v>
      </c>
      <c r="I56" s="3" t="s">
        <v>27</v>
      </c>
      <c r="J56" s="3" t="s">
        <v>1001</v>
      </c>
      <c r="K56" s="3" t="s">
        <v>1073</v>
      </c>
      <c r="L56" s="3" t="s">
        <v>658</v>
      </c>
      <c r="M56" s="3" t="s">
        <v>1074</v>
      </c>
      <c r="N56" s="3" t="s">
        <v>659</v>
      </c>
      <c r="O56" s="3" t="s">
        <v>346</v>
      </c>
      <c r="P56" s="3" t="s">
        <v>346</v>
      </c>
      <c r="Q56" s="3" t="s">
        <v>192</v>
      </c>
      <c r="R56" s="3" t="s">
        <v>192</v>
      </c>
      <c r="S56" s="3" t="s">
        <v>192</v>
      </c>
      <c r="T56" s="3" t="s">
        <v>192</v>
      </c>
      <c r="U56" s="3"/>
      <c r="V56" s="3" t="s">
        <v>357</v>
      </c>
      <c r="W56" s="3"/>
    </row>
    <row r="57" spans="1:23" ht="28.5">
      <c r="A57" s="3">
        <v>56</v>
      </c>
      <c r="B57" s="3" t="s">
        <v>662</v>
      </c>
      <c r="C57" s="3" t="s">
        <v>662</v>
      </c>
      <c r="D57" s="3" t="s">
        <v>663</v>
      </c>
      <c r="E57" s="3" t="s">
        <v>346</v>
      </c>
      <c r="F57" s="3" t="s">
        <v>631</v>
      </c>
      <c r="G57" s="3" t="s">
        <v>340</v>
      </c>
      <c r="H57" s="3" t="s">
        <v>341</v>
      </c>
      <c r="I57" s="3" t="s">
        <v>27</v>
      </c>
      <c r="J57" s="3" t="s">
        <v>1001</v>
      </c>
      <c r="K57" s="3" t="s">
        <v>1075</v>
      </c>
      <c r="L57" s="3" t="s">
        <v>666</v>
      </c>
      <c r="M57" s="3" t="s">
        <v>1076</v>
      </c>
      <c r="N57" s="3" t="s">
        <v>667</v>
      </c>
      <c r="O57" s="3" t="s">
        <v>346</v>
      </c>
      <c r="P57" s="3" t="s">
        <v>346</v>
      </c>
      <c r="Q57" s="3" t="s">
        <v>192</v>
      </c>
      <c r="R57" s="3" t="s">
        <v>192</v>
      </c>
      <c r="S57" s="3" t="s">
        <v>192</v>
      </c>
      <c r="T57" s="3" t="s">
        <v>192</v>
      </c>
      <c r="U57" s="3"/>
      <c r="V57" s="3" t="s">
        <v>357</v>
      </c>
      <c r="W57" s="3"/>
    </row>
    <row r="58" spans="1:23" ht="28.5">
      <c r="A58" s="3">
        <v>57</v>
      </c>
      <c r="B58" s="3" t="s">
        <v>670</v>
      </c>
      <c r="C58" s="3" t="s">
        <v>670</v>
      </c>
      <c r="D58" s="3" t="s">
        <v>671</v>
      </c>
      <c r="E58" s="3" t="s">
        <v>346</v>
      </c>
      <c r="F58" s="3" t="s">
        <v>631</v>
      </c>
      <c r="G58" s="3" t="s">
        <v>340</v>
      </c>
      <c r="H58" s="3" t="s">
        <v>341</v>
      </c>
      <c r="I58" s="3" t="s">
        <v>27</v>
      </c>
      <c r="J58" s="3" t="s">
        <v>1001</v>
      </c>
      <c r="K58" s="3" t="s">
        <v>1077</v>
      </c>
      <c r="L58" s="3" t="s">
        <v>674</v>
      </c>
      <c r="M58" s="3" t="s">
        <v>1078</v>
      </c>
      <c r="N58" s="3" t="s">
        <v>675</v>
      </c>
      <c r="O58" s="3" t="s">
        <v>346</v>
      </c>
      <c r="P58" s="3" t="s">
        <v>346</v>
      </c>
      <c r="Q58" s="3" t="s">
        <v>192</v>
      </c>
      <c r="R58" s="3" t="s">
        <v>192</v>
      </c>
      <c r="S58" s="3" t="s">
        <v>192</v>
      </c>
      <c r="T58" s="3" t="s">
        <v>192</v>
      </c>
      <c r="U58" s="3"/>
      <c r="V58" s="3" t="s">
        <v>357</v>
      </c>
      <c r="W58" s="3"/>
    </row>
    <row r="59" spans="1:23" ht="28.5">
      <c r="A59" s="3">
        <v>58</v>
      </c>
      <c r="B59" s="3" t="s">
        <v>678</v>
      </c>
      <c r="C59" s="3" t="s">
        <v>678</v>
      </c>
      <c r="D59" s="3" t="s">
        <v>679</v>
      </c>
      <c r="E59" s="3" t="s">
        <v>346</v>
      </c>
      <c r="F59" s="3" t="s">
        <v>631</v>
      </c>
      <c r="G59" s="3" t="s">
        <v>340</v>
      </c>
      <c r="H59" s="3" t="s">
        <v>341</v>
      </c>
      <c r="I59" s="3" t="s">
        <v>27</v>
      </c>
      <c r="J59" s="3" t="s">
        <v>1001</v>
      </c>
      <c r="K59" s="3" t="s">
        <v>1079</v>
      </c>
      <c r="L59" s="3" t="s">
        <v>682</v>
      </c>
      <c r="M59" s="3" t="s">
        <v>1080</v>
      </c>
      <c r="N59" s="3" t="s">
        <v>683</v>
      </c>
      <c r="O59" s="3" t="s">
        <v>346</v>
      </c>
      <c r="P59" s="3" t="s">
        <v>346</v>
      </c>
      <c r="Q59" s="3" t="s">
        <v>192</v>
      </c>
      <c r="R59" s="3" t="s">
        <v>192</v>
      </c>
      <c r="S59" s="3" t="s">
        <v>192</v>
      </c>
      <c r="T59" s="3" t="s">
        <v>192</v>
      </c>
      <c r="U59" s="3"/>
      <c r="V59" s="3" t="s">
        <v>357</v>
      </c>
      <c r="W59" s="3"/>
    </row>
    <row r="60" spans="1:23" ht="28.5">
      <c r="A60" s="3">
        <v>59</v>
      </c>
      <c r="B60" s="3" t="s">
        <v>686</v>
      </c>
      <c r="C60" s="3" t="s">
        <v>686</v>
      </c>
      <c r="D60" s="3" t="s">
        <v>687</v>
      </c>
      <c r="E60" s="3" t="s">
        <v>346</v>
      </c>
      <c r="F60" s="3" t="s">
        <v>631</v>
      </c>
      <c r="G60" s="3" t="s">
        <v>340</v>
      </c>
      <c r="H60" s="3" t="s">
        <v>341</v>
      </c>
      <c r="I60" s="3" t="s">
        <v>27</v>
      </c>
      <c r="J60" s="3" t="s">
        <v>1001</v>
      </c>
      <c r="K60" s="3" t="s">
        <v>1081</v>
      </c>
      <c r="L60" s="3" t="s">
        <v>690</v>
      </c>
      <c r="M60" s="3" t="s">
        <v>1082</v>
      </c>
      <c r="N60" s="3" t="s">
        <v>691</v>
      </c>
      <c r="O60" s="3" t="s">
        <v>346</v>
      </c>
      <c r="P60" s="3" t="s">
        <v>346</v>
      </c>
      <c r="Q60" s="3" t="s">
        <v>192</v>
      </c>
      <c r="R60" s="3" t="s">
        <v>192</v>
      </c>
      <c r="S60" s="3" t="s">
        <v>192</v>
      </c>
      <c r="T60" s="3" t="s">
        <v>192</v>
      </c>
      <c r="U60" s="3"/>
      <c r="V60" s="3" t="s">
        <v>357</v>
      </c>
      <c r="W60" s="3"/>
    </row>
    <row r="61" spans="1:23" ht="28.5">
      <c r="A61" s="3">
        <v>60</v>
      </c>
      <c r="B61" s="3" t="s">
        <v>694</v>
      </c>
      <c r="C61" s="3" t="s">
        <v>694</v>
      </c>
      <c r="D61" s="3" t="s">
        <v>695</v>
      </c>
      <c r="E61" s="3" t="s">
        <v>346</v>
      </c>
      <c r="F61" s="3" t="s">
        <v>162</v>
      </c>
      <c r="G61" s="3" t="s">
        <v>340</v>
      </c>
      <c r="H61" s="3" t="s">
        <v>341</v>
      </c>
      <c r="I61" s="3" t="s">
        <v>27</v>
      </c>
      <c r="J61" s="3" t="s">
        <v>1001</v>
      </c>
      <c r="K61" s="3" t="s">
        <v>1083</v>
      </c>
      <c r="L61" s="3" t="s">
        <v>698</v>
      </c>
      <c r="M61" s="3" t="s">
        <v>1084</v>
      </c>
      <c r="N61" s="3" t="s">
        <v>699</v>
      </c>
      <c r="O61" s="3" t="s">
        <v>346</v>
      </c>
      <c r="P61" s="3" t="s">
        <v>346</v>
      </c>
      <c r="Q61" s="3" t="s">
        <v>192</v>
      </c>
      <c r="R61" s="3" t="s">
        <v>192</v>
      </c>
      <c r="S61" s="3" t="s">
        <v>192</v>
      </c>
      <c r="T61" s="3" t="s">
        <v>192</v>
      </c>
      <c r="U61" s="3"/>
      <c r="V61" s="3" t="s">
        <v>357</v>
      </c>
      <c r="W61" s="3"/>
    </row>
    <row r="62" spans="1:23" ht="28.5">
      <c r="A62" s="3">
        <v>61</v>
      </c>
      <c r="B62" s="3" t="s">
        <v>702</v>
      </c>
      <c r="C62" s="3" t="s">
        <v>703</v>
      </c>
      <c r="D62" s="3" t="s">
        <v>704</v>
      </c>
      <c r="E62" s="3" t="s">
        <v>705</v>
      </c>
      <c r="F62" s="3" t="s">
        <v>706</v>
      </c>
      <c r="G62" s="3" t="s">
        <v>340</v>
      </c>
      <c r="H62" s="3" t="s">
        <v>341</v>
      </c>
      <c r="I62" s="3" t="s">
        <v>28</v>
      </c>
      <c r="J62" s="3" t="s">
        <v>1085</v>
      </c>
      <c r="K62" s="3" t="s">
        <v>1086</v>
      </c>
      <c r="L62" s="3" t="s">
        <v>709</v>
      </c>
      <c r="M62" s="3" t="s">
        <v>1087</v>
      </c>
      <c r="N62" s="3" t="s">
        <v>710</v>
      </c>
      <c r="O62" s="3" t="s">
        <v>705</v>
      </c>
      <c r="P62" s="3" t="s">
        <v>711</v>
      </c>
      <c r="Q62" s="3" t="s">
        <v>192</v>
      </c>
      <c r="R62" s="3" t="s">
        <v>192</v>
      </c>
      <c r="S62" s="3" t="s">
        <v>192</v>
      </c>
      <c r="T62" s="3" t="s">
        <v>192</v>
      </c>
      <c r="U62" s="3"/>
      <c r="V62" s="3" t="s">
        <v>720</v>
      </c>
      <c r="W62" s="3"/>
    </row>
    <row r="63" spans="1:23" ht="28.5">
      <c r="A63" s="3">
        <v>62</v>
      </c>
      <c r="B63" s="3" t="s">
        <v>721</v>
      </c>
      <c r="C63" s="3" t="s">
        <v>721</v>
      </c>
      <c r="D63" s="3" t="s">
        <v>722</v>
      </c>
      <c r="E63" s="3" t="s">
        <v>705</v>
      </c>
      <c r="F63" s="3" t="s">
        <v>706</v>
      </c>
      <c r="G63" s="3" t="s">
        <v>340</v>
      </c>
      <c r="H63" s="3" t="s">
        <v>341</v>
      </c>
      <c r="I63" s="3" t="s">
        <v>28</v>
      </c>
      <c r="J63" s="3" t="s">
        <v>1085</v>
      </c>
      <c r="K63" s="3" t="s">
        <v>1088</v>
      </c>
      <c r="L63" s="3" t="s">
        <v>725</v>
      </c>
      <c r="M63" s="3" t="s">
        <v>1089</v>
      </c>
      <c r="N63" s="3" t="s">
        <v>726</v>
      </c>
      <c r="O63" s="3" t="s">
        <v>705</v>
      </c>
      <c r="P63" s="3" t="s">
        <v>711</v>
      </c>
      <c r="Q63" s="3" t="s">
        <v>192</v>
      </c>
      <c r="R63" s="3" t="s">
        <v>192</v>
      </c>
      <c r="S63" s="3" t="s">
        <v>192</v>
      </c>
      <c r="T63" s="3" t="s">
        <v>192</v>
      </c>
      <c r="U63" s="3"/>
      <c r="V63" s="3" t="s">
        <v>720</v>
      </c>
      <c r="W63" s="3"/>
    </row>
    <row r="64" spans="1:23" ht="28.5">
      <c r="A64" s="3">
        <v>63</v>
      </c>
      <c r="B64" s="3" t="s">
        <v>729</v>
      </c>
      <c r="C64" s="3" t="s">
        <v>729</v>
      </c>
      <c r="D64" s="3" t="s">
        <v>730</v>
      </c>
      <c r="E64" s="3" t="s">
        <v>705</v>
      </c>
      <c r="F64" s="3" t="s">
        <v>706</v>
      </c>
      <c r="G64" s="3" t="s">
        <v>731</v>
      </c>
      <c r="H64" s="3" t="s">
        <v>341</v>
      </c>
      <c r="I64" s="3" t="s">
        <v>28</v>
      </c>
      <c r="J64" s="3" t="s">
        <v>1085</v>
      </c>
      <c r="K64" s="3" t="s">
        <v>1090</v>
      </c>
      <c r="L64" s="3" t="s">
        <v>734</v>
      </c>
      <c r="M64" s="3" t="s">
        <v>1091</v>
      </c>
      <c r="N64" s="3" t="s">
        <v>735</v>
      </c>
      <c r="O64" s="3" t="s">
        <v>705</v>
      </c>
      <c r="P64" s="3" t="s">
        <v>736</v>
      </c>
      <c r="Q64" s="3" t="s">
        <v>192</v>
      </c>
      <c r="R64" s="3" t="s">
        <v>192</v>
      </c>
      <c r="S64" s="3" t="s">
        <v>192</v>
      </c>
      <c r="T64" s="3" t="s">
        <v>192</v>
      </c>
      <c r="U64" s="3"/>
      <c r="V64" s="3" t="s">
        <v>720</v>
      </c>
      <c r="W64" s="3"/>
    </row>
    <row r="65" spans="1:23" ht="28.5">
      <c r="A65" s="3">
        <v>64</v>
      </c>
      <c r="B65" s="3" t="s">
        <v>740</v>
      </c>
      <c r="C65" s="3" t="s">
        <v>740</v>
      </c>
      <c r="D65" s="3" t="s">
        <v>741</v>
      </c>
      <c r="E65" s="3" t="s">
        <v>705</v>
      </c>
      <c r="F65" s="3" t="s">
        <v>706</v>
      </c>
      <c r="G65" s="3" t="s">
        <v>340</v>
      </c>
      <c r="H65" s="3" t="s">
        <v>341</v>
      </c>
      <c r="I65" s="3" t="s">
        <v>28</v>
      </c>
      <c r="J65" s="3" t="s">
        <v>1085</v>
      </c>
      <c r="K65" s="3" t="s">
        <v>1092</v>
      </c>
      <c r="L65" s="3" t="s">
        <v>744</v>
      </c>
      <c r="M65" s="3" t="s">
        <v>1093</v>
      </c>
      <c r="N65" s="3" t="s">
        <v>745</v>
      </c>
      <c r="O65" s="3" t="s">
        <v>705</v>
      </c>
      <c r="P65" s="3" t="s">
        <v>736</v>
      </c>
      <c r="Q65" s="3" t="s">
        <v>192</v>
      </c>
      <c r="R65" s="3" t="s">
        <v>192</v>
      </c>
      <c r="S65" s="3" t="s">
        <v>192</v>
      </c>
      <c r="T65" s="3" t="s">
        <v>192</v>
      </c>
      <c r="U65" s="3"/>
      <c r="V65" s="3" t="s">
        <v>720</v>
      </c>
      <c r="W65" s="3"/>
    </row>
    <row r="66" spans="1:23" ht="28.5">
      <c r="A66" s="3">
        <v>65</v>
      </c>
      <c r="B66" s="3" t="s">
        <v>748</v>
      </c>
      <c r="C66" s="3" t="s">
        <v>748</v>
      </c>
      <c r="D66" s="3" t="s">
        <v>749</v>
      </c>
      <c r="E66" s="3" t="s">
        <v>705</v>
      </c>
      <c r="F66" s="3" t="s">
        <v>162</v>
      </c>
      <c r="G66" s="3" t="s">
        <v>340</v>
      </c>
      <c r="H66" s="3" t="s">
        <v>341</v>
      </c>
      <c r="I66" s="3" t="s">
        <v>28</v>
      </c>
      <c r="J66" s="3" t="s">
        <v>1085</v>
      </c>
      <c r="K66" s="3" t="s">
        <v>1094</v>
      </c>
      <c r="L66" s="3" t="s">
        <v>752</v>
      </c>
      <c r="M66" s="3" t="s">
        <v>1095</v>
      </c>
      <c r="N66" s="3" t="s">
        <v>753</v>
      </c>
      <c r="O66" s="3" t="s">
        <v>705</v>
      </c>
      <c r="P66" s="3" t="s">
        <v>754</v>
      </c>
      <c r="Q66" s="3" t="s">
        <v>192</v>
      </c>
      <c r="R66" s="3" t="s">
        <v>192</v>
      </c>
      <c r="S66" s="3" t="s">
        <v>192</v>
      </c>
      <c r="T66" s="3" t="s">
        <v>192</v>
      </c>
      <c r="U66" s="3"/>
      <c r="V66" s="3" t="s">
        <v>720</v>
      </c>
      <c r="W66" s="3"/>
    </row>
    <row r="67" spans="1:23" ht="28.5">
      <c r="A67" s="3">
        <v>66</v>
      </c>
      <c r="B67" s="3" t="s">
        <v>757</v>
      </c>
      <c r="C67" s="3" t="s">
        <v>757</v>
      </c>
      <c r="D67" s="3" t="s">
        <v>758</v>
      </c>
      <c r="E67" s="3" t="s">
        <v>705</v>
      </c>
      <c r="F67" s="3" t="s">
        <v>706</v>
      </c>
      <c r="G67" s="3" t="s">
        <v>340</v>
      </c>
      <c r="H67" s="3" t="s">
        <v>341</v>
      </c>
      <c r="I67" s="3" t="s">
        <v>28</v>
      </c>
      <c r="J67" s="3" t="s">
        <v>1085</v>
      </c>
      <c r="K67" s="3" t="s">
        <v>1096</v>
      </c>
      <c r="L67" s="3" t="s">
        <v>761</v>
      </c>
      <c r="M67" s="3" t="s">
        <v>1097</v>
      </c>
      <c r="N67" s="3" t="s">
        <v>762</v>
      </c>
      <c r="O67" s="3" t="s">
        <v>705</v>
      </c>
      <c r="P67" s="3" t="s">
        <v>736</v>
      </c>
      <c r="Q67" s="3" t="s">
        <v>192</v>
      </c>
      <c r="R67" s="3" t="s">
        <v>192</v>
      </c>
      <c r="S67" s="3" t="s">
        <v>192</v>
      </c>
      <c r="T67" s="3" t="s">
        <v>192</v>
      </c>
      <c r="U67" s="3"/>
      <c r="V67" s="3" t="s">
        <v>720</v>
      </c>
      <c r="W67" s="3"/>
    </row>
    <row r="68" spans="1:23" ht="28.5">
      <c r="A68" s="3">
        <v>67</v>
      </c>
      <c r="B68" s="3" t="s">
        <v>765</v>
      </c>
      <c r="C68" s="3" t="s">
        <v>765</v>
      </c>
      <c r="D68" s="3" t="s">
        <v>766</v>
      </c>
      <c r="E68" s="3" t="s">
        <v>705</v>
      </c>
      <c r="F68" s="3" t="s">
        <v>706</v>
      </c>
      <c r="G68" s="3" t="s">
        <v>340</v>
      </c>
      <c r="H68" s="3" t="s">
        <v>341</v>
      </c>
      <c r="I68" s="3" t="s">
        <v>28</v>
      </c>
      <c r="J68" s="3" t="s">
        <v>1085</v>
      </c>
      <c r="K68" s="3" t="s">
        <v>1098</v>
      </c>
      <c r="L68" s="3" t="s">
        <v>769</v>
      </c>
      <c r="M68" s="3" t="s">
        <v>1099</v>
      </c>
      <c r="N68" s="3" t="s">
        <v>770</v>
      </c>
      <c r="O68" s="3" t="s">
        <v>705</v>
      </c>
      <c r="P68" s="3" t="s">
        <v>736</v>
      </c>
      <c r="Q68" s="3" t="s">
        <v>192</v>
      </c>
      <c r="R68" s="3" t="s">
        <v>192</v>
      </c>
      <c r="S68" s="3" t="s">
        <v>192</v>
      </c>
      <c r="T68" s="3" t="s">
        <v>192</v>
      </c>
      <c r="U68" s="3"/>
      <c r="V68" s="3" t="s">
        <v>720</v>
      </c>
      <c r="W68" s="3"/>
    </row>
    <row r="69" spans="1:23" ht="28.5">
      <c r="A69" s="3">
        <v>68</v>
      </c>
      <c r="B69" s="3" t="s">
        <v>773</v>
      </c>
      <c r="C69" s="3" t="s">
        <v>773</v>
      </c>
      <c r="D69" s="3" t="s">
        <v>774</v>
      </c>
      <c r="E69" s="3" t="s">
        <v>705</v>
      </c>
      <c r="F69" s="3" t="s">
        <v>706</v>
      </c>
      <c r="G69" s="3" t="s">
        <v>340</v>
      </c>
      <c r="H69" s="3" t="s">
        <v>341</v>
      </c>
      <c r="I69" s="3" t="s">
        <v>28</v>
      </c>
      <c r="J69" s="3" t="s">
        <v>1085</v>
      </c>
      <c r="K69" s="3" t="s">
        <v>1100</v>
      </c>
      <c r="L69" s="3" t="s">
        <v>777</v>
      </c>
      <c r="M69" s="3" t="s">
        <v>1101</v>
      </c>
      <c r="N69" s="3" t="s">
        <v>778</v>
      </c>
      <c r="O69" s="3" t="s">
        <v>705</v>
      </c>
      <c r="P69" s="3" t="s">
        <v>736</v>
      </c>
      <c r="Q69" s="3" t="s">
        <v>192</v>
      </c>
      <c r="R69" s="3" t="s">
        <v>192</v>
      </c>
      <c r="S69" s="3" t="s">
        <v>192</v>
      </c>
      <c r="T69" s="3" t="s">
        <v>192</v>
      </c>
      <c r="U69" s="3"/>
      <c r="V69" s="3" t="s">
        <v>720</v>
      </c>
      <c r="W69" s="3"/>
    </row>
    <row r="70" spans="1:23" ht="28.5">
      <c r="A70" s="3">
        <v>69</v>
      </c>
      <c r="B70" s="3" t="s">
        <v>781</v>
      </c>
      <c r="C70" s="3" t="s">
        <v>781</v>
      </c>
      <c r="D70" s="3" t="s">
        <v>782</v>
      </c>
      <c r="E70" s="3" t="s">
        <v>705</v>
      </c>
      <c r="F70" s="3" t="s">
        <v>706</v>
      </c>
      <c r="G70" s="3" t="s">
        <v>731</v>
      </c>
      <c r="H70" s="3" t="s">
        <v>341</v>
      </c>
      <c r="I70" s="3" t="s">
        <v>28</v>
      </c>
      <c r="J70" s="3" t="s">
        <v>1085</v>
      </c>
      <c r="K70" s="3" t="s">
        <v>1102</v>
      </c>
      <c r="L70" s="3" t="s">
        <v>785</v>
      </c>
      <c r="M70" s="3" t="s">
        <v>1103</v>
      </c>
      <c r="N70" s="3" t="s">
        <v>786</v>
      </c>
      <c r="O70" s="3" t="s">
        <v>705</v>
      </c>
      <c r="P70" s="3" t="s">
        <v>736</v>
      </c>
      <c r="Q70" s="3" t="s">
        <v>192</v>
      </c>
      <c r="R70" s="3" t="s">
        <v>192</v>
      </c>
      <c r="S70" s="3" t="s">
        <v>192</v>
      </c>
      <c r="T70" s="3" t="s">
        <v>192</v>
      </c>
      <c r="U70" s="3"/>
      <c r="V70" s="3" t="s">
        <v>720</v>
      </c>
      <c r="W70" s="3"/>
    </row>
    <row r="71" spans="1:23" ht="28.5">
      <c r="A71" s="3">
        <v>70</v>
      </c>
      <c r="B71" s="3" t="s">
        <v>789</v>
      </c>
      <c r="C71" s="3" t="s">
        <v>789</v>
      </c>
      <c r="D71" s="3" t="s">
        <v>790</v>
      </c>
      <c r="E71" s="3" t="s">
        <v>705</v>
      </c>
      <c r="F71" s="3" t="s">
        <v>706</v>
      </c>
      <c r="G71" s="3" t="s">
        <v>340</v>
      </c>
      <c r="H71" s="3" t="s">
        <v>341</v>
      </c>
      <c r="I71" s="3" t="s">
        <v>28</v>
      </c>
      <c r="J71" s="3" t="s">
        <v>1085</v>
      </c>
      <c r="K71" s="3" t="s">
        <v>1104</v>
      </c>
      <c r="L71" s="3" t="s">
        <v>793</v>
      </c>
      <c r="M71" s="3" t="s">
        <v>1105</v>
      </c>
      <c r="N71" s="3" t="s">
        <v>794</v>
      </c>
      <c r="O71" s="3" t="s">
        <v>705</v>
      </c>
      <c r="P71" s="3" t="s">
        <v>736</v>
      </c>
      <c r="Q71" s="3" t="s">
        <v>192</v>
      </c>
      <c r="R71" s="3" t="s">
        <v>192</v>
      </c>
      <c r="S71" s="3" t="s">
        <v>192</v>
      </c>
      <c r="T71" s="3" t="s">
        <v>192</v>
      </c>
      <c r="U71" s="3"/>
      <c r="V71" s="3" t="s">
        <v>720</v>
      </c>
      <c r="W71" s="3"/>
    </row>
    <row r="72" spans="1:23" ht="28.5">
      <c r="A72" s="3">
        <v>71</v>
      </c>
      <c r="B72" s="3" t="s">
        <v>797</v>
      </c>
      <c r="C72" s="3" t="s">
        <v>797</v>
      </c>
      <c r="D72" s="3" t="s">
        <v>798</v>
      </c>
      <c r="E72" s="3" t="s">
        <v>705</v>
      </c>
      <c r="F72" s="3" t="s">
        <v>706</v>
      </c>
      <c r="G72" s="3" t="s">
        <v>340</v>
      </c>
      <c r="H72" s="3" t="s">
        <v>341</v>
      </c>
      <c r="I72" s="3" t="s">
        <v>28</v>
      </c>
      <c r="J72" s="3" t="s">
        <v>1085</v>
      </c>
      <c r="K72" s="3" t="s">
        <v>1106</v>
      </c>
      <c r="L72" s="3" t="s">
        <v>801</v>
      </c>
      <c r="M72" s="3" t="s">
        <v>1107</v>
      </c>
      <c r="N72" s="3" t="s">
        <v>802</v>
      </c>
      <c r="O72" s="3" t="s">
        <v>705</v>
      </c>
      <c r="P72" s="3" t="s">
        <v>803</v>
      </c>
      <c r="Q72" s="3" t="s">
        <v>192</v>
      </c>
      <c r="R72" s="3" t="s">
        <v>192</v>
      </c>
      <c r="S72" s="3" t="s">
        <v>192</v>
      </c>
      <c r="T72" s="3" t="s">
        <v>192</v>
      </c>
      <c r="U72" s="3"/>
      <c r="V72" s="3" t="s">
        <v>720</v>
      </c>
      <c r="W72" s="3"/>
    </row>
    <row r="73" spans="1:23" ht="28.5">
      <c r="A73" s="3">
        <v>72</v>
      </c>
      <c r="B73" s="3" t="s">
        <v>806</v>
      </c>
      <c r="C73" s="3" t="s">
        <v>806</v>
      </c>
      <c r="D73" s="3" t="s">
        <v>807</v>
      </c>
      <c r="E73" s="3" t="s">
        <v>705</v>
      </c>
      <c r="F73" s="3" t="s">
        <v>706</v>
      </c>
      <c r="G73" s="3" t="s">
        <v>340</v>
      </c>
      <c r="H73" s="3" t="s">
        <v>341</v>
      </c>
      <c r="I73" s="3" t="s">
        <v>28</v>
      </c>
      <c r="J73" s="3" t="s">
        <v>1085</v>
      </c>
      <c r="K73" s="3" t="s">
        <v>1108</v>
      </c>
      <c r="L73" s="3" t="s">
        <v>810</v>
      </c>
      <c r="M73" s="3" t="s">
        <v>1109</v>
      </c>
      <c r="N73" s="3" t="s">
        <v>811</v>
      </c>
      <c r="O73" s="3" t="s">
        <v>705</v>
      </c>
      <c r="P73" s="3" t="s">
        <v>812</v>
      </c>
      <c r="Q73" s="3" t="s">
        <v>192</v>
      </c>
      <c r="R73" s="3" t="s">
        <v>192</v>
      </c>
      <c r="S73" s="3" t="s">
        <v>192</v>
      </c>
      <c r="T73" s="3" t="s">
        <v>192</v>
      </c>
      <c r="U73" s="3"/>
      <c r="V73" s="3" t="s">
        <v>720</v>
      </c>
      <c r="W73" s="3"/>
    </row>
    <row r="74" spans="1:23" ht="28.5">
      <c r="A74" s="3">
        <v>73</v>
      </c>
      <c r="B74" s="3" t="s">
        <v>816</v>
      </c>
      <c r="C74" s="3" t="s">
        <v>816</v>
      </c>
      <c r="D74" s="3" t="s">
        <v>817</v>
      </c>
      <c r="E74" s="3" t="s">
        <v>705</v>
      </c>
      <c r="F74" s="3" t="s">
        <v>706</v>
      </c>
      <c r="G74" s="3" t="s">
        <v>731</v>
      </c>
      <c r="H74" s="3" t="s">
        <v>341</v>
      </c>
      <c r="I74" s="3" t="s">
        <v>28</v>
      </c>
      <c r="J74" s="3" t="s">
        <v>1085</v>
      </c>
      <c r="K74" s="3" t="s">
        <v>1110</v>
      </c>
      <c r="L74" s="3" t="s">
        <v>820</v>
      </c>
      <c r="M74" s="3" t="s">
        <v>1111</v>
      </c>
      <c r="N74" s="3" t="s">
        <v>821</v>
      </c>
      <c r="O74" s="3" t="s">
        <v>705</v>
      </c>
      <c r="P74" s="3" t="s">
        <v>812</v>
      </c>
      <c r="Q74" s="3" t="s">
        <v>192</v>
      </c>
      <c r="R74" s="3" t="s">
        <v>192</v>
      </c>
      <c r="S74" s="3" t="s">
        <v>192</v>
      </c>
      <c r="T74" s="3" t="s">
        <v>192</v>
      </c>
      <c r="U74" s="3"/>
      <c r="V74" s="3" t="s">
        <v>720</v>
      </c>
      <c r="W74" s="3"/>
    </row>
    <row r="75" spans="1:23" ht="28.5">
      <c r="A75" s="3">
        <v>74</v>
      </c>
      <c r="B75" s="3" t="s">
        <v>824</v>
      </c>
      <c r="C75" s="3" t="s">
        <v>824</v>
      </c>
      <c r="D75" s="3" t="s">
        <v>825</v>
      </c>
      <c r="E75" s="3" t="s">
        <v>705</v>
      </c>
      <c r="F75" s="3" t="s">
        <v>706</v>
      </c>
      <c r="G75" s="3" t="s">
        <v>731</v>
      </c>
      <c r="H75" s="3" t="s">
        <v>341</v>
      </c>
      <c r="I75" s="3" t="s">
        <v>28</v>
      </c>
      <c r="J75" s="3" t="s">
        <v>1085</v>
      </c>
      <c r="K75" s="3" t="s">
        <v>1112</v>
      </c>
      <c r="L75" s="3" t="s">
        <v>828</v>
      </c>
      <c r="M75" s="3" t="s">
        <v>1113</v>
      </c>
      <c r="N75" s="3" t="s">
        <v>829</v>
      </c>
      <c r="O75" s="3" t="s">
        <v>705</v>
      </c>
      <c r="P75" s="3" t="s">
        <v>812</v>
      </c>
      <c r="Q75" s="3" t="s">
        <v>192</v>
      </c>
      <c r="R75" s="3" t="s">
        <v>192</v>
      </c>
      <c r="S75" s="3" t="s">
        <v>192</v>
      </c>
      <c r="T75" s="3" t="s">
        <v>192</v>
      </c>
      <c r="U75" s="3"/>
      <c r="V75" s="3" t="s">
        <v>720</v>
      </c>
      <c r="W75" s="3"/>
    </row>
    <row r="76" spans="1:23" ht="28.5">
      <c r="A76" s="3">
        <v>75</v>
      </c>
      <c r="B76" s="3" t="s">
        <v>832</v>
      </c>
      <c r="C76" s="3" t="s">
        <v>832</v>
      </c>
      <c r="D76" s="3" t="s">
        <v>833</v>
      </c>
      <c r="E76" s="3" t="s">
        <v>705</v>
      </c>
      <c r="F76" s="3" t="s">
        <v>706</v>
      </c>
      <c r="G76" s="3" t="s">
        <v>340</v>
      </c>
      <c r="H76" s="3" t="s">
        <v>341</v>
      </c>
      <c r="I76" s="3" t="s">
        <v>28</v>
      </c>
      <c r="J76" s="3" t="s">
        <v>1085</v>
      </c>
      <c r="K76" s="3" t="s">
        <v>1114</v>
      </c>
      <c r="L76" s="3" t="s">
        <v>836</v>
      </c>
      <c r="M76" s="3" t="s">
        <v>1115</v>
      </c>
      <c r="N76" s="3" t="s">
        <v>837</v>
      </c>
      <c r="O76" s="3" t="s">
        <v>705</v>
      </c>
      <c r="P76" s="3" t="s">
        <v>812</v>
      </c>
      <c r="Q76" s="3" t="s">
        <v>192</v>
      </c>
      <c r="R76" s="3" t="s">
        <v>192</v>
      </c>
      <c r="S76" s="3" t="s">
        <v>192</v>
      </c>
      <c r="T76" s="3" t="s">
        <v>192</v>
      </c>
      <c r="U76" s="3"/>
      <c r="V76" s="3" t="s">
        <v>720</v>
      </c>
      <c r="W76" s="3"/>
    </row>
    <row r="77" spans="1:23" ht="28.5">
      <c r="A77" s="3">
        <v>76</v>
      </c>
      <c r="B77" s="3" t="s">
        <v>840</v>
      </c>
      <c r="C77" s="3" t="s">
        <v>840</v>
      </c>
      <c r="D77" s="3" t="s">
        <v>841</v>
      </c>
      <c r="E77" s="3" t="s">
        <v>705</v>
      </c>
      <c r="F77" s="3" t="s">
        <v>706</v>
      </c>
      <c r="G77" s="3" t="s">
        <v>340</v>
      </c>
      <c r="H77" s="3" t="s">
        <v>341</v>
      </c>
      <c r="I77" s="3" t="s">
        <v>28</v>
      </c>
      <c r="J77" s="3" t="s">
        <v>1085</v>
      </c>
      <c r="K77" s="3" t="s">
        <v>1116</v>
      </c>
      <c r="L77" s="3" t="s">
        <v>844</v>
      </c>
      <c r="M77" s="3" t="s">
        <v>1117</v>
      </c>
      <c r="N77" s="3" t="s">
        <v>845</v>
      </c>
      <c r="O77" s="3" t="s">
        <v>705</v>
      </c>
      <c r="P77" s="3" t="s">
        <v>812</v>
      </c>
      <c r="Q77" s="3" t="s">
        <v>192</v>
      </c>
      <c r="R77" s="3" t="s">
        <v>192</v>
      </c>
      <c r="S77" s="3" t="s">
        <v>192</v>
      </c>
      <c r="T77" s="3" t="s">
        <v>192</v>
      </c>
      <c r="U77" s="3"/>
      <c r="V77" s="3" t="s">
        <v>720</v>
      </c>
      <c r="W77" s="3"/>
    </row>
    <row r="78" spans="1:23" ht="28.5">
      <c r="A78" s="3">
        <v>77</v>
      </c>
      <c r="B78" s="3" t="s">
        <v>848</v>
      </c>
      <c r="C78" s="3" t="s">
        <v>848</v>
      </c>
      <c r="D78" s="3" t="s">
        <v>849</v>
      </c>
      <c r="E78" s="3" t="s">
        <v>705</v>
      </c>
      <c r="F78" s="3" t="s">
        <v>706</v>
      </c>
      <c r="G78" s="3" t="s">
        <v>340</v>
      </c>
      <c r="H78" s="3" t="s">
        <v>341</v>
      </c>
      <c r="I78" s="3" t="s">
        <v>28</v>
      </c>
      <c r="J78" s="3" t="s">
        <v>1085</v>
      </c>
      <c r="K78" s="3" t="s">
        <v>1118</v>
      </c>
      <c r="L78" s="3" t="s">
        <v>446</v>
      </c>
      <c r="M78" s="3" t="s">
        <v>1025</v>
      </c>
      <c r="N78" s="3" t="s">
        <v>852</v>
      </c>
      <c r="O78" s="3" t="s">
        <v>705</v>
      </c>
      <c r="P78" s="3" t="s">
        <v>853</v>
      </c>
      <c r="Q78" s="3" t="s">
        <v>192</v>
      </c>
      <c r="R78" s="3" t="s">
        <v>192</v>
      </c>
      <c r="S78" s="3" t="s">
        <v>192</v>
      </c>
      <c r="T78" s="3" t="s">
        <v>192</v>
      </c>
      <c r="U78" s="3"/>
      <c r="V78" s="3" t="s">
        <v>720</v>
      </c>
      <c r="W78" s="3"/>
    </row>
    <row r="79" spans="1:23" ht="28.5">
      <c r="A79" s="3">
        <v>78</v>
      </c>
      <c r="B79" s="3" t="s">
        <v>856</v>
      </c>
      <c r="C79" s="3" t="s">
        <v>856</v>
      </c>
      <c r="D79" s="3" t="s">
        <v>857</v>
      </c>
      <c r="E79" s="3" t="s">
        <v>705</v>
      </c>
      <c r="F79" s="3" t="s">
        <v>162</v>
      </c>
      <c r="G79" s="3" t="s">
        <v>340</v>
      </c>
      <c r="H79" s="3" t="s">
        <v>341</v>
      </c>
      <c r="I79" s="3" t="s">
        <v>28</v>
      </c>
      <c r="J79" s="3" t="s">
        <v>1085</v>
      </c>
      <c r="K79" s="3" t="s">
        <v>1119</v>
      </c>
      <c r="L79" s="3" t="s">
        <v>860</v>
      </c>
      <c r="M79" s="3" t="s">
        <v>1120</v>
      </c>
      <c r="N79" s="3" t="s">
        <v>861</v>
      </c>
      <c r="O79" s="3" t="s">
        <v>705</v>
      </c>
      <c r="P79" s="3" t="s">
        <v>862</v>
      </c>
      <c r="Q79" s="3" t="s">
        <v>192</v>
      </c>
      <c r="R79" s="3" t="s">
        <v>192</v>
      </c>
      <c r="S79" s="3" t="s">
        <v>192</v>
      </c>
      <c r="T79" s="3" t="s">
        <v>192</v>
      </c>
      <c r="U79" s="3"/>
      <c r="V79" s="3" t="s">
        <v>720</v>
      </c>
      <c r="W79" s="3"/>
    </row>
    <row r="80" spans="1:23" ht="28.5">
      <c r="A80" s="3">
        <v>79</v>
      </c>
      <c r="B80" s="3" t="s">
        <v>865</v>
      </c>
      <c r="C80" s="3" t="s">
        <v>865</v>
      </c>
      <c r="D80" s="3" t="s">
        <v>866</v>
      </c>
      <c r="E80" s="3" t="s">
        <v>705</v>
      </c>
      <c r="F80" s="3" t="s">
        <v>706</v>
      </c>
      <c r="G80" s="3" t="s">
        <v>340</v>
      </c>
      <c r="H80" s="3" t="s">
        <v>341</v>
      </c>
      <c r="I80" s="3" t="s">
        <v>28</v>
      </c>
      <c r="J80" s="3" t="s">
        <v>1085</v>
      </c>
      <c r="K80" s="3" t="s">
        <v>1121</v>
      </c>
      <c r="L80" s="3" t="s">
        <v>869</v>
      </c>
      <c r="M80" s="3" t="s">
        <v>1122</v>
      </c>
      <c r="N80" s="3" t="s">
        <v>870</v>
      </c>
      <c r="O80" s="3" t="s">
        <v>705</v>
      </c>
      <c r="P80" s="3" t="s">
        <v>812</v>
      </c>
      <c r="Q80" s="3" t="s">
        <v>192</v>
      </c>
      <c r="R80" s="3" t="s">
        <v>192</v>
      </c>
      <c r="S80" s="3" t="s">
        <v>192</v>
      </c>
      <c r="T80" s="3" t="s">
        <v>192</v>
      </c>
      <c r="U80" s="3"/>
      <c r="V80" s="3" t="s">
        <v>720</v>
      </c>
      <c r="W80" s="3"/>
    </row>
    <row r="81" spans="1:23" ht="28.5">
      <c r="A81" s="3">
        <v>80</v>
      </c>
      <c r="B81" s="3" t="s">
        <v>873</v>
      </c>
      <c r="C81" s="3" t="s">
        <v>873</v>
      </c>
      <c r="D81" s="3" t="s">
        <v>874</v>
      </c>
      <c r="E81" s="3" t="s">
        <v>705</v>
      </c>
      <c r="F81" s="3" t="s">
        <v>706</v>
      </c>
      <c r="G81" s="3" t="s">
        <v>340</v>
      </c>
      <c r="H81" s="3" t="s">
        <v>341</v>
      </c>
      <c r="I81" s="3" t="s">
        <v>28</v>
      </c>
      <c r="J81" s="3" t="s">
        <v>1085</v>
      </c>
      <c r="K81" s="3" t="s">
        <v>1123</v>
      </c>
      <c r="L81" s="3" t="s">
        <v>877</v>
      </c>
      <c r="M81" s="3" t="s">
        <v>1124</v>
      </c>
      <c r="N81" s="3" t="s">
        <v>878</v>
      </c>
      <c r="O81" s="3" t="s">
        <v>705</v>
      </c>
      <c r="P81" s="3" t="s">
        <v>812</v>
      </c>
      <c r="Q81" s="3" t="s">
        <v>192</v>
      </c>
      <c r="R81" s="3" t="s">
        <v>192</v>
      </c>
      <c r="S81" s="3" t="s">
        <v>192</v>
      </c>
      <c r="T81" s="3" t="s">
        <v>192</v>
      </c>
      <c r="U81" s="3"/>
      <c r="V81" s="3" t="s">
        <v>720</v>
      </c>
      <c r="W81" s="3"/>
    </row>
  </sheetData>
  <phoneticPr fontId="7"/>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7"/>
  <sheetViews>
    <sheetView workbookViewId="0"/>
  </sheetViews>
  <sheetFormatPr defaultRowHeight="14.25"/>
  <cols>
    <col min="1" max="4" width="28" customWidth="1"/>
  </cols>
  <sheetData>
    <row r="1" spans="1:4" ht="21.95" customHeight="1">
      <c r="A1" s="25" t="s">
        <v>1125</v>
      </c>
      <c r="B1" s="22"/>
      <c r="C1" s="22"/>
      <c r="D1" s="22"/>
    </row>
    <row r="2" spans="1:4" ht="21.95" customHeight="1"/>
    <row r="3" spans="1:4" ht="21.95" customHeight="1">
      <c r="A3" s="16" t="s">
        <v>1126</v>
      </c>
    </row>
    <row r="4" spans="1:4" ht="21.95" customHeight="1">
      <c r="A4" s="5" t="s">
        <v>1127</v>
      </c>
    </row>
    <row r="5" spans="1:4" ht="21.95" customHeight="1">
      <c r="A5" s="5" t="s">
        <v>1128</v>
      </c>
    </row>
    <row r="6" spans="1:4" ht="21.95" customHeight="1">
      <c r="A6" s="5" t="s">
        <v>1129</v>
      </c>
    </row>
    <row r="7" spans="1:4" ht="21.95" customHeight="1"/>
    <row r="8" spans="1:4" ht="21.95" customHeight="1">
      <c r="A8" s="16" t="s">
        <v>1130</v>
      </c>
    </row>
    <row r="9" spans="1:4" ht="320.10000000000002" customHeight="1">
      <c r="A9" s="23" t="s">
        <v>1131</v>
      </c>
      <c r="B9" s="22"/>
      <c r="C9" s="22"/>
      <c r="D9" s="22"/>
    </row>
    <row r="10" spans="1:4" ht="21.95" customHeight="1">
      <c r="A10" s="22"/>
      <c r="B10" s="24"/>
      <c r="C10" s="24"/>
      <c r="D10" s="22"/>
    </row>
    <row r="11" spans="1:4" ht="21.95" customHeight="1">
      <c r="A11" s="22"/>
      <c r="B11" s="24"/>
      <c r="C11" s="24"/>
      <c r="D11" s="22"/>
    </row>
    <row r="12" spans="1:4" ht="21.95" customHeight="1">
      <c r="A12" s="22"/>
      <c r="B12" s="24"/>
      <c r="C12" s="24"/>
      <c r="D12" s="22"/>
    </row>
    <row r="13" spans="1:4" ht="21.95" customHeight="1">
      <c r="A13" s="22"/>
      <c r="B13" s="24"/>
      <c r="C13" s="24"/>
      <c r="D13" s="22"/>
    </row>
    <row r="14" spans="1:4" ht="21.95" customHeight="1">
      <c r="A14" s="22"/>
      <c r="B14" s="24"/>
      <c r="C14" s="24"/>
      <c r="D14" s="22"/>
    </row>
    <row r="15" spans="1:4" ht="21.95" customHeight="1">
      <c r="A15" s="22"/>
      <c r="B15" s="24"/>
      <c r="C15" s="24"/>
      <c r="D15" s="22"/>
    </row>
    <row r="16" spans="1:4" ht="21.95" customHeight="1">
      <c r="A16" s="22"/>
      <c r="B16" s="24"/>
      <c r="C16" s="24"/>
      <c r="D16" s="22"/>
    </row>
    <row r="17" spans="1:4" ht="21.95" customHeight="1">
      <c r="A17" s="22"/>
      <c r="B17" s="24"/>
      <c r="C17" s="24"/>
      <c r="D17" s="22"/>
    </row>
    <row r="18" spans="1:4" ht="21.95" customHeight="1">
      <c r="A18" s="22"/>
      <c r="B18" s="24"/>
      <c r="C18" s="24"/>
      <c r="D18" s="22"/>
    </row>
    <row r="19" spans="1:4" ht="21.95" customHeight="1">
      <c r="A19" s="22"/>
      <c r="B19" s="24"/>
      <c r="C19" s="24"/>
      <c r="D19" s="22"/>
    </row>
    <row r="20" spans="1:4" ht="21.95" customHeight="1">
      <c r="A20" s="22"/>
      <c r="B20" s="24"/>
      <c r="C20" s="24"/>
      <c r="D20" s="22"/>
    </row>
    <row r="21" spans="1:4" ht="21.95" customHeight="1">
      <c r="A21" s="22"/>
      <c r="B21" s="24"/>
      <c r="C21" s="24"/>
      <c r="D21" s="22"/>
    </row>
    <row r="22" spans="1:4" ht="21.95" customHeight="1">
      <c r="A22" s="22"/>
      <c r="B22" s="24"/>
      <c r="C22" s="24"/>
      <c r="D22" s="22"/>
    </row>
    <row r="23" spans="1:4" ht="21.95" customHeight="1">
      <c r="A23" s="22"/>
      <c r="B23" s="24"/>
      <c r="C23" s="24"/>
      <c r="D23" s="22"/>
    </row>
    <row r="24" spans="1:4" ht="21.95" customHeight="1">
      <c r="A24" s="22"/>
      <c r="B24" s="24"/>
      <c r="C24" s="24"/>
      <c r="D24" s="22"/>
    </row>
    <row r="25" spans="1:4" ht="21.95" customHeight="1">
      <c r="A25" s="22"/>
      <c r="B25" s="24"/>
      <c r="C25" s="24"/>
      <c r="D25" s="22"/>
    </row>
    <row r="26" spans="1:4" ht="21.95" customHeight="1">
      <c r="A26" s="22"/>
      <c r="B26" s="24"/>
      <c r="C26" s="24"/>
      <c r="D26" s="22"/>
    </row>
    <row r="27" spans="1:4" ht="21.95" customHeight="1">
      <c r="A27" s="22"/>
      <c r="B27" s="22"/>
      <c r="C27" s="22"/>
      <c r="D27" s="22"/>
    </row>
  </sheetData>
  <mergeCells count="2">
    <mergeCell ref="A9:D27"/>
    <mergeCell ref="A1:D1"/>
  </mergeCells>
  <phoneticPr fontId="7"/>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82"/>
  <sheetViews>
    <sheetView workbookViewId="0">
      <pane ySplit="2" topLeftCell="A3" activePane="bottomLeft" state="frozen"/>
      <selection pane="bottomLeft"/>
    </sheetView>
  </sheetViews>
  <sheetFormatPr defaultRowHeight="14.25"/>
  <cols>
    <col min="1" max="1" width="7" customWidth="1"/>
    <col min="2" max="2" width="24" customWidth="1"/>
    <col min="3" max="3" width="38" customWidth="1"/>
    <col min="4" max="5" width="18" customWidth="1"/>
    <col min="6" max="6" width="22" customWidth="1"/>
    <col min="7" max="7" width="24" customWidth="1"/>
    <col min="8" max="8" width="28" customWidth="1"/>
    <col min="9" max="9" width="24" customWidth="1"/>
    <col min="10" max="10" width="28" customWidth="1"/>
    <col min="11" max="11" width="24" customWidth="1"/>
    <col min="12" max="12" width="18" customWidth="1"/>
    <col min="13" max="13" width="12" customWidth="1"/>
    <col min="14" max="14" width="18" customWidth="1"/>
    <col min="15" max="15" width="42" customWidth="1"/>
    <col min="16" max="16" width="40" customWidth="1"/>
    <col min="17" max="17" width="52" customWidth="1"/>
    <col min="18" max="18" width="70" customWidth="1"/>
  </cols>
  <sheetData>
    <row r="1" spans="1:18" ht="15">
      <c r="A1" s="17" t="s">
        <v>35</v>
      </c>
      <c r="B1" s="17" t="s">
        <v>36</v>
      </c>
      <c r="C1" s="17" t="s">
        <v>1132</v>
      </c>
      <c r="D1" s="17" t="s">
        <v>39</v>
      </c>
      <c r="E1" s="17" t="s">
        <v>40</v>
      </c>
      <c r="F1" s="17" t="s">
        <v>1133</v>
      </c>
      <c r="G1" s="17" t="s">
        <v>1134</v>
      </c>
      <c r="H1" s="17" t="s">
        <v>1135</v>
      </c>
      <c r="I1" s="17" t="s">
        <v>881</v>
      </c>
      <c r="J1" s="17" t="s">
        <v>1136</v>
      </c>
      <c r="K1" s="17" t="s">
        <v>58</v>
      </c>
      <c r="L1" s="17" t="s">
        <v>59</v>
      </c>
      <c r="M1" s="17" t="s">
        <v>60</v>
      </c>
      <c r="N1" s="17" t="s">
        <v>882</v>
      </c>
      <c r="O1" s="17" t="s">
        <v>1137</v>
      </c>
      <c r="P1" s="17" t="s">
        <v>1138</v>
      </c>
      <c r="Q1" s="17" t="s">
        <v>1139</v>
      </c>
      <c r="R1" s="17" t="s">
        <v>1140</v>
      </c>
    </row>
    <row r="2" spans="1:18" ht="36" customHeight="1">
      <c r="A2" s="18" t="s">
        <v>1126</v>
      </c>
      <c r="B2" s="26" t="s">
        <v>1141</v>
      </c>
      <c r="C2" s="27"/>
      <c r="D2" s="27"/>
      <c r="E2" s="27"/>
      <c r="F2" s="27"/>
      <c r="G2" s="27"/>
      <c r="H2" s="27"/>
      <c r="I2" s="27"/>
      <c r="J2" s="27"/>
      <c r="K2" s="27"/>
      <c r="L2" s="27"/>
      <c r="M2" s="27"/>
      <c r="N2" s="27"/>
      <c r="O2" s="27"/>
      <c r="P2" s="27"/>
      <c r="Q2" s="27"/>
      <c r="R2" s="28"/>
    </row>
    <row r="3" spans="1:18" ht="90" customHeight="1">
      <c r="A3" s="19" t="s">
        <v>1142</v>
      </c>
      <c r="B3" s="20" t="s">
        <v>77</v>
      </c>
      <c r="C3" s="20" t="s">
        <v>78</v>
      </c>
      <c r="D3" s="20" t="s">
        <v>79</v>
      </c>
      <c r="E3" s="20" t="s">
        <v>80</v>
      </c>
      <c r="F3" s="19" t="s">
        <v>1143</v>
      </c>
      <c r="G3" s="20" t="s">
        <v>92</v>
      </c>
      <c r="H3" s="20" t="s">
        <v>93</v>
      </c>
      <c r="I3" s="20" t="s">
        <v>94</v>
      </c>
      <c r="J3" s="20" t="s">
        <v>1144</v>
      </c>
      <c r="K3" s="20" t="s">
        <v>95</v>
      </c>
      <c r="L3" s="20" t="s">
        <v>96</v>
      </c>
      <c r="M3" s="20" t="s">
        <v>97</v>
      </c>
      <c r="N3" s="20" t="s">
        <v>98</v>
      </c>
      <c r="O3" s="20" t="s">
        <v>1145</v>
      </c>
      <c r="P3" s="20" t="s">
        <v>1146</v>
      </c>
      <c r="Q3" s="20" t="s">
        <v>1147</v>
      </c>
      <c r="R3" s="20" t="s">
        <v>1148</v>
      </c>
    </row>
    <row r="4" spans="1:18" ht="90" customHeight="1">
      <c r="A4" s="19" t="s">
        <v>1149</v>
      </c>
      <c r="B4" s="20" t="s">
        <v>108</v>
      </c>
      <c r="C4" s="20" t="s">
        <v>109</v>
      </c>
      <c r="D4" s="20" t="s">
        <v>79</v>
      </c>
      <c r="E4" s="20" t="s">
        <v>80</v>
      </c>
      <c r="F4" s="19" t="s">
        <v>1150</v>
      </c>
      <c r="G4" s="20" t="s">
        <v>117</v>
      </c>
      <c r="H4" s="20" t="s">
        <v>118</v>
      </c>
      <c r="I4" s="20" t="s">
        <v>119</v>
      </c>
      <c r="J4" s="20" t="s">
        <v>1151</v>
      </c>
      <c r="K4" s="20" t="s">
        <v>120</v>
      </c>
      <c r="L4" s="20" t="s">
        <v>121</v>
      </c>
      <c r="M4" s="20" t="s">
        <v>97</v>
      </c>
      <c r="N4" s="20" t="s">
        <v>122</v>
      </c>
      <c r="O4" s="20" t="s">
        <v>1152</v>
      </c>
      <c r="P4" s="20" t="s">
        <v>1153</v>
      </c>
      <c r="Q4" s="20" t="s">
        <v>1154</v>
      </c>
      <c r="R4" s="20" t="s">
        <v>1155</v>
      </c>
    </row>
    <row r="5" spans="1:18" ht="90" customHeight="1">
      <c r="A5" s="19" t="s">
        <v>1156</v>
      </c>
      <c r="B5" s="20" t="s">
        <v>125</v>
      </c>
      <c r="C5" s="20" t="s">
        <v>126</v>
      </c>
      <c r="D5" s="20" t="s">
        <v>79</v>
      </c>
      <c r="E5" s="20" t="s">
        <v>80</v>
      </c>
      <c r="F5" s="19" t="s">
        <v>1157</v>
      </c>
      <c r="G5" s="20" t="s">
        <v>134</v>
      </c>
      <c r="H5" s="20" t="s">
        <v>135</v>
      </c>
      <c r="I5" s="20" t="s">
        <v>136</v>
      </c>
      <c r="J5" s="20" t="s">
        <v>1158</v>
      </c>
      <c r="K5" s="20" t="s">
        <v>137</v>
      </c>
      <c r="L5" s="20" t="s">
        <v>138</v>
      </c>
      <c r="M5" s="20" t="s">
        <v>97</v>
      </c>
      <c r="N5" s="20" t="s">
        <v>139</v>
      </c>
      <c r="O5" s="20" t="s">
        <v>1159</v>
      </c>
      <c r="P5" s="20" t="s">
        <v>1160</v>
      </c>
      <c r="Q5" s="20" t="s">
        <v>1161</v>
      </c>
      <c r="R5" s="20" t="s">
        <v>1162</v>
      </c>
    </row>
    <row r="6" spans="1:18" ht="90" customHeight="1">
      <c r="A6" s="19" t="s">
        <v>1163</v>
      </c>
      <c r="B6" s="20" t="s">
        <v>142</v>
      </c>
      <c r="C6" s="20" t="s">
        <v>143</v>
      </c>
      <c r="D6" s="20" t="s">
        <v>79</v>
      </c>
      <c r="E6" s="20" t="s">
        <v>80</v>
      </c>
      <c r="F6" s="19" t="s">
        <v>1164</v>
      </c>
      <c r="G6" s="20" t="s">
        <v>151</v>
      </c>
      <c r="H6" s="20" t="s">
        <v>152</v>
      </c>
      <c r="I6" s="20" t="s">
        <v>153</v>
      </c>
      <c r="J6" s="20" t="s">
        <v>1165</v>
      </c>
      <c r="K6" s="20" t="s">
        <v>154</v>
      </c>
      <c r="L6" s="20" t="s">
        <v>155</v>
      </c>
      <c r="M6" s="20" t="s">
        <v>97</v>
      </c>
      <c r="N6" s="20" t="s">
        <v>156</v>
      </c>
      <c r="O6" s="20" t="s">
        <v>1166</v>
      </c>
      <c r="P6" s="20" t="s">
        <v>1167</v>
      </c>
      <c r="Q6" s="20" t="s">
        <v>1168</v>
      </c>
      <c r="R6" s="20" t="s">
        <v>1169</v>
      </c>
    </row>
    <row r="7" spans="1:18" ht="90" customHeight="1">
      <c r="A7" s="19" t="s">
        <v>1170</v>
      </c>
      <c r="B7" s="20" t="s">
        <v>160</v>
      </c>
      <c r="C7" s="20" t="s">
        <v>161</v>
      </c>
      <c r="D7" s="20" t="s">
        <v>79</v>
      </c>
      <c r="E7" s="20" t="s">
        <v>80</v>
      </c>
      <c r="F7" s="19" t="s">
        <v>1171</v>
      </c>
      <c r="G7" s="20" t="s">
        <v>171</v>
      </c>
      <c r="H7" s="20" t="s">
        <v>172</v>
      </c>
      <c r="I7" s="20" t="s">
        <v>173</v>
      </c>
      <c r="J7" s="20" t="s">
        <v>1172</v>
      </c>
      <c r="K7" s="20" t="s">
        <v>174</v>
      </c>
      <c r="L7" s="20" t="s">
        <v>175</v>
      </c>
      <c r="M7" s="20" t="s">
        <v>97</v>
      </c>
      <c r="N7" s="20" t="s">
        <v>176</v>
      </c>
      <c r="O7" s="20" t="s">
        <v>1173</v>
      </c>
      <c r="P7" s="20" t="s">
        <v>1174</v>
      </c>
      <c r="Q7" s="20" t="s">
        <v>1175</v>
      </c>
      <c r="R7" s="20" t="s">
        <v>1176</v>
      </c>
    </row>
    <row r="8" spans="1:18" ht="90" customHeight="1">
      <c r="A8" s="19" t="s">
        <v>1177</v>
      </c>
      <c r="B8" s="20" t="s">
        <v>179</v>
      </c>
      <c r="C8" s="20" t="s">
        <v>180</v>
      </c>
      <c r="D8" s="20" t="s">
        <v>79</v>
      </c>
      <c r="E8" s="20" t="s">
        <v>80</v>
      </c>
      <c r="F8" s="19" t="s">
        <v>1178</v>
      </c>
      <c r="G8" s="20" t="s">
        <v>186</v>
      </c>
      <c r="H8" s="20" t="s">
        <v>187</v>
      </c>
      <c r="I8" s="20" t="s">
        <v>188</v>
      </c>
      <c r="J8" s="20" t="s">
        <v>1179</v>
      </c>
      <c r="K8" s="20" t="s">
        <v>189</v>
      </c>
      <c r="L8" s="20" t="s">
        <v>190</v>
      </c>
      <c r="M8" s="20" t="s">
        <v>97</v>
      </c>
      <c r="N8" s="20" t="s">
        <v>191</v>
      </c>
      <c r="O8" s="20" t="s">
        <v>1180</v>
      </c>
      <c r="P8" s="20" t="s">
        <v>1181</v>
      </c>
      <c r="Q8" s="20" t="s">
        <v>1182</v>
      </c>
      <c r="R8" s="20" t="s">
        <v>1183</v>
      </c>
    </row>
    <row r="9" spans="1:18" ht="90" customHeight="1">
      <c r="A9" s="19" t="s">
        <v>1184</v>
      </c>
      <c r="B9" s="20" t="s">
        <v>196</v>
      </c>
      <c r="C9" s="20" t="s">
        <v>197</v>
      </c>
      <c r="D9" s="20" t="s">
        <v>79</v>
      </c>
      <c r="E9" s="20" t="s">
        <v>80</v>
      </c>
      <c r="F9" s="19" t="s">
        <v>1185</v>
      </c>
      <c r="G9" s="20" t="s">
        <v>202</v>
      </c>
      <c r="H9" s="20" t="s">
        <v>203</v>
      </c>
      <c r="I9" s="20" t="s">
        <v>204</v>
      </c>
      <c r="J9" s="20" t="s">
        <v>1186</v>
      </c>
      <c r="K9" s="20" t="s">
        <v>205</v>
      </c>
      <c r="L9" s="20" t="s">
        <v>206</v>
      </c>
      <c r="M9" s="20" t="s">
        <v>97</v>
      </c>
      <c r="N9" s="20" t="s">
        <v>207</v>
      </c>
      <c r="O9" s="20" t="s">
        <v>1187</v>
      </c>
      <c r="P9" s="20" t="s">
        <v>1188</v>
      </c>
      <c r="Q9" s="20" t="s">
        <v>1189</v>
      </c>
      <c r="R9" s="20" t="s">
        <v>1190</v>
      </c>
    </row>
    <row r="10" spans="1:18" ht="90" customHeight="1">
      <c r="A10" s="19" t="s">
        <v>1191</v>
      </c>
      <c r="B10" s="20" t="s">
        <v>210</v>
      </c>
      <c r="C10" s="20" t="s">
        <v>211</v>
      </c>
      <c r="D10" s="20" t="s">
        <v>79</v>
      </c>
      <c r="E10" s="20" t="s">
        <v>80</v>
      </c>
      <c r="F10" s="19" t="s">
        <v>1192</v>
      </c>
      <c r="G10" s="20" t="s">
        <v>216</v>
      </c>
      <c r="H10" s="20" t="s">
        <v>217</v>
      </c>
      <c r="I10" s="20" t="s">
        <v>218</v>
      </c>
      <c r="J10" s="20" t="s">
        <v>1193</v>
      </c>
      <c r="K10" s="20" t="s">
        <v>219</v>
      </c>
      <c r="L10" s="20" t="s">
        <v>190</v>
      </c>
      <c r="M10" s="20" t="s">
        <v>97</v>
      </c>
      <c r="N10" s="20" t="s">
        <v>220</v>
      </c>
      <c r="O10" s="20" t="s">
        <v>1194</v>
      </c>
      <c r="P10" s="20" t="s">
        <v>1195</v>
      </c>
      <c r="Q10" s="20" t="s">
        <v>1196</v>
      </c>
      <c r="R10" s="20" t="s">
        <v>1197</v>
      </c>
    </row>
    <row r="11" spans="1:18" ht="90" customHeight="1">
      <c r="A11" s="19" t="s">
        <v>1198</v>
      </c>
      <c r="B11" s="20" t="s">
        <v>223</v>
      </c>
      <c r="C11" s="20" t="s">
        <v>224</v>
      </c>
      <c r="D11" s="20" t="s">
        <v>79</v>
      </c>
      <c r="E11" s="20" t="s">
        <v>80</v>
      </c>
      <c r="F11" s="19" t="s">
        <v>1199</v>
      </c>
      <c r="G11" s="20" t="s">
        <v>229</v>
      </c>
      <c r="H11" s="20" t="s">
        <v>217</v>
      </c>
      <c r="I11" s="20" t="s">
        <v>218</v>
      </c>
      <c r="J11" s="20" t="s">
        <v>1200</v>
      </c>
      <c r="K11" s="20" t="s">
        <v>219</v>
      </c>
      <c r="L11" s="20" t="s">
        <v>190</v>
      </c>
      <c r="M11" s="20" t="s">
        <v>97</v>
      </c>
      <c r="N11" s="20" t="s">
        <v>220</v>
      </c>
      <c r="O11" s="20" t="s">
        <v>1194</v>
      </c>
      <c r="P11" s="20" t="s">
        <v>1195</v>
      </c>
      <c r="Q11" s="20" t="s">
        <v>1201</v>
      </c>
      <c r="R11" s="20" t="s">
        <v>1202</v>
      </c>
    </row>
    <row r="12" spans="1:18" ht="90" customHeight="1">
      <c r="A12" s="19" t="s">
        <v>1203</v>
      </c>
      <c r="B12" s="20" t="s">
        <v>232</v>
      </c>
      <c r="C12" s="20" t="s">
        <v>233</v>
      </c>
      <c r="D12" s="20" t="s">
        <v>79</v>
      </c>
      <c r="E12" s="20" t="s">
        <v>80</v>
      </c>
      <c r="F12" s="19" t="s">
        <v>1204</v>
      </c>
      <c r="G12" s="20" t="s">
        <v>238</v>
      </c>
      <c r="H12" s="20" t="s">
        <v>239</v>
      </c>
      <c r="I12" s="20" t="s">
        <v>240</v>
      </c>
      <c r="J12" s="20" t="s">
        <v>1205</v>
      </c>
      <c r="K12" s="20" t="s">
        <v>241</v>
      </c>
      <c r="L12" s="20" t="s">
        <v>242</v>
      </c>
      <c r="M12" s="20" t="s">
        <v>97</v>
      </c>
      <c r="N12" s="20" t="s">
        <v>243</v>
      </c>
      <c r="O12" s="20" t="s">
        <v>1206</v>
      </c>
      <c r="P12" s="20" t="s">
        <v>1207</v>
      </c>
      <c r="Q12" s="20" t="s">
        <v>1208</v>
      </c>
      <c r="R12" s="20" t="s">
        <v>1209</v>
      </c>
    </row>
    <row r="13" spans="1:18" ht="90" customHeight="1">
      <c r="A13" s="19" t="s">
        <v>1210</v>
      </c>
      <c r="B13" s="20" t="s">
        <v>246</v>
      </c>
      <c r="C13" s="20" t="s">
        <v>247</v>
      </c>
      <c r="D13" s="20" t="s">
        <v>248</v>
      </c>
      <c r="E13" s="20" t="s">
        <v>80</v>
      </c>
      <c r="F13" s="19" t="s">
        <v>1211</v>
      </c>
      <c r="G13" s="20" t="s">
        <v>253</v>
      </c>
      <c r="H13" s="20" t="s">
        <v>239</v>
      </c>
      <c r="I13" s="20" t="s">
        <v>240</v>
      </c>
      <c r="J13" s="20" t="s">
        <v>1212</v>
      </c>
      <c r="K13" s="20" t="s">
        <v>241</v>
      </c>
      <c r="L13" s="20" t="s">
        <v>242</v>
      </c>
      <c r="M13" s="20" t="s">
        <v>97</v>
      </c>
      <c r="N13" s="20" t="s">
        <v>243</v>
      </c>
      <c r="O13" s="20" t="s">
        <v>1213</v>
      </c>
      <c r="P13" s="20" t="s">
        <v>1207</v>
      </c>
      <c r="Q13" s="20" t="s">
        <v>1214</v>
      </c>
      <c r="R13" s="20" t="s">
        <v>1215</v>
      </c>
    </row>
    <row r="14" spans="1:18" ht="90" customHeight="1">
      <c r="A14" s="19" t="s">
        <v>1216</v>
      </c>
      <c r="B14" s="20" t="s">
        <v>261</v>
      </c>
      <c r="C14" s="20" t="s">
        <v>262</v>
      </c>
      <c r="D14" s="20" t="s">
        <v>248</v>
      </c>
      <c r="E14" s="20" t="s">
        <v>80</v>
      </c>
      <c r="F14" s="19" t="s">
        <v>1217</v>
      </c>
      <c r="G14" s="20" t="s">
        <v>267</v>
      </c>
      <c r="H14" s="20" t="s">
        <v>239</v>
      </c>
      <c r="I14" s="20" t="s">
        <v>240</v>
      </c>
      <c r="J14" s="20" t="s">
        <v>1212</v>
      </c>
      <c r="K14" s="20" t="s">
        <v>241</v>
      </c>
      <c r="L14" s="20" t="s">
        <v>242</v>
      </c>
      <c r="M14" s="20" t="s">
        <v>97</v>
      </c>
      <c r="N14" s="20" t="s">
        <v>243</v>
      </c>
      <c r="O14" s="20" t="s">
        <v>1213</v>
      </c>
      <c r="P14" s="20" t="s">
        <v>1207</v>
      </c>
      <c r="Q14" s="20" t="s">
        <v>1218</v>
      </c>
      <c r="R14" s="20" t="s">
        <v>1219</v>
      </c>
    </row>
    <row r="15" spans="1:18" ht="90" customHeight="1">
      <c r="A15" s="19" t="s">
        <v>1220</v>
      </c>
      <c r="B15" s="20" t="s">
        <v>270</v>
      </c>
      <c r="C15" s="20" t="s">
        <v>271</v>
      </c>
      <c r="D15" s="20" t="s">
        <v>248</v>
      </c>
      <c r="E15" s="20" t="s">
        <v>80</v>
      </c>
      <c r="F15" s="19" t="s">
        <v>1221</v>
      </c>
      <c r="G15" s="20" t="s">
        <v>276</v>
      </c>
      <c r="H15" s="20" t="s">
        <v>239</v>
      </c>
      <c r="I15" s="20" t="s">
        <v>240</v>
      </c>
      <c r="J15" s="20" t="s">
        <v>1212</v>
      </c>
      <c r="K15" s="20" t="s">
        <v>241</v>
      </c>
      <c r="L15" s="20" t="s">
        <v>242</v>
      </c>
      <c r="M15" s="20" t="s">
        <v>97</v>
      </c>
      <c r="N15" s="20" t="s">
        <v>243</v>
      </c>
      <c r="O15" s="20" t="s">
        <v>1213</v>
      </c>
      <c r="P15" s="20" t="s">
        <v>1207</v>
      </c>
      <c r="Q15" s="20" t="s">
        <v>1222</v>
      </c>
      <c r="R15" s="20" t="s">
        <v>1223</v>
      </c>
    </row>
    <row r="16" spans="1:18" ht="90" customHeight="1">
      <c r="A16" s="19" t="s">
        <v>1224</v>
      </c>
      <c r="B16" s="20" t="s">
        <v>279</v>
      </c>
      <c r="C16" s="20" t="s">
        <v>280</v>
      </c>
      <c r="D16" s="20" t="s">
        <v>248</v>
      </c>
      <c r="E16" s="20" t="s">
        <v>80</v>
      </c>
      <c r="F16" s="19" t="s">
        <v>1225</v>
      </c>
      <c r="G16" s="20" t="s">
        <v>285</v>
      </c>
      <c r="H16" s="20" t="s">
        <v>239</v>
      </c>
      <c r="I16" s="20" t="s">
        <v>240</v>
      </c>
      <c r="J16" s="20" t="s">
        <v>1212</v>
      </c>
      <c r="K16" s="20" t="s">
        <v>241</v>
      </c>
      <c r="L16" s="20" t="s">
        <v>242</v>
      </c>
      <c r="M16" s="20" t="s">
        <v>97</v>
      </c>
      <c r="N16" s="20" t="s">
        <v>243</v>
      </c>
      <c r="O16" s="20" t="s">
        <v>1213</v>
      </c>
      <c r="P16" s="20" t="s">
        <v>1207</v>
      </c>
      <c r="Q16" s="20" t="s">
        <v>1226</v>
      </c>
      <c r="R16" s="20" t="s">
        <v>1227</v>
      </c>
    </row>
    <row r="17" spans="1:18" ht="90" customHeight="1">
      <c r="A17" s="19" t="s">
        <v>1228</v>
      </c>
      <c r="B17" s="20" t="s">
        <v>288</v>
      </c>
      <c r="C17" s="20" t="s">
        <v>289</v>
      </c>
      <c r="D17" s="20" t="s">
        <v>248</v>
      </c>
      <c r="E17" s="20" t="s">
        <v>80</v>
      </c>
      <c r="F17" s="19" t="s">
        <v>1229</v>
      </c>
      <c r="G17" s="20" t="s">
        <v>294</v>
      </c>
      <c r="H17" s="20" t="s">
        <v>239</v>
      </c>
      <c r="I17" s="20" t="s">
        <v>240</v>
      </c>
      <c r="J17" s="20" t="s">
        <v>1212</v>
      </c>
      <c r="K17" s="20" t="s">
        <v>241</v>
      </c>
      <c r="L17" s="20" t="s">
        <v>242</v>
      </c>
      <c r="M17" s="20" t="s">
        <v>97</v>
      </c>
      <c r="N17" s="20" t="s">
        <v>243</v>
      </c>
      <c r="O17" s="20" t="s">
        <v>1213</v>
      </c>
      <c r="P17" s="20" t="s">
        <v>1207</v>
      </c>
      <c r="Q17" s="20" t="s">
        <v>1230</v>
      </c>
      <c r="R17" s="20" t="s">
        <v>1231</v>
      </c>
    </row>
    <row r="18" spans="1:18" ht="90" customHeight="1">
      <c r="A18" s="19" t="s">
        <v>1232</v>
      </c>
      <c r="B18" s="20" t="s">
        <v>297</v>
      </c>
      <c r="C18" s="20" t="s">
        <v>298</v>
      </c>
      <c r="D18" s="20" t="s">
        <v>248</v>
      </c>
      <c r="E18" s="20" t="s">
        <v>80</v>
      </c>
      <c r="F18" s="19" t="s">
        <v>1233</v>
      </c>
      <c r="G18" s="20" t="s">
        <v>303</v>
      </c>
      <c r="H18" s="20" t="s">
        <v>239</v>
      </c>
      <c r="I18" s="20" t="s">
        <v>240</v>
      </c>
      <c r="J18" s="20" t="s">
        <v>1212</v>
      </c>
      <c r="K18" s="20" t="s">
        <v>241</v>
      </c>
      <c r="L18" s="20" t="s">
        <v>242</v>
      </c>
      <c r="M18" s="20" t="s">
        <v>97</v>
      </c>
      <c r="N18" s="20" t="s">
        <v>243</v>
      </c>
      <c r="O18" s="20" t="s">
        <v>1213</v>
      </c>
      <c r="P18" s="20" t="s">
        <v>1207</v>
      </c>
      <c r="Q18" s="20" t="s">
        <v>1234</v>
      </c>
      <c r="R18" s="20" t="s">
        <v>1235</v>
      </c>
    </row>
    <row r="19" spans="1:18" ht="90" customHeight="1">
      <c r="A19" s="19" t="s">
        <v>1236</v>
      </c>
      <c r="B19" s="20" t="s">
        <v>306</v>
      </c>
      <c r="C19" s="20" t="s">
        <v>307</v>
      </c>
      <c r="D19" s="20" t="s">
        <v>248</v>
      </c>
      <c r="E19" s="20" t="s">
        <v>308</v>
      </c>
      <c r="F19" s="19" t="s">
        <v>1237</v>
      </c>
      <c r="G19" s="20" t="s">
        <v>314</v>
      </c>
      <c r="H19" s="20" t="s">
        <v>239</v>
      </c>
      <c r="I19" s="20" t="s">
        <v>240</v>
      </c>
      <c r="J19" s="20" t="s">
        <v>1238</v>
      </c>
      <c r="K19" s="20" t="s">
        <v>241</v>
      </c>
      <c r="L19" s="20" t="s">
        <v>242</v>
      </c>
      <c r="M19" s="20" t="s">
        <v>97</v>
      </c>
      <c r="N19" s="20" t="s">
        <v>243</v>
      </c>
      <c r="O19" s="20" t="s">
        <v>1206</v>
      </c>
      <c r="P19" s="20" t="s">
        <v>1207</v>
      </c>
      <c r="Q19" s="20" t="s">
        <v>1239</v>
      </c>
      <c r="R19" s="20" t="s">
        <v>1240</v>
      </c>
    </row>
    <row r="20" spans="1:18" ht="90" customHeight="1">
      <c r="A20" s="19" t="s">
        <v>1241</v>
      </c>
      <c r="B20" s="20" t="s">
        <v>317</v>
      </c>
      <c r="C20" s="20" t="s">
        <v>318</v>
      </c>
      <c r="D20" s="20" t="s">
        <v>248</v>
      </c>
      <c r="E20" s="20" t="s">
        <v>308</v>
      </c>
      <c r="F20" s="19" t="s">
        <v>1242</v>
      </c>
      <c r="G20" s="20" t="s">
        <v>323</v>
      </c>
      <c r="H20" s="20" t="s">
        <v>239</v>
      </c>
      <c r="I20" s="20" t="s">
        <v>240</v>
      </c>
      <c r="J20" s="20" t="s">
        <v>1238</v>
      </c>
      <c r="K20" s="20" t="s">
        <v>241</v>
      </c>
      <c r="L20" s="20" t="s">
        <v>242</v>
      </c>
      <c r="M20" s="20" t="s">
        <v>97</v>
      </c>
      <c r="N20" s="20" t="s">
        <v>243</v>
      </c>
      <c r="O20" s="20" t="s">
        <v>1206</v>
      </c>
      <c r="P20" s="20" t="s">
        <v>1207</v>
      </c>
      <c r="Q20" s="20" t="s">
        <v>1243</v>
      </c>
      <c r="R20" s="20" t="s">
        <v>1244</v>
      </c>
    </row>
    <row r="21" spans="1:18" ht="90" customHeight="1">
      <c r="A21" s="19" t="s">
        <v>1245</v>
      </c>
      <c r="B21" s="20" t="s">
        <v>326</v>
      </c>
      <c r="C21" s="20" t="s">
        <v>327</v>
      </c>
      <c r="D21" s="20" t="s">
        <v>248</v>
      </c>
      <c r="E21" s="20" t="s">
        <v>308</v>
      </c>
      <c r="F21" s="19" t="s">
        <v>1246</v>
      </c>
      <c r="G21" s="20" t="s">
        <v>332</v>
      </c>
      <c r="H21" s="20" t="s">
        <v>239</v>
      </c>
      <c r="I21" s="20" t="s">
        <v>240</v>
      </c>
      <c r="J21" s="20" t="s">
        <v>1238</v>
      </c>
      <c r="K21" s="20" t="s">
        <v>241</v>
      </c>
      <c r="L21" s="20" t="s">
        <v>242</v>
      </c>
      <c r="M21" s="20" t="s">
        <v>97</v>
      </c>
      <c r="N21" s="20" t="s">
        <v>243</v>
      </c>
      <c r="O21" s="20" t="s">
        <v>1206</v>
      </c>
      <c r="P21" s="20" t="s">
        <v>1207</v>
      </c>
      <c r="Q21" s="20" t="s">
        <v>1247</v>
      </c>
      <c r="R21" s="20" t="s">
        <v>1248</v>
      </c>
    </row>
    <row r="22" spans="1:18" ht="90" customHeight="1">
      <c r="A22" s="19" t="s">
        <v>1249</v>
      </c>
      <c r="B22" s="20" t="s">
        <v>335</v>
      </c>
      <c r="C22" s="20" t="s">
        <v>336</v>
      </c>
      <c r="D22" s="20" t="s">
        <v>337</v>
      </c>
      <c r="E22" s="20" t="s">
        <v>338</v>
      </c>
      <c r="F22" s="19" t="s">
        <v>1250</v>
      </c>
      <c r="G22" s="20" t="s">
        <v>335</v>
      </c>
      <c r="H22" s="20" t="s">
        <v>349</v>
      </c>
      <c r="I22" s="20" t="s">
        <v>350</v>
      </c>
      <c r="J22" s="20" t="s">
        <v>1251</v>
      </c>
      <c r="K22" s="20" t="s">
        <v>351</v>
      </c>
      <c r="L22" s="20" t="s">
        <v>352</v>
      </c>
      <c r="M22" s="20" t="s">
        <v>97</v>
      </c>
      <c r="N22" s="20" t="s">
        <v>353</v>
      </c>
      <c r="O22" s="20" t="s">
        <v>1252</v>
      </c>
      <c r="P22" s="20" t="s">
        <v>1253</v>
      </c>
      <c r="Q22" s="20" t="s">
        <v>1254</v>
      </c>
      <c r="R22" s="20" t="s">
        <v>1255</v>
      </c>
    </row>
    <row r="23" spans="1:18" ht="90" customHeight="1">
      <c r="A23" s="19" t="s">
        <v>1256</v>
      </c>
      <c r="B23" s="20" t="s">
        <v>358</v>
      </c>
      <c r="C23" s="20" t="s">
        <v>359</v>
      </c>
      <c r="D23" s="20" t="s">
        <v>337</v>
      </c>
      <c r="E23" s="20" t="s">
        <v>338</v>
      </c>
      <c r="F23" s="19" t="s">
        <v>1257</v>
      </c>
      <c r="G23" s="20" t="s">
        <v>358</v>
      </c>
      <c r="H23" s="20" t="s">
        <v>349</v>
      </c>
      <c r="I23" s="20" t="s">
        <v>350</v>
      </c>
      <c r="J23" s="20" t="s">
        <v>1251</v>
      </c>
      <c r="K23" s="20" t="s">
        <v>351</v>
      </c>
      <c r="L23" s="20" t="s">
        <v>352</v>
      </c>
      <c r="M23" s="20" t="s">
        <v>97</v>
      </c>
      <c r="N23" s="20" t="s">
        <v>353</v>
      </c>
      <c r="O23" s="20" t="s">
        <v>1252</v>
      </c>
      <c r="P23" s="20" t="s">
        <v>1253</v>
      </c>
      <c r="Q23" s="20" t="s">
        <v>1258</v>
      </c>
      <c r="R23" s="20" t="s">
        <v>1259</v>
      </c>
    </row>
    <row r="24" spans="1:18" ht="90" customHeight="1">
      <c r="A24" s="19" t="s">
        <v>1260</v>
      </c>
      <c r="B24" s="20" t="s">
        <v>366</v>
      </c>
      <c r="C24" s="20" t="s">
        <v>367</v>
      </c>
      <c r="D24" s="20" t="s">
        <v>337</v>
      </c>
      <c r="E24" s="20" t="s">
        <v>338</v>
      </c>
      <c r="F24" s="19" t="s">
        <v>1261</v>
      </c>
      <c r="G24" s="20" t="s">
        <v>366</v>
      </c>
      <c r="H24" s="20" t="s">
        <v>349</v>
      </c>
      <c r="I24" s="20" t="s">
        <v>350</v>
      </c>
      <c r="J24" s="20" t="s">
        <v>1251</v>
      </c>
      <c r="K24" s="20" t="s">
        <v>351</v>
      </c>
      <c r="L24" s="20" t="s">
        <v>352</v>
      </c>
      <c r="M24" s="20" t="s">
        <v>97</v>
      </c>
      <c r="N24" s="20" t="s">
        <v>353</v>
      </c>
      <c r="O24" s="20" t="s">
        <v>1252</v>
      </c>
      <c r="P24" s="20" t="s">
        <v>1253</v>
      </c>
      <c r="Q24" s="20" t="s">
        <v>1262</v>
      </c>
      <c r="R24" s="20" t="s">
        <v>1263</v>
      </c>
    </row>
    <row r="25" spans="1:18" ht="90" customHeight="1">
      <c r="A25" s="19" t="s">
        <v>1264</v>
      </c>
      <c r="B25" s="20" t="s">
        <v>374</v>
      </c>
      <c r="C25" s="20" t="s">
        <v>375</v>
      </c>
      <c r="D25" s="20" t="s">
        <v>337</v>
      </c>
      <c r="E25" s="20" t="s">
        <v>338</v>
      </c>
      <c r="F25" s="19" t="s">
        <v>1265</v>
      </c>
      <c r="G25" s="20" t="s">
        <v>374</v>
      </c>
      <c r="H25" s="20" t="s">
        <v>349</v>
      </c>
      <c r="I25" s="20" t="s">
        <v>350</v>
      </c>
      <c r="J25" s="20" t="s">
        <v>1251</v>
      </c>
      <c r="K25" s="20" t="s">
        <v>351</v>
      </c>
      <c r="L25" s="20" t="s">
        <v>352</v>
      </c>
      <c r="M25" s="20" t="s">
        <v>97</v>
      </c>
      <c r="N25" s="20" t="s">
        <v>353</v>
      </c>
      <c r="O25" s="20" t="s">
        <v>1252</v>
      </c>
      <c r="P25" s="20" t="s">
        <v>1253</v>
      </c>
      <c r="Q25" s="20" t="s">
        <v>1266</v>
      </c>
      <c r="R25" s="20" t="s">
        <v>1267</v>
      </c>
    </row>
    <row r="26" spans="1:18" ht="90" customHeight="1">
      <c r="A26" s="19" t="s">
        <v>1268</v>
      </c>
      <c r="B26" s="20" t="s">
        <v>382</v>
      </c>
      <c r="C26" s="20" t="s">
        <v>383</v>
      </c>
      <c r="D26" s="20" t="s">
        <v>337</v>
      </c>
      <c r="E26" s="20" t="s">
        <v>338</v>
      </c>
      <c r="F26" s="19" t="s">
        <v>1269</v>
      </c>
      <c r="G26" s="20" t="s">
        <v>382</v>
      </c>
      <c r="H26" s="20" t="s">
        <v>349</v>
      </c>
      <c r="I26" s="20" t="s">
        <v>350</v>
      </c>
      <c r="J26" s="20" t="s">
        <v>1251</v>
      </c>
      <c r="K26" s="20" t="s">
        <v>351</v>
      </c>
      <c r="L26" s="20" t="s">
        <v>352</v>
      </c>
      <c r="M26" s="20" t="s">
        <v>97</v>
      </c>
      <c r="N26" s="20" t="s">
        <v>353</v>
      </c>
      <c r="O26" s="20" t="s">
        <v>1252</v>
      </c>
      <c r="P26" s="20" t="s">
        <v>1253</v>
      </c>
      <c r="Q26" s="20" t="s">
        <v>1270</v>
      </c>
      <c r="R26" s="20" t="s">
        <v>1271</v>
      </c>
    </row>
    <row r="27" spans="1:18" ht="90" customHeight="1">
      <c r="A27" s="19" t="s">
        <v>1272</v>
      </c>
      <c r="B27" s="20" t="s">
        <v>390</v>
      </c>
      <c r="C27" s="20" t="s">
        <v>391</v>
      </c>
      <c r="D27" s="20" t="s">
        <v>79</v>
      </c>
      <c r="E27" s="20" t="s">
        <v>392</v>
      </c>
      <c r="F27" s="19" t="s">
        <v>1273</v>
      </c>
      <c r="G27" s="20" t="s">
        <v>398</v>
      </c>
      <c r="H27" s="20" t="s">
        <v>187</v>
      </c>
      <c r="I27" s="20" t="s">
        <v>188</v>
      </c>
      <c r="J27" s="20" t="s">
        <v>1274</v>
      </c>
      <c r="K27" s="20" t="s">
        <v>189</v>
      </c>
      <c r="L27" s="20" t="s">
        <v>190</v>
      </c>
      <c r="M27" s="20" t="s">
        <v>97</v>
      </c>
      <c r="N27" s="20" t="s">
        <v>191</v>
      </c>
      <c r="O27" s="20" t="s">
        <v>1180</v>
      </c>
      <c r="P27" s="20" t="s">
        <v>1181</v>
      </c>
      <c r="Q27" s="20" t="s">
        <v>1275</v>
      </c>
      <c r="R27" s="20" t="s">
        <v>1276</v>
      </c>
    </row>
    <row r="28" spans="1:18" ht="90" customHeight="1">
      <c r="A28" s="19" t="s">
        <v>1277</v>
      </c>
      <c r="B28" s="20" t="s">
        <v>401</v>
      </c>
      <c r="C28" s="20" t="s">
        <v>402</v>
      </c>
      <c r="D28" s="20" t="s">
        <v>79</v>
      </c>
      <c r="E28" s="20" t="s">
        <v>392</v>
      </c>
      <c r="F28" s="19" t="s">
        <v>1278</v>
      </c>
      <c r="G28" s="20" t="s">
        <v>407</v>
      </c>
      <c r="H28" s="20" t="s">
        <v>187</v>
      </c>
      <c r="I28" s="20" t="s">
        <v>188</v>
      </c>
      <c r="J28" s="20" t="s">
        <v>1274</v>
      </c>
      <c r="K28" s="20" t="s">
        <v>189</v>
      </c>
      <c r="L28" s="20" t="s">
        <v>190</v>
      </c>
      <c r="M28" s="20" t="s">
        <v>97</v>
      </c>
      <c r="N28" s="20" t="s">
        <v>191</v>
      </c>
      <c r="O28" s="20" t="s">
        <v>1180</v>
      </c>
      <c r="P28" s="20" t="s">
        <v>1181</v>
      </c>
      <c r="Q28" s="20" t="s">
        <v>1279</v>
      </c>
      <c r="R28" s="20" t="s">
        <v>1280</v>
      </c>
    </row>
    <row r="29" spans="1:18" ht="90" customHeight="1">
      <c r="A29" s="19" t="s">
        <v>1281</v>
      </c>
      <c r="B29" s="20" t="s">
        <v>410</v>
      </c>
      <c r="C29" s="20" t="s">
        <v>411</v>
      </c>
      <c r="D29" s="20" t="s">
        <v>79</v>
      </c>
      <c r="E29" s="20" t="s">
        <v>392</v>
      </c>
      <c r="F29" s="19" t="s">
        <v>1282</v>
      </c>
      <c r="G29" s="20" t="s">
        <v>92</v>
      </c>
      <c r="H29" s="20" t="s">
        <v>93</v>
      </c>
      <c r="I29" s="20" t="s">
        <v>94</v>
      </c>
      <c r="J29" s="20" t="s">
        <v>1283</v>
      </c>
      <c r="K29" s="20" t="s">
        <v>95</v>
      </c>
      <c r="L29" s="20" t="s">
        <v>96</v>
      </c>
      <c r="M29" s="20" t="s">
        <v>97</v>
      </c>
      <c r="N29" s="20" t="s">
        <v>98</v>
      </c>
      <c r="O29" s="20" t="s">
        <v>1145</v>
      </c>
      <c r="P29" s="20" t="s">
        <v>1146</v>
      </c>
      <c r="Q29" s="20" t="s">
        <v>1284</v>
      </c>
      <c r="R29" s="20" t="s">
        <v>1285</v>
      </c>
    </row>
    <row r="30" spans="1:18" ht="90" customHeight="1">
      <c r="A30" s="19" t="s">
        <v>1286</v>
      </c>
      <c r="B30" s="20" t="s">
        <v>418</v>
      </c>
      <c r="C30" s="20" t="s">
        <v>419</v>
      </c>
      <c r="D30" s="20" t="s">
        <v>79</v>
      </c>
      <c r="E30" s="20" t="s">
        <v>392</v>
      </c>
      <c r="F30" s="19" t="s">
        <v>1287</v>
      </c>
      <c r="G30" s="20" t="s">
        <v>418</v>
      </c>
      <c r="H30" s="20" t="s">
        <v>217</v>
      </c>
      <c r="I30" s="20" t="s">
        <v>218</v>
      </c>
      <c r="J30" s="20" t="s">
        <v>1288</v>
      </c>
      <c r="K30" s="20" t="s">
        <v>219</v>
      </c>
      <c r="L30" s="20" t="s">
        <v>190</v>
      </c>
      <c r="M30" s="20" t="s">
        <v>97</v>
      </c>
      <c r="N30" s="20" t="s">
        <v>220</v>
      </c>
      <c r="O30" s="20" t="s">
        <v>1194</v>
      </c>
      <c r="P30" s="20" t="s">
        <v>1195</v>
      </c>
      <c r="Q30" s="20" t="s">
        <v>1289</v>
      </c>
      <c r="R30" s="20" t="s">
        <v>1290</v>
      </c>
    </row>
    <row r="31" spans="1:18" ht="90" customHeight="1">
      <c r="A31" s="19" t="s">
        <v>1291</v>
      </c>
      <c r="B31" s="20" t="s">
        <v>426</v>
      </c>
      <c r="C31" s="20" t="s">
        <v>427</v>
      </c>
      <c r="D31" s="20" t="s">
        <v>79</v>
      </c>
      <c r="E31" s="20" t="s">
        <v>392</v>
      </c>
      <c r="F31" s="19" t="s">
        <v>1292</v>
      </c>
      <c r="G31" s="20" t="s">
        <v>426</v>
      </c>
      <c r="H31" s="20" t="s">
        <v>217</v>
      </c>
      <c r="I31" s="20" t="s">
        <v>218</v>
      </c>
      <c r="J31" s="20" t="s">
        <v>1293</v>
      </c>
      <c r="K31" s="20" t="s">
        <v>219</v>
      </c>
      <c r="L31" s="20" t="s">
        <v>190</v>
      </c>
      <c r="M31" s="20" t="s">
        <v>97</v>
      </c>
      <c r="N31" s="20" t="s">
        <v>220</v>
      </c>
      <c r="O31" s="20" t="s">
        <v>1194</v>
      </c>
      <c r="P31" s="20" t="s">
        <v>1195</v>
      </c>
      <c r="Q31" s="20" t="s">
        <v>1294</v>
      </c>
      <c r="R31" s="20" t="s">
        <v>1295</v>
      </c>
    </row>
    <row r="32" spans="1:18" ht="90" customHeight="1">
      <c r="A32" s="19" t="s">
        <v>1296</v>
      </c>
      <c r="B32" s="20" t="s">
        <v>434</v>
      </c>
      <c r="C32" s="20" t="s">
        <v>435</v>
      </c>
      <c r="D32" s="20" t="s">
        <v>79</v>
      </c>
      <c r="E32" s="20" t="s">
        <v>392</v>
      </c>
      <c r="F32" s="19" t="s">
        <v>1297</v>
      </c>
      <c r="G32" s="20" t="s">
        <v>434</v>
      </c>
      <c r="H32" s="20" t="s">
        <v>217</v>
      </c>
      <c r="I32" s="20" t="s">
        <v>218</v>
      </c>
      <c r="J32" s="20" t="s">
        <v>1288</v>
      </c>
      <c r="K32" s="20" t="s">
        <v>219</v>
      </c>
      <c r="L32" s="20" t="s">
        <v>190</v>
      </c>
      <c r="M32" s="20" t="s">
        <v>97</v>
      </c>
      <c r="N32" s="20" t="s">
        <v>220</v>
      </c>
      <c r="O32" s="20" t="s">
        <v>1194</v>
      </c>
      <c r="P32" s="20" t="s">
        <v>1195</v>
      </c>
      <c r="Q32" s="20" t="s">
        <v>1298</v>
      </c>
      <c r="R32" s="20" t="s">
        <v>1299</v>
      </c>
    </row>
    <row r="33" spans="1:18" ht="90" customHeight="1">
      <c r="A33" s="19" t="s">
        <v>1300</v>
      </c>
      <c r="B33" s="20" t="s">
        <v>442</v>
      </c>
      <c r="C33" s="20" t="s">
        <v>443</v>
      </c>
      <c r="D33" s="20" t="s">
        <v>79</v>
      </c>
      <c r="E33" s="20" t="s">
        <v>392</v>
      </c>
      <c r="F33" s="19" t="s">
        <v>1301</v>
      </c>
      <c r="G33" s="20" t="s">
        <v>442</v>
      </c>
      <c r="H33" s="20" t="s">
        <v>449</v>
      </c>
      <c r="I33" s="20" t="s">
        <v>450</v>
      </c>
      <c r="J33" s="20" t="s">
        <v>1302</v>
      </c>
      <c r="K33" s="20" t="s">
        <v>451</v>
      </c>
      <c r="L33" s="20" t="s">
        <v>452</v>
      </c>
      <c r="M33" s="20" t="s">
        <v>97</v>
      </c>
      <c r="N33" s="20" t="s">
        <v>453</v>
      </c>
      <c r="O33" s="20" t="s">
        <v>1303</v>
      </c>
      <c r="P33" s="20" t="s">
        <v>1304</v>
      </c>
      <c r="Q33" s="20" t="s">
        <v>1305</v>
      </c>
      <c r="R33" s="20" t="s">
        <v>1306</v>
      </c>
    </row>
    <row r="34" spans="1:18" ht="90" customHeight="1">
      <c r="A34" s="19" t="s">
        <v>1307</v>
      </c>
      <c r="B34" s="20" t="s">
        <v>456</v>
      </c>
      <c r="C34" s="20" t="s">
        <v>457</v>
      </c>
      <c r="D34" s="20" t="s">
        <v>79</v>
      </c>
      <c r="E34" s="20" t="s">
        <v>392</v>
      </c>
      <c r="F34" s="19" t="s">
        <v>1308</v>
      </c>
      <c r="G34" s="20" t="s">
        <v>456</v>
      </c>
      <c r="H34" s="20" t="s">
        <v>217</v>
      </c>
      <c r="I34" s="20" t="s">
        <v>218</v>
      </c>
      <c r="J34" s="20" t="s">
        <v>1309</v>
      </c>
      <c r="K34" s="20" t="s">
        <v>219</v>
      </c>
      <c r="L34" s="20" t="s">
        <v>190</v>
      </c>
      <c r="M34" s="20" t="s">
        <v>97</v>
      </c>
      <c r="N34" s="20" t="s">
        <v>220</v>
      </c>
      <c r="O34" s="20" t="s">
        <v>1310</v>
      </c>
      <c r="P34" s="20" t="s">
        <v>1195</v>
      </c>
      <c r="Q34" s="20" t="s">
        <v>1311</v>
      </c>
      <c r="R34" s="20" t="s">
        <v>1312</v>
      </c>
    </row>
    <row r="35" spans="1:18" ht="90" customHeight="1">
      <c r="A35" s="19" t="s">
        <v>1313</v>
      </c>
      <c r="B35" s="20" t="s">
        <v>464</v>
      </c>
      <c r="C35" s="20" t="s">
        <v>465</v>
      </c>
      <c r="D35" s="20" t="s">
        <v>466</v>
      </c>
      <c r="E35" s="20" t="s">
        <v>467</v>
      </c>
      <c r="F35" s="19" t="s">
        <v>1314</v>
      </c>
      <c r="G35" s="20" t="s">
        <v>464</v>
      </c>
      <c r="H35" s="20" t="s">
        <v>203</v>
      </c>
      <c r="I35" s="20" t="s">
        <v>204</v>
      </c>
      <c r="J35" s="20" t="s">
        <v>1315</v>
      </c>
      <c r="K35" s="20" t="s">
        <v>205</v>
      </c>
      <c r="L35" s="20" t="s">
        <v>206</v>
      </c>
      <c r="M35" s="20" t="s">
        <v>97</v>
      </c>
      <c r="N35" s="20" t="s">
        <v>207</v>
      </c>
      <c r="O35" s="20" t="s">
        <v>1187</v>
      </c>
      <c r="P35" s="20" t="s">
        <v>1316</v>
      </c>
      <c r="Q35" s="20" t="s">
        <v>1317</v>
      </c>
      <c r="R35" s="20" t="s">
        <v>1318</v>
      </c>
    </row>
    <row r="36" spans="1:18" ht="90" customHeight="1">
      <c r="A36" s="19" t="s">
        <v>1319</v>
      </c>
      <c r="B36" s="20" t="s">
        <v>476</v>
      </c>
      <c r="C36" s="20" t="s">
        <v>477</v>
      </c>
      <c r="D36" s="20" t="s">
        <v>466</v>
      </c>
      <c r="E36" s="20" t="s">
        <v>467</v>
      </c>
      <c r="F36" s="19" t="s">
        <v>1320</v>
      </c>
      <c r="G36" s="20" t="s">
        <v>476</v>
      </c>
      <c r="H36" s="20" t="s">
        <v>203</v>
      </c>
      <c r="I36" s="20" t="s">
        <v>204</v>
      </c>
      <c r="J36" s="20" t="s">
        <v>1321</v>
      </c>
      <c r="K36" s="20" t="s">
        <v>205</v>
      </c>
      <c r="L36" s="20" t="s">
        <v>206</v>
      </c>
      <c r="M36" s="20" t="s">
        <v>97</v>
      </c>
      <c r="N36" s="20" t="s">
        <v>207</v>
      </c>
      <c r="O36" s="20" t="s">
        <v>1187</v>
      </c>
      <c r="P36" s="20" t="s">
        <v>1316</v>
      </c>
      <c r="Q36" s="20" t="s">
        <v>1322</v>
      </c>
      <c r="R36" s="20" t="s">
        <v>1323</v>
      </c>
    </row>
    <row r="37" spans="1:18" ht="90" customHeight="1">
      <c r="A37" s="19" t="s">
        <v>1324</v>
      </c>
      <c r="B37" s="20" t="s">
        <v>484</v>
      </c>
      <c r="C37" s="20" t="s">
        <v>485</v>
      </c>
      <c r="D37" s="20" t="s">
        <v>466</v>
      </c>
      <c r="E37" s="20" t="s">
        <v>162</v>
      </c>
      <c r="F37" s="19" t="s">
        <v>1325</v>
      </c>
      <c r="G37" s="20" t="s">
        <v>484</v>
      </c>
      <c r="H37" s="20" t="s">
        <v>203</v>
      </c>
      <c r="I37" s="20" t="s">
        <v>204</v>
      </c>
      <c r="J37" s="20" t="s">
        <v>1326</v>
      </c>
      <c r="K37" s="20" t="s">
        <v>205</v>
      </c>
      <c r="L37" s="20" t="s">
        <v>206</v>
      </c>
      <c r="M37" s="20" t="s">
        <v>97</v>
      </c>
      <c r="N37" s="20" t="s">
        <v>207</v>
      </c>
      <c r="O37" s="20" t="s">
        <v>1327</v>
      </c>
      <c r="P37" s="20" t="s">
        <v>1174</v>
      </c>
      <c r="Q37" s="20" t="s">
        <v>1328</v>
      </c>
      <c r="R37" s="20" t="s">
        <v>1329</v>
      </c>
    </row>
    <row r="38" spans="1:18" ht="90" customHeight="1">
      <c r="A38" s="19" t="s">
        <v>1330</v>
      </c>
      <c r="B38" s="20" t="s">
        <v>493</v>
      </c>
      <c r="C38" s="20" t="s">
        <v>494</v>
      </c>
      <c r="D38" s="20" t="s">
        <v>466</v>
      </c>
      <c r="E38" s="20" t="s">
        <v>162</v>
      </c>
      <c r="F38" s="19" t="s">
        <v>1331</v>
      </c>
      <c r="G38" s="20" t="s">
        <v>493</v>
      </c>
      <c r="H38" s="20" t="s">
        <v>203</v>
      </c>
      <c r="I38" s="20" t="s">
        <v>204</v>
      </c>
      <c r="J38" s="20" t="s">
        <v>1332</v>
      </c>
      <c r="K38" s="20" t="s">
        <v>205</v>
      </c>
      <c r="L38" s="20" t="s">
        <v>206</v>
      </c>
      <c r="M38" s="20" t="s">
        <v>97</v>
      </c>
      <c r="N38" s="20" t="s">
        <v>207</v>
      </c>
      <c r="O38" s="20" t="s">
        <v>1327</v>
      </c>
      <c r="P38" s="20" t="s">
        <v>1174</v>
      </c>
      <c r="Q38" s="20" t="s">
        <v>1333</v>
      </c>
      <c r="R38" s="20" t="s">
        <v>1334</v>
      </c>
    </row>
    <row r="39" spans="1:18" ht="90" customHeight="1">
      <c r="A39" s="19" t="s">
        <v>1335</v>
      </c>
      <c r="B39" s="20" t="s">
        <v>502</v>
      </c>
      <c r="C39" s="20" t="s">
        <v>503</v>
      </c>
      <c r="D39" s="20" t="s">
        <v>466</v>
      </c>
      <c r="E39" s="20" t="s">
        <v>162</v>
      </c>
      <c r="F39" s="19" t="s">
        <v>1336</v>
      </c>
      <c r="G39" s="20" t="s">
        <v>502</v>
      </c>
      <c r="H39" s="20" t="s">
        <v>203</v>
      </c>
      <c r="I39" s="20" t="s">
        <v>204</v>
      </c>
      <c r="J39" s="20" t="s">
        <v>1337</v>
      </c>
      <c r="K39" s="20" t="s">
        <v>205</v>
      </c>
      <c r="L39" s="20" t="s">
        <v>206</v>
      </c>
      <c r="M39" s="20" t="s">
        <v>97</v>
      </c>
      <c r="N39" s="20" t="s">
        <v>207</v>
      </c>
      <c r="O39" s="20" t="s">
        <v>1327</v>
      </c>
      <c r="P39" s="20" t="s">
        <v>1174</v>
      </c>
      <c r="Q39" s="20" t="s">
        <v>1338</v>
      </c>
      <c r="R39" s="20" t="s">
        <v>1339</v>
      </c>
    </row>
    <row r="40" spans="1:18" ht="90" customHeight="1">
      <c r="A40" s="19" t="s">
        <v>1340</v>
      </c>
      <c r="B40" s="20" t="s">
        <v>511</v>
      </c>
      <c r="C40" s="20" t="s">
        <v>512</v>
      </c>
      <c r="D40" s="20" t="s">
        <v>466</v>
      </c>
      <c r="E40" s="20" t="s">
        <v>467</v>
      </c>
      <c r="F40" s="19" t="s">
        <v>1341</v>
      </c>
      <c r="G40" s="20" t="s">
        <v>511</v>
      </c>
      <c r="H40" s="20" t="s">
        <v>203</v>
      </c>
      <c r="I40" s="20" t="s">
        <v>204</v>
      </c>
      <c r="J40" s="20" t="s">
        <v>1342</v>
      </c>
      <c r="K40" s="20" t="s">
        <v>205</v>
      </c>
      <c r="L40" s="20" t="s">
        <v>206</v>
      </c>
      <c r="M40" s="20" t="s">
        <v>97</v>
      </c>
      <c r="N40" s="20" t="s">
        <v>207</v>
      </c>
      <c r="O40" s="20" t="s">
        <v>1343</v>
      </c>
      <c r="P40" s="20" t="s">
        <v>1316</v>
      </c>
      <c r="Q40" s="20" t="s">
        <v>1344</v>
      </c>
      <c r="R40" s="20" t="s">
        <v>1345</v>
      </c>
    </row>
    <row r="41" spans="1:18" ht="90" customHeight="1">
      <c r="A41" s="19" t="s">
        <v>1346</v>
      </c>
      <c r="B41" s="20" t="s">
        <v>523</v>
      </c>
      <c r="C41" s="20" t="s">
        <v>524</v>
      </c>
      <c r="D41" s="20" t="s">
        <v>466</v>
      </c>
      <c r="E41" s="20" t="s">
        <v>467</v>
      </c>
      <c r="F41" s="19" t="s">
        <v>1347</v>
      </c>
      <c r="G41" s="20" t="s">
        <v>523</v>
      </c>
      <c r="H41" s="20" t="s">
        <v>203</v>
      </c>
      <c r="I41" s="20" t="s">
        <v>204</v>
      </c>
      <c r="J41" s="20" t="s">
        <v>1342</v>
      </c>
      <c r="K41" s="20" t="s">
        <v>205</v>
      </c>
      <c r="L41" s="20" t="s">
        <v>206</v>
      </c>
      <c r="M41" s="20" t="s">
        <v>97</v>
      </c>
      <c r="N41" s="20" t="s">
        <v>207</v>
      </c>
      <c r="O41" s="20" t="s">
        <v>1343</v>
      </c>
      <c r="P41" s="20" t="s">
        <v>1316</v>
      </c>
      <c r="Q41" s="20" t="s">
        <v>1348</v>
      </c>
      <c r="R41" s="20" t="s">
        <v>1349</v>
      </c>
    </row>
    <row r="42" spans="1:18" ht="90" customHeight="1">
      <c r="A42" s="19" t="s">
        <v>1350</v>
      </c>
      <c r="B42" s="20" t="s">
        <v>531</v>
      </c>
      <c r="C42" s="20" t="s">
        <v>532</v>
      </c>
      <c r="D42" s="20" t="s">
        <v>466</v>
      </c>
      <c r="E42" s="20" t="s">
        <v>467</v>
      </c>
      <c r="F42" s="19" t="s">
        <v>1351</v>
      </c>
      <c r="G42" s="20" t="s">
        <v>531</v>
      </c>
      <c r="H42" s="20" t="s">
        <v>203</v>
      </c>
      <c r="I42" s="20" t="s">
        <v>204</v>
      </c>
      <c r="J42" s="20" t="s">
        <v>1342</v>
      </c>
      <c r="K42" s="20" t="s">
        <v>205</v>
      </c>
      <c r="L42" s="20" t="s">
        <v>206</v>
      </c>
      <c r="M42" s="20" t="s">
        <v>97</v>
      </c>
      <c r="N42" s="20" t="s">
        <v>207</v>
      </c>
      <c r="O42" s="20" t="s">
        <v>1343</v>
      </c>
      <c r="P42" s="20" t="s">
        <v>1316</v>
      </c>
      <c r="Q42" s="20" t="s">
        <v>1352</v>
      </c>
      <c r="R42" s="20" t="s">
        <v>1353</v>
      </c>
    </row>
    <row r="43" spans="1:18" ht="90" customHeight="1">
      <c r="A43" s="19" t="s">
        <v>1354</v>
      </c>
      <c r="B43" s="20" t="s">
        <v>539</v>
      </c>
      <c r="C43" s="20" t="s">
        <v>540</v>
      </c>
      <c r="D43" s="20" t="s">
        <v>248</v>
      </c>
      <c r="E43" s="20" t="s">
        <v>80</v>
      </c>
      <c r="F43" s="19" t="s">
        <v>1355</v>
      </c>
      <c r="G43" s="20" t="s">
        <v>539</v>
      </c>
      <c r="H43" s="20" t="s">
        <v>239</v>
      </c>
      <c r="I43" s="20" t="s">
        <v>240</v>
      </c>
      <c r="J43" s="20" t="s">
        <v>1356</v>
      </c>
      <c r="K43" s="20" t="s">
        <v>241</v>
      </c>
      <c r="L43" s="20" t="s">
        <v>242</v>
      </c>
      <c r="M43" s="20" t="s">
        <v>97</v>
      </c>
      <c r="N43" s="20" t="s">
        <v>243</v>
      </c>
      <c r="O43" s="20" t="s">
        <v>1357</v>
      </c>
      <c r="P43" s="20" t="s">
        <v>1207</v>
      </c>
      <c r="Q43" s="20" t="s">
        <v>1358</v>
      </c>
      <c r="R43" s="20" t="s">
        <v>1359</v>
      </c>
    </row>
    <row r="44" spans="1:18" ht="90" customHeight="1">
      <c r="A44" s="19" t="s">
        <v>1360</v>
      </c>
      <c r="B44" s="20" t="s">
        <v>547</v>
      </c>
      <c r="C44" s="20" t="s">
        <v>548</v>
      </c>
      <c r="D44" s="20" t="s">
        <v>248</v>
      </c>
      <c r="E44" s="20" t="s">
        <v>308</v>
      </c>
      <c r="F44" s="19" t="s">
        <v>1361</v>
      </c>
      <c r="G44" s="20" t="s">
        <v>547</v>
      </c>
      <c r="H44" s="20" t="s">
        <v>239</v>
      </c>
      <c r="I44" s="20" t="s">
        <v>240</v>
      </c>
      <c r="J44" s="20" t="s">
        <v>1356</v>
      </c>
      <c r="K44" s="20" t="s">
        <v>241</v>
      </c>
      <c r="L44" s="20" t="s">
        <v>242</v>
      </c>
      <c r="M44" s="20" t="s">
        <v>97</v>
      </c>
      <c r="N44" s="20" t="s">
        <v>243</v>
      </c>
      <c r="O44" s="20" t="s">
        <v>1357</v>
      </c>
      <c r="P44" s="20" t="s">
        <v>1207</v>
      </c>
      <c r="Q44" s="20" t="s">
        <v>1362</v>
      </c>
      <c r="R44" s="20" t="s">
        <v>1363</v>
      </c>
    </row>
    <row r="45" spans="1:18" ht="90" customHeight="1">
      <c r="A45" s="19" t="s">
        <v>1364</v>
      </c>
      <c r="B45" s="20" t="s">
        <v>555</v>
      </c>
      <c r="C45" s="20" t="s">
        <v>556</v>
      </c>
      <c r="D45" s="20" t="s">
        <v>248</v>
      </c>
      <c r="E45" s="20" t="s">
        <v>308</v>
      </c>
      <c r="F45" s="19" t="s">
        <v>1365</v>
      </c>
      <c r="G45" s="20" t="s">
        <v>555</v>
      </c>
      <c r="H45" s="20" t="s">
        <v>239</v>
      </c>
      <c r="I45" s="20" t="s">
        <v>240</v>
      </c>
      <c r="J45" s="20" t="s">
        <v>1356</v>
      </c>
      <c r="K45" s="20" t="s">
        <v>241</v>
      </c>
      <c r="L45" s="20" t="s">
        <v>242</v>
      </c>
      <c r="M45" s="20" t="s">
        <v>97</v>
      </c>
      <c r="N45" s="20" t="s">
        <v>243</v>
      </c>
      <c r="O45" s="20" t="s">
        <v>1357</v>
      </c>
      <c r="P45" s="20" t="s">
        <v>1207</v>
      </c>
      <c r="Q45" s="20" t="s">
        <v>1366</v>
      </c>
      <c r="R45" s="20" t="s">
        <v>1367</v>
      </c>
    </row>
    <row r="46" spans="1:18" ht="90" customHeight="1">
      <c r="A46" s="19" t="s">
        <v>1368</v>
      </c>
      <c r="B46" s="20" t="s">
        <v>563</v>
      </c>
      <c r="C46" s="20" t="s">
        <v>564</v>
      </c>
      <c r="D46" s="20" t="s">
        <v>248</v>
      </c>
      <c r="E46" s="20" t="s">
        <v>308</v>
      </c>
      <c r="F46" s="19" t="s">
        <v>1369</v>
      </c>
      <c r="G46" s="20" t="s">
        <v>563</v>
      </c>
      <c r="H46" s="20" t="s">
        <v>239</v>
      </c>
      <c r="I46" s="20" t="s">
        <v>240</v>
      </c>
      <c r="J46" s="20" t="s">
        <v>1370</v>
      </c>
      <c r="K46" s="20" t="s">
        <v>241</v>
      </c>
      <c r="L46" s="20" t="s">
        <v>242</v>
      </c>
      <c r="M46" s="20" t="s">
        <v>97</v>
      </c>
      <c r="N46" s="20" t="s">
        <v>243</v>
      </c>
      <c r="O46" s="20" t="s">
        <v>1206</v>
      </c>
      <c r="P46" s="20" t="s">
        <v>1207</v>
      </c>
      <c r="Q46" s="20" t="s">
        <v>1371</v>
      </c>
      <c r="R46" s="20" t="s">
        <v>1372</v>
      </c>
    </row>
    <row r="47" spans="1:18" ht="90" customHeight="1">
      <c r="A47" s="19" t="s">
        <v>1373</v>
      </c>
      <c r="B47" s="20" t="s">
        <v>571</v>
      </c>
      <c r="C47" s="20" t="s">
        <v>572</v>
      </c>
      <c r="D47" s="20" t="s">
        <v>248</v>
      </c>
      <c r="E47" s="20" t="s">
        <v>308</v>
      </c>
      <c r="F47" s="19" t="s">
        <v>1374</v>
      </c>
      <c r="G47" s="20" t="s">
        <v>571</v>
      </c>
      <c r="H47" s="20" t="s">
        <v>239</v>
      </c>
      <c r="I47" s="20" t="s">
        <v>240</v>
      </c>
      <c r="J47" s="20" t="s">
        <v>1238</v>
      </c>
      <c r="K47" s="20" t="s">
        <v>241</v>
      </c>
      <c r="L47" s="20" t="s">
        <v>242</v>
      </c>
      <c r="M47" s="20" t="s">
        <v>97</v>
      </c>
      <c r="N47" s="20" t="s">
        <v>243</v>
      </c>
      <c r="O47" s="20" t="s">
        <v>1206</v>
      </c>
      <c r="P47" s="20" t="s">
        <v>1207</v>
      </c>
      <c r="Q47" s="20" t="s">
        <v>1375</v>
      </c>
      <c r="R47" s="20" t="s">
        <v>1376</v>
      </c>
    </row>
    <row r="48" spans="1:18" ht="90" customHeight="1">
      <c r="A48" s="19" t="s">
        <v>1377</v>
      </c>
      <c r="B48" s="20" t="s">
        <v>580</v>
      </c>
      <c r="C48" s="20" t="s">
        <v>581</v>
      </c>
      <c r="D48" s="20" t="s">
        <v>248</v>
      </c>
      <c r="E48" s="20" t="s">
        <v>308</v>
      </c>
      <c r="F48" s="19" t="s">
        <v>1378</v>
      </c>
      <c r="G48" s="20" t="s">
        <v>580</v>
      </c>
      <c r="H48" s="20" t="s">
        <v>239</v>
      </c>
      <c r="I48" s="20" t="s">
        <v>240</v>
      </c>
      <c r="J48" s="20" t="s">
        <v>1238</v>
      </c>
      <c r="K48" s="20" t="s">
        <v>241</v>
      </c>
      <c r="L48" s="20" t="s">
        <v>242</v>
      </c>
      <c r="M48" s="20" t="s">
        <v>97</v>
      </c>
      <c r="N48" s="20" t="s">
        <v>243</v>
      </c>
      <c r="O48" s="20" t="s">
        <v>1213</v>
      </c>
      <c r="P48" s="20" t="s">
        <v>1207</v>
      </c>
      <c r="Q48" s="20" t="s">
        <v>1379</v>
      </c>
      <c r="R48" s="20" t="s">
        <v>1380</v>
      </c>
    </row>
    <row r="49" spans="1:18" ht="90" customHeight="1">
      <c r="A49" s="19" t="s">
        <v>1381</v>
      </c>
      <c r="B49" s="20" t="s">
        <v>588</v>
      </c>
      <c r="C49" s="20" t="s">
        <v>589</v>
      </c>
      <c r="D49" s="20" t="s">
        <v>248</v>
      </c>
      <c r="E49" s="20" t="s">
        <v>308</v>
      </c>
      <c r="F49" s="19" t="s">
        <v>1382</v>
      </c>
      <c r="G49" s="20" t="s">
        <v>588</v>
      </c>
      <c r="H49" s="20" t="s">
        <v>239</v>
      </c>
      <c r="I49" s="20" t="s">
        <v>240</v>
      </c>
      <c r="J49" s="20" t="s">
        <v>1238</v>
      </c>
      <c r="K49" s="20" t="s">
        <v>241</v>
      </c>
      <c r="L49" s="20" t="s">
        <v>242</v>
      </c>
      <c r="M49" s="20" t="s">
        <v>97</v>
      </c>
      <c r="N49" s="20" t="s">
        <v>243</v>
      </c>
      <c r="O49" s="20" t="s">
        <v>1213</v>
      </c>
      <c r="P49" s="20" t="s">
        <v>1207</v>
      </c>
      <c r="Q49" s="20" t="s">
        <v>1383</v>
      </c>
      <c r="R49" s="20" t="s">
        <v>1384</v>
      </c>
    </row>
    <row r="50" spans="1:18" ht="90" customHeight="1">
      <c r="A50" s="19" t="s">
        <v>1385</v>
      </c>
      <c r="B50" s="20" t="s">
        <v>596</v>
      </c>
      <c r="C50" s="20" t="s">
        <v>597</v>
      </c>
      <c r="D50" s="20" t="s">
        <v>248</v>
      </c>
      <c r="E50" s="20" t="s">
        <v>308</v>
      </c>
      <c r="F50" s="19" t="s">
        <v>1386</v>
      </c>
      <c r="G50" s="20" t="s">
        <v>596</v>
      </c>
      <c r="H50" s="20" t="s">
        <v>239</v>
      </c>
      <c r="I50" s="20" t="s">
        <v>240</v>
      </c>
      <c r="J50" s="20" t="s">
        <v>1238</v>
      </c>
      <c r="K50" s="20" t="s">
        <v>241</v>
      </c>
      <c r="L50" s="20" t="s">
        <v>242</v>
      </c>
      <c r="M50" s="20" t="s">
        <v>97</v>
      </c>
      <c r="N50" s="20" t="s">
        <v>243</v>
      </c>
      <c r="O50" s="20" t="s">
        <v>1387</v>
      </c>
      <c r="P50" s="20" t="s">
        <v>1207</v>
      </c>
      <c r="Q50" s="20" t="s">
        <v>1388</v>
      </c>
      <c r="R50" s="20" t="s">
        <v>1389</v>
      </c>
    </row>
    <row r="51" spans="1:18" ht="90" customHeight="1">
      <c r="A51" s="19" t="s">
        <v>1390</v>
      </c>
      <c r="B51" s="20" t="s">
        <v>604</v>
      </c>
      <c r="C51" s="20" t="s">
        <v>605</v>
      </c>
      <c r="D51" s="20" t="s">
        <v>248</v>
      </c>
      <c r="E51" s="20" t="s">
        <v>308</v>
      </c>
      <c r="F51" s="19" t="s">
        <v>1391</v>
      </c>
      <c r="G51" s="20" t="s">
        <v>604</v>
      </c>
      <c r="H51" s="20" t="s">
        <v>239</v>
      </c>
      <c r="I51" s="20" t="s">
        <v>240</v>
      </c>
      <c r="J51" s="20" t="s">
        <v>1392</v>
      </c>
      <c r="K51" s="20" t="s">
        <v>241</v>
      </c>
      <c r="L51" s="20" t="s">
        <v>242</v>
      </c>
      <c r="M51" s="20" t="s">
        <v>97</v>
      </c>
      <c r="N51" s="20" t="s">
        <v>243</v>
      </c>
      <c r="O51" s="20" t="s">
        <v>1387</v>
      </c>
      <c r="P51" s="20" t="s">
        <v>1207</v>
      </c>
      <c r="Q51" s="20" t="s">
        <v>1393</v>
      </c>
      <c r="R51" s="20" t="s">
        <v>1394</v>
      </c>
    </row>
    <row r="52" spans="1:18" ht="90" customHeight="1">
      <c r="A52" s="19" t="s">
        <v>1395</v>
      </c>
      <c r="B52" s="20" t="s">
        <v>612</v>
      </c>
      <c r="C52" s="20" t="s">
        <v>613</v>
      </c>
      <c r="D52" s="20" t="s">
        <v>466</v>
      </c>
      <c r="E52" s="20" t="s">
        <v>467</v>
      </c>
      <c r="F52" s="19" t="s">
        <v>1396</v>
      </c>
      <c r="G52" s="20" t="s">
        <v>612</v>
      </c>
      <c r="H52" s="20" t="s">
        <v>203</v>
      </c>
      <c r="I52" s="20" t="s">
        <v>204</v>
      </c>
      <c r="J52" s="20" t="s">
        <v>1315</v>
      </c>
      <c r="K52" s="20" t="s">
        <v>205</v>
      </c>
      <c r="L52" s="20" t="s">
        <v>206</v>
      </c>
      <c r="M52" s="20" t="s">
        <v>97</v>
      </c>
      <c r="N52" s="20" t="s">
        <v>207</v>
      </c>
      <c r="O52" s="20" t="s">
        <v>1397</v>
      </c>
      <c r="P52" s="20" t="s">
        <v>1253</v>
      </c>
      <c r="Q52" s="20" t="s">
        <v>1398</v>
      </c>
      <c r="R52" s="20" t="s">
        <v>1399</v>
      </c>
    </row>
    <row r="53" spans="1:18" ht="90" customHeight="1">
      <c r="A53" s="19" t="s">
        <v>1400</v>
      </c>
      <c r="B53" s="20" t="s">
        <v>621</v>
      </c>
      <c r="C53" s="20" t="s">
        <v>540</v>
      </c>
      <c r="D53" s="20" t="s">
        <v>248</v>
      </c>
      <c r="E53" s="20" t="s">
        <v>80</v>
      </c>
      <c r="F53" s="19" t="s">
        <v>1401</v>
      </c>
      <c r="G53" s="20" t="s">
        <v>621</v>
      </c>
      <c r="H53" s="20" t="s">
        <v>239</v>
      </c>
      <c r="I53" s="20" t="s">
        <v>240</v>
      </c>
      <c r="J53" s="20" t="s">
        <v>1212</v>
      </c>
      <c r="K53" s="20" t="s">
        <v>241</v>
      </c>
      <c r="L53" s="20" t="s">
        <v>242</v>
      </c>
      <c r="M53" s="20" t="s">
        <v>97</v>
      </c>
      <c r="N53" s="20" t="s">
        <v>243</v>
      </c>
      <c r="O53" s="20" t="s">
        <v>1387</v>
      </c>
      <c r="P53" s="20" t="s">
        <v>1207</v>
      </c>
      <c r="Q53" s="20" t="s">
        <v>1402</v>
      </c>
      <c r="R53" s="20" t="s">
        <v>1403</v>
      </c>
    </row>
    <row r="54" spans="1:18" ht="90" customHeight="1">
      <c r="A54" s="19" t="s">
        <v>1404</v>
      </c>
      <c r="B54" s="20" t="s">
        <v>629</v>
      </c>
      <c r="C54" s="20" t="s">
        <v>630</v>
      </c>
      <c r="D54" s="20" t="s">
        <v>346</v>
      </c>
      <c r="E54" s="20" t="s">
        <v>631</v>
      </c>
      <c r="F54" s="19" t="s">
        <v>1405</v>
      </c>
      <c r="G54" s="20" t="s">
        <v>629</v>
      </c>
      <c r="H54" s="20" t="s">
        <v>349</v>
      </c>
      <c r="I54" s="20" t="s">
        <v>350</v>
      </c>
      <c r="J54" s="20" t="s">
        <v>1406</v>
      </c>
      <c r="K54" s="20" t="s">
        <v>351</v>
      </c>
      <c r="L54" s="20" t="s">
        <v>352</v>
      </c>
      <c r="M54" s="20" t="s">
        <v>97</v>
      </c>
      <c r="N54" s="20" t="s">
        <v>353</v>
      </c>
      <c r="O54" s="20" t="s">
        <v>1252</v>
      </c>
      <c r="P54" s="20" t="s">
        <v>1253</v>
      </c>
      <c r="Q54" s="20" t="s">
        <v>1407</v>
      </c>
      <c r="R54" s="20" t="s">
        <v>1408</v>
      </c>
    </row>
    <row r="55" spans="1:18" ht="90" customHeight="1">
      <c r="A55" s="19" t="s">
        <v>1409</v>
      </c>
      <c r="B55" s="20" t="s">
        <v>638</v>
      </c>
      <c r="C55" s="20" t="s">
        <v>639</v>
      </c>
      <c r="D55" s="20" t="s">
        <v>346</v>
      </c>
      <c r="E55" s="20" t="s">
        <v>631</v>
      </c>
      <c r="F55" s="19" t="s">
        <v>1410</v>
      </c>
      <c r="G55" s="20" t="s">
        <v>638</v>
      </c>
      <c r="H55" s="20" t="s">
        <v>349</v>
      </c>
      <c r="I55" s="20" t="s">
        <v>350</v>
      </c>
      <c r="J55" s="20" t="s">
        <v>1406</v>
      </c>
      <c r="K55" s="20" t="s">
        <v>351</v>
      </c>
      <c r="L55" s="20" t="s">
        <v>352</v>
      </c>
      <c r="M55" s="20" t="s">
        <v>97</v>
      </c>
      <c r="N55" s="20" t="s">
        <v>353</v>
      </c>
      <c r="O55" s="20" t="s">
        <v>1252</v>
      </c>
      <c r="P55" s="20" t="s">
        <v>1253</v>
      </c>
      <c r="Q55" s="20" t="s">
        <v>1411</v>
      </c>
      <c r="R55" s="20" t="s">
        <v>1412</v>
      </c>
    </row>
    <row r="56" spans="1:18" ht="90" customHeight="1">
      <c r="A56" s="19" t="s">
        <v>1413</v>
      </c>
      <c r="B56" s="20" t="s">
        <v>646</v>
      </c>
      <c r="C56" s="20" t="s">
        <v>647</v>
      </c>
      <c r="D56" s="20" t="s">
        <v>346</v>
      </c>
      <c r="E56" s="20" t="s">
        <v>631</v>
      </c>
      <c r="F56" s="19" t="s">
        <v>1414</v>
      </c>
      <c r="G56" s="20" t="s">
        <v>646</v>
      </c>
      <c r="H56" s="20" t="s">
        <v>349</v>
      </c>
      <c r="I56" s="20" t="s">
        <v>350</v>
      </c>
      <c r="J56" s="20" t="s">
        <v>1406</v>
      </c>
      <c r="K56" s="20" t="s">
        <v>351</v>
      </c>
      <c r="L56" s="20" t="s">
        <v>352</v>
      </c>
      <c r="M56" s="20" t="s">
        <v>97</v>
      </c>
      <c r="N56" s="20" t="s">
        <v>353</v>
      </c>
      <c r="O56" s="20" t="s">
        <v>1252</v>
      </c>
      <c r="P56" s="20" t="s">
        <v>1253</v>
      </c>
      <c r="Q56" s="20" t="s">
        <v>1415</v>
      </c>
      <c r="R56" s="20" t="s">
        <v>1416</v>
      </c>
    </row>
    <row r="57" spans="1:18" ht="90" customHeight="1">
      <c r="A57" s="19" t="s">
        <v>1417</v>
      </c>
      <c r="B57" s="20" t="s">
        <v>654</v>
      </c>
      <c r="C57" s="20" t="s">
        <v>655</v>
      </c>
      <c r="D57" s="20" t="s">
        <v>346</v>
      </c>
      <c r="E57" s="20" t="s">
        <v>631</v>
      </c>
      <c r="F57" s="19" t="s">
        <v>1418</v>
      </c>
      <c r="G57" s="20" t="s">
        <v>654</v>
      </c>
      <c r="H57" s="20" t="s">
        <v>349</v>
      </c>
      <c r="I57" s="20" t="s">
        <v>350</v>
      </c>
      <c r="J57" s="20" t="s">
        <v>1406</v>
      </c>
      <c r="K57" s="20" t="s">
        <v>351</v>
      </c>
      <c r="L57" s="20" t="s">
        <v>352</v>
      </c>
      <c r="M57" s="20" t="s">
        <v>97</v>
      </c>
      <c r="N57" s="20" t="s">
        <v>353</v>
      </c>
      <c r="O57" s="20" t="s">
        <v>1252</v>
      </c>
      <c r="P57" s="20" t="s">
        <v>1253</v>
      </c>
      <c r="Q57" s="20" t="s">
        <v>1419</v>
      </c>
      <c r="R57" s="20" t="s">
        <v>1420</v>
      </c>
    </row>
    <row r="58" spans="1:18" ht="90" customHeight="1">
      <c r="A58" s="19" t="s">
        <v>1421</v>
      </c>
      <c r="B58" s="20" t="s">
        <v>662</v>
      </c>
      <c r="C58" s="20" t="s">
        <v>663</v>
      </c>
      <c r="D58" s="20" t="s">
        <v>346</v>
      </c>
      <c r="E58" s="20" t="s">
        <v>631</v>
      </c>
      <c r="F58" s="19" t="s">
        <v>1422</v>
      </c>
      <c r="G58" s="20" t="s">
        <v>662</v>
      </c>
      <c r="H58" s="20" t="s">
        <v>349</v>
      </c>
      <c r="I58" s="20" t="s">
        <v>350</v>
      </c>
      <c r="J58" s="20" t="s">
        <v>1406</v>
      </c>
      <c r="K58" s="20" t="s">
        <v>351</v>
      </c>
      <c r="L58" s="20" t="s">
        <v>352</v>
      </c>
      <c r="M58" s="20" t="s">
        <v>97</v>
      </c>
      <c r="N58" s="20" t="s">
        <v>353</v>
      </c>
      <c r="O58" s="20" t="s">
        <v>1252</v>
      </c>
      <c r="P58" s="20" t="s">
        <v>1253</v>
      </c>
      <c r="Q58" s="20" t="s">
        <v>1423</v>
      </c>
      <c r="R58" s="20" t="s">
        <v>1424</v>
      </c>
    </row>
    <row r="59" spans="1:18" ht="90" customHeight="1">
      <c r="A59" s="19" t="s">
        <v>1425</v>
      </c>
      <c r="B59" s="20" t="s">
        <v>670</v>
      </c>
      <c r="C59" s="20" t="s">
        <v>671</v>
      </c>
      <c r="D59" s="20" t="s">
        <v>346</v>
      </c>
      <c r="E59" s="20" t="s">
        <v>631</v>
      </c>
      <c r="F59" s="19" t="s">
        <v>1426</v>
      </c>
      <c r="G59" s="20" t="s">
        <v>670</v>
      </c>
      <c r="H59" s="20" t="s">
        <v>349</v>
      </c>
      <c r="I59" s="20" t="s">
        <v>350</v>
      </c>
      <c r="J59" s="20" t="s">
        <v>1406</v>
      </c>
      <c r="K59" s="20" t="s">
        <v>351</v>
      </c>
      <c r="L59" s="20" t="s">
        <v>352</v>
      </c>
      <c r="M59" s="20" t="s">
        <v>97</v>
      </c>
      <c r="N59" s="20" t="s">
        <v>353</v>
      </c>
      <c r="O59" s="20" t="s">
        <v>1252</v>
      </c>
      <c r="P59" s="20" t="s">
        <v>1253</v>
      </c>
      <c r="Q59" s="20" t="s">
        <v>1427</v>
      </c>
      <c r="R59" s="20" t="s">
        <v>1428</v>
      </c>
    </row>
    <row r="60" spans="1:18" ht="90" customHeight="1">
      <c r="A60" s="19" t="s">
        <v>1429</v>
      </c>
      <c r="B60" s="20" t="s">
        <v>678</v>
      </c>
      <c r="C60" s="20" t="s">
        <v>679</v>
      </c>
      <c r="D60" s="20" t="s">
        <v>346</v>
      </c>
      <c r="E60" s="20" t="s">
        <v>631</v>
      </c>
      <c r="F60" s="19" t="s">
        <v>1430</v>
      </c>
      <c r="G60" s="20" t="s">
        <v>678</v>
      </c>
      <c r="H60" s="20" t="s">
        <v>349</v>
      </c>
      <c r="I60" s="20" t="s">
        <v>350</v>
      </c>
      <c r="J60" s="20" t="s">
        <v>1406</v>
      </c>
      <c r="K60" s="20" t="s">
        <v>351</v>
      </c>
      <c r="L60" s="20" t="s">
        <v>352</v>
      </c>
      <c r="M60" s="20" t="s">
        <v>97</v>
      </c>
      <c r="N60" s="20" t="s">
        <v>353</v>
      </c>
      <c r="O60" s="20" t="s">
        <v>1252</v>
      </c>
      <c r="P60" s="20" t="s">
        <v>1253</v>
      </c>
      <c r="Q60" s="20" t="s">
        <v>1431</v>
      </c>
      <c r="R60" s="20" t="s">
        <v>1432</v>
      </c>
    </row>
    <row r="61" spans="1:18" ht="90" customHeight="1">
      <c r="A61" s="19" t="s">
        <v>1433</v>
      </c>
      <c r="B61" s="20" t="s">
        <v>686</v>
      </c>
      <c r="C61" s="20" t="s">
        <v>687</v>
      </c>
      <c r="D61" s="20" t="s">
        <v>346</v>
      </c>
      <c r="E61" s="20" t="s">
        <v>631</v>
      </c>
      <c r="F61" s="19" t="s">
        <v>1434</v>
      </c>
      <c r="G61" s="20" t="s">
        <v>686</v>
      </c>
      <c r="H61" s="20" t="s">
        <v>349</v>
      </c>
      <c r="I61" s="20" t="s">
        <v>350</v>
      </c>
      <c r="J61" s="20" t="s">
        <v>1435</v>
      </c>
      <c r="K61" s="20" t="s">
        <v>351</v>
      </c>
      <c r="L61" s="20" t="s">
        <v>352</v>
      </c>
      <c r="M61" s="20" t="s">
        <v>97</v>
      </c>
      <c r="N61" s="20" t="s">
        <v>353</v>
      </c>
      <c r="O61" s="20" t="s">
        <v>1252</v>
      </c>
      <c r="P61" s="20" t="s">
        <v>1253</v>
      </c>
      <c r="Q61" s="20" t="s">
        <v>1436</v>
      </c>
      <c r="R61" s="20" t="s">
        <v>1437</v>
      </c>
    </row>
    <row r="62" spans="1:18" ht="90" customHeight="1">
      <c r="A62" s="19" t="s">
        <v>1438</v>
      </c>
      <c r="B62" s="20" t="s">
        <v>694</v>
      </c>
      <c r="C62" s="20" t="s">
        <v>695</v>
      </c>
      <c r="D62" s="20" t="s">
        <v>346</v>
      </c>
      <c r="E62" s="20" t="s">
        <v>162</v>
      </c>
      <c r="F62" s="19" t="s">
        <v>1439</v>
      </c>
      <c r="G62" s="20" t="s">
        <v>694</v>
      </c>
      <c r="H62" s="20" t="s">
        <v>349</v>
      </c>
      <c r="I62" s="20" t="s">
        <v>350</v>
      </c>
      <c r="J62" s="20" t="s">
        <v>1440</v>
      </c>
      <c r="K62" s="20" t="s">
        <v>351</v>
      </c>
      <c r="L62" s="20" t="s">
        <v>352</v>
      </c>
      <c r="M62" s="20" t="s">
        <v>97</v>
      </c>
      <c r="N62" s="20" t="s">
        <v>353</v>
      </c>
      <c r="O62" s="20" t="s">
        <v>1252</v>
      </c>
      <c r="P62" s="20" t="s">
        <v>1253</v>
      </c>
      <c r="Q62" s="20" t="s">
        <v>1441</v>
      </c>
      <c r="R62" s="20" t="s">
        <v>1442</v>
      </c>
    </row>
    <row r="63" spans="1:18" ht="90" customHeight="1">
      <c r="A63" s="19" t="s">
        <v>1443</v>
      </c>
      <c r="B63" s="20" t="s">
        <v>702</v>
      </c>
      <c r="C63" s="20" t="s">
        <v>704</v>
      </c>
      <c r="D63" s="20" t="s">
        <v>705</v>
      </c>
      <c r="E63" s="20" t="s">
        <v>706</v>
      </c>
      <c r="F63" s="19" t="s">
        <v>1444</v>
      </c>
      <c r="G63" s="20" t="s">
        <v>702</v>
      </c>
      <c r="H63" s="20" t="s">
        <v>714</v>
      </c>
      <c r="I63" s="20" t="s">
        <v>715</v>
      </c>
      <c r="J63" s="20" t="s">
        <v>1445</v>
      </c>
      <c r="K63" s="20" t="s">
        <v>716</v>
      </c>
      <c r="L63" s="20" t="s">
        <v>206</v>
      </c>
      <c r="M63" s="20" t="s">
        <v>97</v>
      </c>
      <c r="N63" s="20" t="s">
        <v>717</v>
      </c>
      <c r="O63" s="20" t="s">
        <v>1446</v>
      </c>
      <c r="P63" s="20" t="s">
        <v>1447</v>
      </c>
      <c r="Q63" s="20" t="s">
        <v>1448</v>
      </c>
      <c r="R63" s="20" t="s">
        <v>1449</v>
      </c>
    </row>
    <row r="64" spans="1:18" ht="90" customHeight="1">
      <c r="A64" s="19" t="s">
        <v>1450</v>
      </c>
      <c r="B64" s="20" t="s">
        <v>721</v>
      </c>
      <c r="C64" s="20" t="s">
        <v>722</v>
      </c>
      <c r="D64" s="20" t="s">
        <v>705</v>
      </c>
      <c r="E64" s="20" t="s">
        <v>706</v>
      </c>
      <c r="F64" s="19" t="s">
        <v>1451</v>
      </c>
      <c r="G64" s="20" t="s">
        <v>721</v>
      </c>
      <c r="H64" s="20" t="s">
        <v>714</v>
      </c>
      <c r="I64" s="20" t="s">
        <v>715</v>
      </c>
      <c r="J64" s="20" t="s">
        <v>1445</v>
      </c>
      <c r="K64" s="20" t="s">
        <v>716</v>
      </c>
      <c r="L64" s="20" t="s">
        <v>206</v>
      </c>
      <c r="M64" s="20" t="s">
        <v>97</v>
      </c>
      <c r="N64" s="20" t="s">
        <v>717</v>
      </c>
      <c r="O64" s="20" t="s">
        <v>1452</v>
      </c>
      <c r="P64" s="20" t="s">
        <v>1447</v>
      </c>
      <c r="Q64" s="20" t="s">
        <v>1453</v>
      </c>
      <c r="R64" s="20" t="s">
        <v>1454</v>
      </c>
    </row>
    <row r="65" spans="1:18" ht="90" customHeight="1">
      <c r="A65" s="19" t="s">
        <v>1455</v>
      </c>
      <c r="B65" s="20" t="s">
        <v>729</v>
      </c>
      <c r="C65" s="20" t="s">
        <v>730</v>
      </c>
      <c r="D65" s="20" t="s">
        <v>705</v>
      </c>
      <c r="E65" s="20" t="s">
        <v>706</v>
      </c>
      <c r="F65" s="19" t="s">
        <v>1456</v>
      </c>
      <c r="G65" s="20" t="s">
        <v>729</v>
      </c>
      <c r="H65" s="20" t="s">
        <v>714</v>
      </c>
      <c r="I65" s="20" t="s">
        <v>715</v>
      </c>
      <c r="J65" s="20" t="s">
        <v>1445</v>
      </c>
      <c r="K65" s="20" t="s">
        <v>716</v>
      </c>
      <c r="L65" s="20" t="s">
        <v>206</v>
      </c>
      <c r="M65" s="20" t="s">
        <v>97</v>
      </c>
      <c r="N65" s="20" t="s">
        <v>717</v>
      </c>
      <c r="O65" s="20" t="s">
        <v>1457</v>
      </c>
      <c r="P65" s="20" t="s">
        <v>1447</v>
      </c>
      <c r="Q65" s="20" t="s">
        <v>1458</v>
      </c>
      <c r="R65" s="20" t="s">
        <v>1459</v>
      </c>
    </row>
    <row r="66" spans="1:18" ht="90" customHeight="1">
      <c r="A66" s="19" t="s">
        <v>1460</v>
      </c>
      <c r="B66" s="20" t="s">
        <v>740</v>
      </c>
      <c r="C66" s="20" t="s">
        <v>741</v>
      </c>
      <c r="D66" s="20" t="s">
        <v>705</v>
      </c>
      <c r="E66" s="20" t="s">
        <v>706</v>
      </c>
      <c r="F66" s="19" t="s">
        <v>1461</v>
      </c>
      <c r="G66" s="20" t="s">
        <v>740</v>
      </c>
      <c r="H66" s="20" t="s">
        <v>714</v>
      </c>
      <c r="I66" s="20" t="s">
        <v>715</v>
      </c>
      <c r="J66" s="20" t="s">
        <v>1445</v>
      </c>
      <c r="K66" s="20" t="s">
        <v>716</v>
      </c>
      <c r="L66" s="20" t="s">
        <v>206</v>
      </c>
      <c r="M66" s="20" t="s">
        <v>97</v>
      </c>
      <c r="N66" s="20" t="s">
        <v>717</v>
      </c>
      <c r="O66" s="20" t="s">
        <v>1446</v>
      </c>
      <c r="P66" s="20" t="s">
        <v>1447</v>
      </c>
      <c r="Q66" s="20" t="s">
        <v>1462</v>
      </c>
      <c r="R66" s="20" t="s">
        <v>1463</v>
      </c>
    </row>
    <row r="67" spans="1:18" ht="90" customHeight="1">
      <c r="A67" s="19" t="s">
        <v>1464</v>
      </c>
      <c r="B67" s="20" t="s">
        <v>748</v>
      </c>
      <c r="C67" s="20" t="s">
        <v>749</v>
      </c>
      <c r="D67" s="20" t="s">
        <v>705</v>
      </c>
      <c r="E67" s="20" t="s">
        <v>162</v>
      </c>
      <c r="F67" s="19" t="s">
        <v>1465</v>
      </c>
      <c r="G67" s="20" t="s">
        <v>748</v>
      </c>
      <c r="H67" s="20" t="s">
        <v>714</v>
      </c>
      <c r="I67" s="20" t="s">
        <v>715</v>
      </c>
      <c r="J67" s="20" t="s">
        <v>1337</v>
      </c>
      <c r="K67" s="20" t="s">
        <v>716</v>
      </c>
      <c r="L67" s="20" t="s">
        <v>206</v>
      </c>
      <c r="M67" s="20" t="s">
        <v>97</v>
      </c>
      <c r="N67" s="20" t="s">
        <v>717</v>
      </c>
      <c r="O67" s="20" t="s">
        <v>1466</v>
      </c>
      <c r="P67" s="20" t="s">
        <v>1174</v>
      </c>
      <c r="Q67" s="20" t="s">
        <v>1467</v>
      </c>
      <c r="R67" s="20" t="s">
        <v>1468</v>
      </c>
    </row>
    <row r="68" spans="1:18" ht="90" customHeight="1">
      <c r="A68" s="19" t="s">
        <v>1469</v>
      </c>
      <c r="B68" s="20" t="s">
        <v>757</v>
      </c>
      <c r="C68" s="20" t="s">
        <v>758</v>
      </c>
      <c r="D68" s="20" t="s">
        <v>705</v>
      </c>
      <c r="E68" s="20" t="s">
        <v>706</v>
      </c>
      <c r="F68" s="19" t="s">
        <v>1470</v>
      </c>
      <c r="G68" s="20" t="s">
        <v>757</v>
      </c>
      <c r="H68" s="20" t="s">
        <v>714</v>
      </c>
      <c r="I68" s="20" t="s">
        <v>715</v>
      </c>
      <c r="J68" s="20" t="s">
        <v>1445</v>
      </c>
      <c r="K68" s="20" t="s">
        <v>716</v>
      </c>
      <c r="L68" s="20" t="s">
        <v>206</v>
      </c>
      <c r="M68" s="20" t="s">
        <v>97</v>
      </c>
      <c r="N68" s="20" t="s">
        <v>717</v>
      </c>
      <c r="O68" s="20" t="s">
        <v>1452</v>
      </c>
      <c r="P68" s="20" t="s">
        <v>1447</v>
      </c>
      <c r="Q68" s="20" t="s">
        <v>1471</v>
      </c>
      <c r="R68" s="20" t="s">
        <v>1472</v>
      </c>
    </row>
    <row r="69" spans="1:18" ht="90" customHeight="1">
      <c r="A69" s="19" t="s">
        <v>1473</v>
      </c>
      <c r="B69" s="20" t="s">
        <v>765</v>
      </c>
      <c r="C69" s="20" t="s">
        <v>766</v>
      </c>
      <c r="D69" s="20" t="s">
        <v>705</v>
      </c>
      <c r="E69" s="20" t="s">
        <v>706</v>
      </c>
      <c r="F69" s="19" t="s">
        <v>1474</v>
      </c>
      <c r="G69" s="20" t="s">
        <v>765</v>
      </c>
      <c r="H69" s="20" t="s">
        <v>714</v>
      </c>
      <c r="I69" s="20" t="s">
        <v>715</v>
      </c>
      <c r="J69" s="20" t="s">
        <v>1445</v>
      </c>
      <c r="K69" s="20" t="s">
        <v>716</v>
      </c>
      <c r="L69" s="20" t="s">
        <v>206</v>
      </c>
      <c r="M69" s="20" t="s">
        <v>97</v>
      </c>
      <c r="N69" s="20" t="s">
        <v>717</v>
      </c>
      <c r="O69" s="20" t="s">
        <v>1452</v>
      </c>
      <c r="P69" s="20" t="s">
        <v>1447</v>
      </c>
      <c r="Q69" s="20" t="s">
        <v>1475</v>
      </c>
      <c r="R69" s="20" t="s">
        <v>1476</v>
      </c>
    </row>
    <row r="70" spans="1:18" ht="90" customHeight="1">
      <c r="A70" s="19" t="s">
        <v>1477</v>
      </c>
      <c r="B70" s="20" t="s">
        <v>773</v>
      </c>
      <c r="C70" s="20" t="s">
        <v>774</v>
      </c>
      <c r="D70" s="20" t="s">
        <v>705</v>
      </c>
      <c r="E70" s="20" t="s">
        <v>706</v>
      </c>
      <c r="F70" s="19" t="s">
        <v>1478</v>
      </c>
      <c r="G70" s="20" t="s">
        <v>773</v>
      </c>
      <c r="H70" s="20" t="s">
        <v>714</v>
      </c>
      <c r="I70" s="20" t="s">
        <v>715</v>
      </c>
      <c r="J70" s="20" t="s">
        <v>1445</v>
      </c>
      <c r="K70" s="20" t="s">
        <v>716</v>
      </c>
      <c r="L70" s="20" t="s">
        <v>206</v>
      </c>
      <c r="M70" s="20" t="s">
        <v>97</v>
      </c>
      <c r="N70" s="20" t="s">
        <v>717</v>
      </c>
      <c r="O70" s="20" t="s">
        <v>1457</v>
      </c>
      <c r="P70" s="20" t="s">
        <v>1447</v>
      </c>
      <c r="Q70" s="20" t="s">
        <v>1479</v>
      </c>
      <c r="R70" s="20" t="s">
        <v>1480</v>
      </c>
    </row>
    <row r="71" spans="1:18" ht="90" customHeight="1">
      <c r="A71" s="19" t="s">
        <v>1481</v>
      </c>
      <c r="B71" s="20" t="s">
        <v>781</v>
      </c>
      <c r="C71" s="20" t="s">
        <v>782</v>
      </c>
      <c r="D71" s="20" t="s">
        <v>705</v>
      </c>
      <c r="E71" s="20" t="s">
        <v>706</v>
      </c>
      <c r="F71" s="19" t="s">
        <v>1482</v>
      </c>
      <c r="G71" s="20" t="s">
        <v>781</v>
      </c>
      <c r="H71" s="20" t="s">
        <v>714</v>
      </c>
      <c r="I71" s="20" t="s">
        <v>715</v>
      </c>
      <c r="J71" s="20" t="s">
        <v>1445</v>
      </c>
      <c r="K71" s="20" t="s">
        <v>716</v>
      </c>
      <c r="L71" s="20" t="s">
        <v>206</v>
      </c>
      <c r="M71" s="20" t="s">
        <v>97</v>
      </c>
      <c r="N71" s="20" t="s">
        <v>717</v>
      </c>
      <c r="O71" s="20" t="s">
        <v>1457</v>
      </c>
      <c r="P71" s="20" t="s">
        <v>1447</v>
      </c>
      <c r="Q71" s="20" t="s">
        <v>1483</v>
      </c>
      <c r="R71" s="20" t="s">
        <v>1484</v>
      </c>
    </row>
    <row r="72" spans="1:18" ht="90" customHeight="1">
      <c r="A72" s="19" t="s">
        <v>1485</v>
      </c>
      <c r="B72" s="20" t="s">
        <v>789</v>
      </c>
      <c r="C72" s="20" t="s">
        <v>790</v>
      </c>
      <c r="D72" s="20" t="s">
        <v>705</v>
      </c>
      <c r="E72" s="20" t="s">
        <v>706</v>
      </c>
      <c r="F72" s="19" t="s">
        <v>1486</v>
      </c>
      <c r="G72" s="20" t="s">
        <v>789</v>
      </c>
      <c r="H72" s="20" t="s">
        <v>714</v>
      </c>
      <c r="I72" s="20" t="s">
        <v>715</v>
      </c>
      <c r="J72" s="20" t="s">
        <v>1445</v>
      </c>
      <c r="K72" s="20" t="s">
        <v>716</v>
      </c>
      <c r="L72" s="20" t="s">
        <v>206</v>
      </c>
      <c r="M72" s="20" t="s">
        <v>97</v>
      </c>
      <c r="N72" s="20" t="s">
        <v>717</v>
      </c>
      <c r="O72" s="20" t="s">
        <v>1457</v>
      </c>
      <c r="P72" s="20" t="s">
        <v>1447</v>
      </c>
      <c r="Q72" s="20" t="s">
        <v>1487</v>
      </c>
      <c r="R72" s="20" t="s">
        <v>1488</v>
      </c>
    </row>
    <row r="73" spans="1:18" ht="90" customHeight="1">
      <c r="A73" s="19" t="s">
        <v>1489</v>
      </c>
      <c r="B73" s="20" t="s">
        <v>797</v>
      </c>
      <c r="C73" s="20" t="s">
        <v>798</v>
      </c>
      <c r="D73" s="20" t="s">
        <v>705</v>
      </c>
      <c r="E73" s="20" t="s">
        <v>706</v>
      </c>
      <c r="F73" s="19" t="s">
        <v>1490</v>
      </c>
      <c r="G73" s="20" t="s">
        <v>797</v>
      </c>
      <c r="H73" s="20" t="s">
        <v>449</v>
      </c>
      <c r="I73" s="20" t="s">
        <v>450</v>
      </c>
      <c r="J73" s="20" t="s">
        <v>1302</v>
      </c>
      <c r="K73" s="20" t="s">
        <v>451</v>
      </c>
      <c r="L73" s="20" t="s">
        <v>452</v>
      </c>
      <c r="M73" s="20" t="s">
        <v>97</v>
      </c>
      <c r="N73" s="20" t="s">
        <v>453</v>
      </c>
      <c r="O73" s="20" t="s">
        <v>1491</v>
      </c>
      <c r="P73" s="20" t="s">
        <v>1447</v>
      </c>
      <c r="Q73" s="20" t="s">
        <v>1492</v>
      </c>
      <c r="R73" s="20" t="s">
        <v>1493</v>
      </c>
    </row>
    <row r="74" spans="1:18" ht="90" customHeight="1">
      <c r="A74" s="19" t="s">
        <v>1494</v>
      </c>
      <c r="B74" s="20" t="s">
        <v>806</v>
      </c>
      <c r="C74" s="20" t="s">
        <v>807</v>
      </c>
      <c r="D74" s="20" t="s">
        <v>705</v>
      </c>
      <c r="E74" s="20" t="s">
        <v>706</v>
      </c>
      <c r="F74" s="19" t="s">
        <v>1495</v>
      </c>
      <c r="G74" s="20" t="s">
        <v>813</v>
      </c>
      <c r="H74" s="20" t="s">
        <v>187</v>
      </c>
      <c r="I74" s="20" t="s">
        <v>188</v>
      </c>
      <c r="J74" s="20" t="s">
        <v>1302</v>
      </c>
      <c r="K74" s="20" t="s">
        <v>189</v>
      </c>
      <c r="L74" s="20" t="s">
        <v>190</v>
      </c>
      <c r="M74" s="20" t="s">
        <v>97</v>
      </c>
      <c r="N74" s="20" t="s">
        <v>191</v>
      </c>
      <c r="O74" s="20" t="s">
        <v>1180</v>
      </c>
      <c r="P74" s="20" t="s">
        <v>1181</v>
      </c>
      <c r="Q74" s="20" t="s">
        <v>1496</v>
      </c>
      <c r="R74" s="20" t="s">
        <v>1497</v>
      </c>
    </row>
    <row r="75" spans="1:18" ht="90" customHeight="1">
      <c r="A75" s="19" t="s">
        <v>1498</v>
      </c>
      <c r="B75" s="20" t="s">
        <v>816</v>
      </c>
      <c r="C75" s="20" t="s">
        <v>817</v>
      </c>
      <c r="D75" s="20" t="s">
        <v>705</v>
      </c>
      <c r="E75" s="20" t="s">
        <v>706</v>
      </c>
      <c r="F75" s="19" t="s">
        <v>1499</v>
      </c>
      <c r="G75" s="20" t="s">
        <v>816</v>
      </c>
      <c r="H75" s="20" t="s">
        <v>449</v>
      </c>
      <c r="I75" s="20" t="s">
        <v>450</v>
      </c>
      <c r="J75" s="20" t="s">
        <v>1302</v>
      </c>
      <c r="K75" s="20" t="s">
        <v>451</v>
      </c>
      <c r="L75" s="20" t="s">
        <v>452</v>
      </c>
      <c r="M75" s="20" t="s">
        <v>97</v>
      </c>
      <c r="N75" s="20" t="s">
        <v>453</v>
      </c>
      <c r="O75" s="20" t="s">
        <v>1303</v>
      </c>
      <c r="P75" s="20" t="s">
        <v>1447</v>
      </c>
      <c r="Q75" s="20" t="s">
        <v>1500</v>
      </c>
      <c r="R75" s="20" t="s">
        <v>1501</v>
      </c>
    </row>
    <row r="76" spans="1:18" ht="90" customHeight="1">
      <c r="A76" s="19" t="s">
        <v>1502</v>
      </c>
      <c r="B76" s="20" t="s">
        <v>824</v>
      </c>
      <c r="C76" s="20" t="s">
        <v>825</v>
      </c>
      <c r="D76" s="20" t="s">
        <v>705</v>
      </c>
      <c r="E76" s="20" t="s">
        <v>706</v>
      </c>
      <c r="F76" s="19" t="s">
        <v>1503</v>
      </c>
      <c r="G76" s="20" t="s">
        <v>824</v>
      </c>
      <c r="H76" s="20" t="s">
        <v>449</v>
      </c>
      <c r="I76" s="20" t="s">
        <v>450</v>
      </c>
      <c r="J76" s="20" t="s">
        <v>1302</v>
      </c>
      <c r="K76" s="20" t="s">
        <v>451</v>
      </c>
      <c r="L76" s="20" t="s">
        <v>452</v>
      </c>
      <c r="M76" s="20" t="s">
        <v>97</v>
      </c>
      <c r="N76" s="20" t="s">
        <v>453</v>
      </c>
      <c r="O76" s="20" t="s">
        <v>1303</v>
      </c>
      <c r="P76" s="20" t="s">
        <v>1447</v>
      </c>
      <c r="Q76" s="20" t="s">
        <v>1504</v>
      </c>
      <c r="R76" s="20" t="s">
        <v>1505</v>
      </c>
    </row>
    <row r="77" spans="1:18" ht="90" customHeight="1">
      <c r="A77" s="19" t="s">
        <v>1506</v>
      </c>
      <c r="B77" s="20" t="s">
        <v>832</v>
      </c>
      <c r="C77" s="20" t="s">
        <v>833</v>
      </c>
      <c r="D77" s="20" t="s">
        <v>705</v>
      </c>
      <c r="E77" s="20" t="s">
        <v>706</v>
      </c>
      <c r="F77" s="19" t="s">
        <v>1507</v>
      </c>
      <c r="G77" s="20" t="s">
        <v>832</v>
      </c>
      <c r="H77" s="20" t="s">
        <v>449</v>
      </c>
      <c r="I77" s="20" t="s">
        <v>450</v>
      </c>
      <c r="J77" s="20" t="s">
        <v>1302</v>
      </c>
      <c r="K77" s="20" t="s">
        <v>451</v>
      </c>
      <c r="L77" s="20" t="s">
        <v>452</v>
      </c>
      <c r="M77" s="20" t="s">
        <v>97</v>
      </c>
      <c r="N77" s="20" t="s">
        <v>453</v>
      </c>
      <c r="O77" s="20" t="s">
        <v>1303</v>
      </c>
      <c r="P77" s="20" t="s">
        <v>1447</v>
      </c>
      <c r="Q77" s="20" t="s">
        <v>1508</v>
      </c>
      <c r="R77" s="20" t="s">
        <v>1509</v>
      </c>
    </row>
    <row r="78" spans="1:18" ht="90" customHeight="1">
      <c r="A78" s="19" t="s">
        <v>1510</v>
      </c>
      <c r="B78" s="20" t="s">
        <v>840</v>
      </c>
      <c r="C78" s="20" t="s">
        <v>841</v>
      </c>
      <c r="D78" s="20" t="s">
        <v>705</v>
      </c>
      <c r="E78" s="20" t="s">
        <v>706</v>
      </c>
      <c r="F78" s="19" t="s">
        <v>1511</v>
      </c>
      <c r="G78" s="20" t="s">
        <v>840</v>
      </c>
      <c r="H78" s="20" t="s">
        <v>449</v>
      </c>
      <c r="I78" s="20" t="s">
        <v>450</v>
      </c>
      <c r="J78" s="20" t="s">
        <v>1302</v>
      </c>
      <c r="K78" s="20" t="s">
        <v>451</v>
      </c>
      <c r="L78" s="20" t="s">
        <v>452</v>
      </c>
      <c r="M78" s="20" t="s">
        <v>97</v>
      </c>
      <c r="N78" s="20" t="s">
        <v>453</v>
      </c>
      <c r="O78" s="20" t="s">
        <v>1303</v>
      </c>
      <c r="P78" s="20" t="s">
        <v>1447</v>
      </c>
      <c r="Q78" s="20" t="s">
        <v>1512</v>
      </c>
      <c r="R78" s="20" t="s">
        <v>1513</v>
      </c>
    </row>
    <row r="79" spans="1:18" ht="90" customHeight="1">
      <c r="A79" s="19" t="s">
        <v>1514</v>
      </c>
      <c r="B79" s="20" t="s">
        <v>848</v>
      </c>
      <c r="C79" s="20" t="s">
        <v>849</v>
      </c>
      <c r="D79" s="20" t="s">
        <v>705</v>
      </c>
      <c r="E79" s="20" t="s">
        <v>706</v>
      </c>
      <c r="F79" s="19" t="s">
        <v>1515</v>
      </c>
      <c r="G79" s="20" t="s">
        <v>848</v>
      </c>
      <c r="H79" s="20" t="s">
        <v>449</v>
      </c>
      <c r="I79" s="20" t="s">
        <v>450</v>
      </c>
      <c r="J79" s="20" t="s">
        <v>1302</v>
      </c>
      <c r="K79" s="20" t="s">
        <v>451</v>
      </c>
      <c r="L79" s="20" t="s">
        <v>452</v>
      </c>
      <c r="M79" s="20" t="s">
        <v>97</v>
      </c>
      <c r="N79" s="20" t="s">
        <v>453</v>
      </c>
      <c r="O79" s="20" t="s">
        <v>1303</v>
      </c>
      <c r="P79" s="20" t="s">
        <v>1447</v>
      </c>
      <c r="Q79" s="20" t="s">
        <v>1516</v>
      </c>
      <c r="R79" s="20" t="s">
        <v>1517</v>
      </c>
    </row>
    <row r="80" spans="1:18" ht="90" customHeight="1">
      <c r="A80" s="19" t="s">
        <v>1518</v>
      </c>
      <c r="B80" s="20" t="s">
        <v>856</v>
      </c>
      <c r="C80" s="20" t="s">
        <v>857</v>
      </c>
      <c r="D80" s="20" t="s">
        <v>705</v>
      </c>
      <c r="E80" s="20" t="s">
        <v>162</v>
      </c>
      <c r="F80" s="19" t="s">
        <v>1519</v>
      </c>
      <c r="G80" s="20" t="s">
        <v>856</v>
      </c>
      <c r="H80" s="20" t="s">
        <v>449</v>
      </c>
      <c r="I80" s="20" t="s">
        <v>450</v>
      </c>
      <c r="J80" s="20" t="s">
        <v>1337</v>
      </c>
      <c r="K80" s="20" t="s">
        <v>451</v>
      </c>
      <c r="L80" s="20" t="s">
        <v>452</v>
      </c>
      <c r="M80" s="20" t="s">
        <v>97</v>
      </c>
      <c r="N80" s="20" t="s">
        <v>453</v>
      </c>
      <c r="O80" s="20" t="s">
        <v>1520</v>
      </c>
      <c r="P80" s="20" t="s">
        <v>1174</v>
      </c>
      <c r="Q80" s="20" t="s">
        <v>1521</v>
      </c>
      <c r="R80" s="20" t="s">
        <v>1522</v>
      </c>
    </row>
    <row r="81" spans="1:18" ht="90" customHeight="1">
      <c r="A81" s="19" t="s">
        <v>1523</v>
      </c>
      <c r="B81" s="20" t="s">
        <v>865</v>
      </c>
      <c r="C81" s="20" t="s">
        <v>866</v>
      </c>
      <c r="D81" s="20" t="s">
        <v>705</v>
      </c>
      <c r="E81" s="20" t="s">
        <v>706</v>
      </c>
      <c r="F81" s="19" t="s">
        <v>1524</v>
      </c>
      <c r="G81" s="20" t="s">
        <v>865</v>
      </c>
      <c r="H81" s="20" t="s">
        <v>449</v>
      </c>
      <c r="I81" s="20" t="s">
        <v>450</v>
      </c>
      <c r="J81" s="20" t="s">
        <v>1302</v>
      </c>
      <c r="K81" s="20" t="s">
        <v>451</v>
      </c>
      <c r="L81" s="20" t="s">
        <v>452</v>
      </c>
      <c r="M81" s="20" t="s">
        <v>97</v>
      </c>
      <c r="N81" s="20" t="s">
        <v>453</v>
      </c>
      <c r="O81" s="20" t="s">
        <v>1525</v>
      </c>
      <c r="P81" s="20" t="s">
        <v>1447</v>
      </c>
      <c r="Q81" s="20" t="s">
        <v>1526</v>
      </c>
      <c r="R81" s="20" t="s">
        <v>1527</v>
      </c>
    </row>
    <row r="82" spans="1:18" ht="90" customHeight="1">
      <c r="A82" s="19" t="s">
        <v>1528</v>
      </c>
      <c r="B82" s="20" t="s">
        <v>873</v>
      </c>
      <c r="C82" s="20" t="s">
        <v>874</v>
      </c>
      <c r="D82" s="20" t="s">
        <v>705</v>
      </c>
      <c r="E82" s="20" t="s">
        <v>706</v>
      </c>
      <c r="F82" s="19" t="s">
        <v>1529</v>
      </c>
      <c r="G82" s="20" t="s">
        <v>873</v>
      </c>
      <c r="H82" s="20" t="s">
        <v>449</v>
      </c>
      <c r="I82" s="20" t="s">
        <v>450</v>
      </c>
      <c r="J82" s="20" t="s">
        <v>1530</v>
      </c>
      <c r="K82" s="20" t="s">
        <v>451</v>
      </c>
      <c r="L82" s="20" t="s">
        <v>452</v>
      </c>
      <c r="M82" s="20" t="s">
        <v>97</v>
      </c>
      <c r="N82" s="20" t="s">
        <v>453</v>
      </c>
      <c r="O82" s="20" t="s">
        <v>1303</v>
      </c>
      <c r="P82" s="20" t="s">
        <v>1447</v>
      </c>
      <c r="Q82" s="20" t="s">
        <v>1531</v>
      </c>
      <c r="R82" s="20" t="s">
        <v>1532</v>
      </c>
    </row>
  </sheetData>
  <mergeCells count="1">
    <mergeCell ref="B2:R2"/>
  </mergeCells>
  <phoneticPr fontId="7"/>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ダッシュボード</vt:lpstr>
      <vt:lpstr>制作管理表</vt:lpstr>
      <vt:lpstr>アイキャッチ制作指示</vt:lpstr>
      <vt:lpstr>記事制作ルール</vt:lpstr>
      <vt:lpstr>設定</vt:lpstr>
      <vt:lpstr>投稿結果ログ</vt:lpstr>
      <vt:lpstr>Claude連携メモ</vt:lpstr>
      <vt:lpstr>旧管理表バックアップ</vt:lpstr>
      <vt:lpstr>画像生成共通プロンプト</vt:lpstr>
      <vt:lpstr>画像生成プロンプト一覧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田邉 まどか</cp:lastModifiedBy>
  <dcterms:created xsi:type="dcterms:W3CDTF">2026-06-26T11:20:37Z</dcterms:created>
  <dcterms:modified xsi:type="dcterms:W3CDTF">2026-06-28T11:12:08Z</dcterms:modified>
</cp:coreProperties>
</file>