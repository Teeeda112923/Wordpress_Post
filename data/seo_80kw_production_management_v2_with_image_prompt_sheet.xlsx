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ダッシュボード" sheetId="1" state="visible" r:id="rId1"/>
    <sheet name="制作管理表" sheetId="2" state="visible" r:id="rId2"/>
    <sheet name="アイキャッチ制作指示" sheetId="3" state="visible" r:id="rId3"/>
    <sheet name="記事制作ルール" sheetId="4" state="visible" r:id="rId4"/>
    <sheet name="設定" sheetId="5" state="visible" r:id="rId5"/>
    <sheet name="投稿結果ログ" sheetId="6" state="visible" r:id="rId6"/>
    <sheet name="Claude連携メモ" sheetId="7" state="visible" r:id="rId7"/>
    <sheet name="旧管理表バックアップ" sheetId="8" state="visible" r:id="rId8"/>
    <sheet name="画像生成共通プロンプト" sheetId="9" state="visible" r:id="rId9"/>
    <sheet name="画像生成プロンプト一覧" sheetId="10" state="visible" r:id="rId10"/>
  </sheets>
  <definedNames/>
</workbook>
</file>

<file path=xl/styles.xml><?xml version="1.0" encoding="utf-8"?>
<styleSheet xmlns="http://schemas.openxmlformats.org/spreadsheetml/2006/main">
  <numFmts count="1">
    <numFmt numFmtId="164" formatCode="yyyy-mm-dd hh:mm"/>
  </numFmts>
  <fonts count="6">
    <font>
      <name val="Carlito"/>
      <sz val="11"/>
    </font>
    <font>
      <name val="Carlito"/>
      <b val="1"/>
      <color rgb="FFFFFFFF"/>
      <sz val="11"/>
    </font>
    <font>
      <name val="Carlito"/>
      <b val="1"/>
      <color rgb="FFFFFFFF"/>
      <sz val="18"/>
    </font>
    <font>
      <b val="1"/>
      <color rgb="00FFFFFF"/>
      <sz val="14"/>
    </font>
    <font>
      <b val="1"/>
    </font>
    <font>
      <b val="1"/>
      <color rgb="00FFFFFF"/>
    </font>
  </fonts>
  <fills count="10">
    <fill>
      <patternFill/>
    </fill>
    <fill>
      <patternFill patternType="gray125"/>
    </fill>
    <fill>
      <patternFill patternType="solid">
        <fgColor rgb="FF0F3A2E"/>
      </patternFill>
    </fill>
    <fill>
      <patternFill patternType="solid">
        <fgColor rgb="FF7A1F2B"/>
      </patternFill>
    </fill>
    <fill>
      <patternFill patternType="solid">
        <fgColor rgb="FF173763"/>
      </patternFill>
    </fill>
    <fill>
      <patternFill patternType="solid">
        <fgColor rgb="FFC89B5B"/>
      </patternFill>
    </fill>
    <fill>
      <patternFill patternType="solid">
        <fgColor rgb="FF4B5563"/>
      </patternFill>
    </fill>
    <fill>
      <patternFill patternType="solid">
        <fgColor rgb="FF6B7280"/>
      </patternFill>
    </fill>
    <fill>
      <patternFill patternType="solid">
        <fgColor rgb="001F4E78"/>
      </patternFill>
    </fill>
    <fill>
      <patternFill patternType="solid">
        <fgColor rgb="00FFF2CC"/>
      </patternFill>
    </fill>
  </fills>
  <borders count="7">
    <border/>
    <border/>
    <border>
      <left style="thin">
        <color rgb="00B7B7B7"/>
      </left>
      <right style="thin">
        <color rgb="00B7B7B7"/>
      </right>
      <top style="thin">
        <color rgb="00B7B7B7"/>
      </top>
      <bottom style="thin">
        <color rgb="00B7B7B7"/>
      </bottom>
    </border>
    <border>
      <top style="thin">
        <color rgb="00B7B7B7"/>
      </top>
    </border>
    <border>
      <right style="thin">
        <color rgb="00B7B7B7"/>
      </right>
      <top style="thin">
        <color rgb="00B7B7B7"/>
      </top>
    </border>
    <border>
      <top style="thin">
        <color rgb="00B7B7B7"/>
      </top>
      <bottom style="thin">
        <color rgb="00B7B7B7"/>
      </bottom>
    </border>
    <border>
      <right style="thin">
        <color rgb="00B7B7B7"/>
      </right>
      <top style="thin">
        <color rgb="00B7B7B7"/>
      </top>
      <bottom style="thin">
        <color rgb="00B7B7B7"/>
      </bottom>
    </border>
  </borders>
  <cellStyleXfs count="1">
    <xf numFmtId="0" fontId="0" fillId="0" borderId="1"/>
  </cellStyleXfs>
  <cellXfs count="8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1" fillId="3" borderId="0" applyAlignment="1" pivotButton="0" quotePrefix="0" xfId="0">
      <alignment horizontal="center" vertical="top" wrapText="1"/>
    </xf>
    <xf numFmtId="0" fontId="1" fillId="3" borderId="1" applyAlignment="1" pivotButton="0" quotePrefix="0" xfId="0">
      <alignment horizontal="center" vertical="top" wrapText="1"/>
    </xf>
    <xf numFmtId="0" fontId="1" fillId="4" borderId="0" applyAlignment="1" pivotButton="0" quotePrefix="0" xfId="0">
      <alignment horizontal="center" vertical="top" wrapText="1"/>
    </xf>
    <xf numFmtId="0" fontId="1" fillId="4" borderId="1" applyAlignment="1" pivotButton="0" quotePrefix="0" xfId="0">
      <alignment horizontal="center" vertical="top" wrapText="1"/>
    </xf>
    <xf numFmtId="0" fontId="1" fillId="5" borderId="0" applyAlignment="1" pivotButton="0" quotePrefix="0" xfId="0">
      <alignment horizontal="center" vertical="top" wrapText="1"/>
    </xf>
    <xf numFmtId="0" fontId="1" fillId="5" borderId="1" applyAlignment="1" pivotButton="0" quotePrefix="0" xfId="0">
      <alignment horizontal="center" vertical="top" wrapText="1"/>
    </xf>
    <xf numFmtId="0" fontId="1" fillId="6" borderId="0" applyAlignment="1" pivotButton="0" quotePrefix="0" xfId="0">
      <alignment horizontal="center" vertical="top" wrapText="1"/>
    </xf>
    <xf numFmtId="0" fontId="1" fillId="6" borderId="1" applyAlignment="1" pivotButton="0" quotePrefix="0" xfId="0">
      <alignment horizontal="center" vertical="top" wrapText="1"/>
    </xf>
    <xf numFmtId="0" fontId="0" fillId="4" borderId="0" pivotButton="0" quotePrefix="0" xfId="0"/>
    <xf numFmtId="0" fontId="1" fillId="4" borderId="0" pivotButton="0" quotePrefix="0" xfId="0"/>
    <xf numFmtId="0" fontId="1" fillId="4" borderId="0" applyAlignment="1" pivotButton="0" quotePrefix="0" xfId="0">
      <alignment wrapText="1"/>
    </xf>
    <xf numFmtId="0" fontId="1" fillId="4" borderId="0" applyAlignment="1" pivotButton="0" quotePrefix="0" xfId="0">
      <alignment horizontal="center" wrapText="1"/>
    </xf>
    <xf numFmtId="0" fontId="0" fillId="4" borderId="1" pivotButton="0" quotePrefix="0" xfId="0"/>
    <xf numFmtId="0" fontId="1" fillId="4" borderId="1" pivotButton="0" quotePrefix="0" xfId="0"/>
    <xf numFmtId="0" fontId="1" fillId="4" borderId="1" applyAlignment="1" pivotButton="0" quotePrefix="0" xfId="0">
      <alignment wrapText="1"/>
    </xf>
    <xf numFmtId="0" fontId="1" fillId="4" borderId="1" applyAlignment="1" pivotButton="0" quotePrefix="0" xfId="0">
      <alignment horizontal="center" wrapText="1"/>
    </xf>
    <xf numFmtId="0" fontId="0" fillId="3" borderId="0" pivotButton="0" quotePrefix="0" xfId="0"/>
    <xf numFmtId="0" fontId="1" fillId="3" borderId="0" pivotButton="0" quotePrefix="0" xfId="0"/>
    <xf numFmtId="0" fontId="1" fillId="3" borderId="0" applyAlignment="1" pivotButton="0" quotePrefix="0" xfId="0">
      <alignment horizontal="center"/>
    </xf>
    <xf numFmtId="0" fontId="0" fillId="3" borderId="1" pivotButton="0" quotePrefix="0" xfId="0"/>
    <xf numFmtId="0" fontId="1" fillId="3" borderId="1" pivotButton="0" quotePrefix="0" xfId="0"/>
    <xf numFmtId="0" fontId="1" fillId="3" borderId="1" applyAlignment="1" pivotButton="0" quotePrefix="0" xfId="0">
      <alignment horizontal="center"/>
    </xf>
    <xf numFmtId="0" fontId="1" fillId="3" borderId="0" applyAlignment="1" pivotButton="0" quotePrefix="0" xfId="0">
      <alignment horizontal="center" wrapText="1"/>
    </xf>
    <xf numFmtId="0" fontId="1" fillId="3" borderId="1" applyAlignment="1" pivotButton="0" quotePrefix="0" xfId="0">
      <alignment horizontal="center" wrapText="1"/>
    </xf>
    <xf numFmtId="0" fontId="0" fillId="6" borderId="0" pivotButton="0" quotePrefix="0" xfId="0"/>
    <xf numFmtId="0" fontId="1" fillId="6" borderId="0" pivotButton="0" quotePrefix="0" xfId="0"/>
    <xf numFmtId="0" fontId="1" fillId="6" borderId="0" applyAlignment="1" pivotButton="0" quotePrefix="0" xfId="0">
      <alignment wrapText="1"/>
    </xf>
    <xf numFmtId="0" fontId="1" fillId="6" borderId="0" applyAlignment="1" pivotButton="0" quotePrefix="0" xfId="0">
      <alignment horizontal="center" wrapText="1"/>
    </xf>
    <xf numFmtId="0" fontId="0" fillId="6" borderId="1" pivotButton="0" quotePrefix="0" xfId="0"/>
    <xf numFmtId="0" fontId="1" fillId="6" borderId="1" pivotButton="0" quotePrefix="0" xfId="0"/>
    <xf numFmtId="0" fontId="1" fillId="6" borderId="1" applyAlignment="1" pivotButton="0" quotePrefix="0" xfId="0">
      <alignment wrapText="1"/>
    </xf>
    <xf numFmtId="0" fontId="1" fillId="6" borderId="1" applyAlignment="1" pivotButton="0" quotePrefix="0" xfId="0">
      <alignment horizontal="center"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7" borderId="0" applyAlignment="1" pivotButton="0" quotePrefix="0" xfId="0">
      <alignment horizontal="center" wrapText="1"/>
    </xf>
    <xf numFmtId="0" fontId="0" fillId="7" borderId="1" pivotButton="0" quotePrefix="0" xfId="0"/>
    <xf numFmtId="0" fontId="1" fillId="7" borderId="1" pivotButton="0" quotePrefix="0" xfId="0"/>
    <xf numFmtId="0" fontId="1" fillId="7" borderId="1" applyAlignment="1" pivotButton="0" quotePrefix="0" xfId="0">
      <alignment wrapText="1"/>
    </xf>
    <xf numFmtId="0" fontId="1" fillId="7" borderId="1" applyAlignment="1" pivotButton="0" quotePrefix="0" xfId="0">
      <alignment horizontal="center" wrapText="1"/>
    </xf>
    <xf numFmtId="0" fontId="2" fillId="2" borderId="0" pivotButton="0" quotePrefix="0" xfId="0"/>
    <xf numFmtId="0" fontId="2" fillId="2" borderId="0" applyAlignment="1" pivotButton="0" quotePrefix="0" xfId="0">
      <alignment horizontal="center"/>
    </xf>
    <xf numFmtId="0" fontId="2" fillId="2" borderId="1" pivotButton="0" quotePrefix="0" xfId="0"/>
    <xf numFmtId="0" fontId="2" fillId="2" borderId="1" applyAlignment="1" pivotButton="0" quotePrefix="0" xfId="0">
      <alignment horizontal="center"/>
    </xf>
    <xf numFmtId="0" fontId="1" fillId="4" borderId="0" applyAlignment="1" pivotButton="0" quotePrefix="0" xfId="0">
      <alignment horizontal="center"/>
    </xf>
    <xf numFmtId="0" fontId="1" fillId="4" borderId="1" applyAlignment="1" pivotButton="0" quotePrefix="0" xfId="0">
      <alignment horizontal="center"/>
    </xf>
    <xf numFmtId="0" fontId="2" fillId="2" borderId="0" applyAlignment="1" pivotButton="0" quotePrefix="0" xfId="0">
      <alignment horizontal="center" wrapText="1"/>
    </xf>
    <xf numFmtId="0" fontId="2" fillId="2" borderId="1" applyAlignment="1" pivotButton="0" quotePrefix="0" xfId="0">
      <alignment horizontal="center" wrapText="1"/>
    </xf>
    <xf numFmtId="164" fontId="0" fillId="0" borderId="0" applyAlignment="1" pivotButton="0" quotePrefix="0" xfId="0">
      <alignment vertical="top" wrapText="1"/>
    </xf>
    <xf numFmtId="164" fontId="0" fillId="0" borderId="1" applyAlignment="1" pivotButton="0" quotePrefix="0" xfId="0">
      <alignment vertical="top" wrapText="1"/>
    </xf>
    <xf numFmtId="164" fontId="1" fillId="6" borderId="0" applyAlignment="1" pivotButton="0" quotePrefix="0" xfId="0">
      <alignment horizontal="center" wrapText="1"/>
    </xf>
    <xf numFmtId="164" fontId="0" fillId="0" borderId="0" applyAlignment="1" pivotButton="0" quotePrefix="0" xfId="0">
      <alignment vertical="top" wrapText="1"/>
    </xf>
    <xf numFmtId="164" fontId="1" fillId="6" borderId="0" applyAlignment="1" pivotButton="0" quotePrefix="0" xfId="0">
      <alignment horizontal="center" wrapText="1"/>
    </xf>
    <xf numFmtId="0" fontId="3" fillId="8" borderId="1" applyAlignment="1" pivotButton="0" quotePrefix="0" xfId="0">
      <alignment horizontal="center" vertical="center" wrapText="1"/>
    </xf>
    <xf numFmtId="0" fontId="4" fillId="0" borderId="0" pivotButton="0" quotePrefix="0" xfId="0"/>
    <xf numFmtId="0" fontId="5" fillId="8" borderId="2" applyAlignment="1" pivotButton="0" quotePrefix="0" xfId="0">
      <alignment horizontal="center" vertical="center" wrapText="1"/>
    </xf>
    <xf numFmtId="0" fontId="4" fillId="9" borderId="2" pivotButton="0" quotePrefix="0" xfId="0"/>
    <xf numFmtId="0" fontId="0" fillId="9" borderId="2" applyAlignment="1" pivotButton="0" quotePrefix="0" xfId="0">
      <alignment vertical="top" wrapText="1"/>
    </xf>
    <xf numFmtId="0" fontId="0" fillId="0" borderId="5" pivotButton="0" quotePrefix="0" xfId="0"/>
    <xf numFmtId="0" fontId="0" fillId="0" borderId="6" pivotButton="0" quotePrefix="0" xfId="0"/>
    <xf numFmtId="0" fontId="0" fillId="0" borderId="2" applyAlignment="1" pivotButton="0" quotePrefix="0" xfId="0">
      <alignment horizontal="center" vertical="center" wrapText="1"/>
    </xf>
    <xf numFmtId="0" fontId="0" fillId="0" borderId="2" applyAlignment="1" pivotButton="0" quotePrefix="0" xfId="0">
      <alignment vertical="top" wrapText="1"/>
    </xf>
  </cellXfs>
  <cellStyles count="1">
    <cellStyle name="Normal" xfId="0"/>
  </cellStyles>
  <dxfs count="35">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lstStyle/>
          <a:p>
            <a:r>
              <a:rPr/>
              <a:t>ロット別 進捗</a:t>
            </a:r>
          </a:p>
        </rich>
      </tx>
      <overlay val="0"/>
    </title>
    <plotArea>
      <layout/>
      <barChart>
        <barDir val="col"/>
        <grouping val="clustered"/>
        <varyColors val="0"/>
        <ser>
          <idx val="0"/>
          <order val="0"/>
          <tx>
            <v>#NAME?</v>
          </tx>
          <spPr>
            <a:ln>
              <a:prstDash val="solid"/>
            </a:ln>
          </spPr>
          <cat>
            <strRef>
              <f>'ダッシュボード'!$A$11:$A$13</f>
              <strCache>
                <ptCount val="0"/>
              </strCache>
            </strRef>
          </cat>
          <val>
            <numRef>
              <f>'ダッシュボード'!$B$11:$B$13</f>
              <numCache>
                <formatCode>General</formatCode>
                <ptCount val="0"/>
              </numCache>
            </numRef>
          </val>
        </ser>
        <ser>
          <idx val="1"/>
          <order val="1"/>
          <tx>
            <v>#NAME?</v>
          </tx>
          <spPr>
            <a:ln>
              <a:prstDash val="solid"/>
            </a:ln>
          </spPr>
          <cat>
            <strRef>
              <f>'ダッシュボード'!$A$11:$A$13</f>
              <strCache>
                <ptCount val="0"/>
              </strCache>
            </strRef>
          </cat>
          <val>
            <numRef>
              <f>'ダッシュボード'!$C$11:$C$13</f>
              <numCache>
                <formatCode>General</formatCode>
                <ptCount val="0"/>
              </numCache>
            </numRef>
          </val>
        </ser>
        <ser>
          <idx val="2"/>
          <order val="2"/>
          <tx>
            <v>#NAME?</v>
          </tx>
          <spPr>
            <a:ln>
              <a:prstDash val="solid"/>
            </a:ln>
          </spPr>
          <cat>
            <strRef>
              <f>'ダッシュボード'!$A$11:$A$13</f>
              <strCache>
                <ptCount val="0"/>
              </strCache>
            </strRef>
          </cat>
          <val>
            <numRef>
              <f>'ダッシュボード'!$D$11:$D$13</f>
              <numCache>
                <formatCode>General</formatCode>
                <ptCount val="0"/>
              </numCache>
            </numRef>
          </val>
        </ser>
        <ser>
          <idx val="3"/>
          <order val="3"/>
          <tx>
            <v>#NAME?</v>
          </tx>
          <spPr>
            <a:ln>
              <a:prstDash val="solid"/>
            </a:ln>
          </spPr>
          <cat>
            <strRef>
              <f>'ダッシュボード'!$A$11:$A$13</f>
              <strCache>
                <ptCount val="0"/>
              </strCache>
            </strRef>
          </cat>
          <val>
            <numRef>
              <f>'ダッシュボード'!$E$11:$E$13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8</col>
      <colOff>0</colOff>
      <row>2</row>
      <rowOff>0</rowOff>
    </from>
    <to>
      <col>16</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ProductionTable" displayName="ProductionTable" ref="A1:AQ81" headerRowCount="1">
  <tableColumns count="43">
    <tableColumn id="1" name="No"/>
    <tableColumn id="2" name="指定KW"/>
    <tableColumn id="3" name="管理KW"/>
    <tableColumn id="4" name="記事タイトル案"/>
    <tableColumn id="5" name="記事カテゴリ"/>
    <tableColumn id="6" name="記事タイプ"/>
    <tableColumn id="7" name="記事構成型"/>
    <tableColumn id="8" name="文字数目安"/>
    <tableColumn id="9" name="文字数下限"/>
    <tableColumn id="10" name="文字数上限"/>
    <tableColumn id="11" name="優先度"/>
    <tableColumn id="12" name="ロット"/>
    <tableColumn id="13" name="記事ファイル名"/>
    <tableColumn id="14" name="画像ファイル名"/>
    <tableColumn id="15" name="スラッグ"/>
    <tableColumn id="16" name="メタディスクリプション案"/>
    <tableColumn id="17" name="WPカテゴリ"/>
    <tableColumn id="18" name="タグ案"/>
    <tableColumn id="19" name="主訴求サービス"/>
    <tableColumn id="20" name="CTAタイプ"/>
    <tableColumn id="21" name="CTA文"/>
    <tableColumn id="22" name="アイキャッチ主コピー"/>
    <tableColumn id="23" name="アイキャッチサブコピー"/>
    <tableColumn id="24" name="アイキャッチ補助コピー"/>
    <tableColumn id="25" name="背景モチーフ"/>
    <tableColumn id="26" name="人物モチーフ"/>
    <tableColumn id="27" name="地域要素"/>
    <tableColumn id="28" name="アイキャッチ方向性"/>
    <tableColumn id="29" name="記事制作ステータス"/>
    <tableColumn id="30" name="画像制作ステータス"/>
    <tableColumn id="31" name="GitHub反映ステータス"/>
    <tableColumn id="32" name="投稿ステータス"/>
    <tableColumn id="33" name="最終実行モード"/>
    <tableColumn id="34" name="WP投稿ID"/>
    <tableColumn id="35" name="WP投稿URL"/>
    <tableColumn id="36" name="最終投稿日時"/>
    <tableColumn id="37" name="最終更新日時"/>
    <tableColumn id="38" name="文字数実績"/>
    <tableColumn id="39" name="文字数判定"/>
    <tableColumn id="40" name="エラー内容"/>
    <tableColumn id="41" name="内部リンク方針"/>
    <tableColumn id="42" name="砂田塗装型チェック"/>
    <tableColumn id="43" name="備考"/>
  </tableColumns>
  <tableStyleInfo name="TableStyleMedium2" showRowStripes="1"/>
</table>
</file>

<file path=xl/tables/table2.xml><?xml version="1.0" encoding="utf-8"?>
<table xmlns="http://schemas.openxmlformats.org/spreadsheetml/2006/main" id="2" name="EyecatchTable" displayName="EyecatchTable" ref="A1:K81" headerRowCount="1">
  <tableColumns count="11">
    <tableColumn id="1" name="No"/>
    <tableColumn id="2" name="指定KW"/>
    <tableColumn id="3" name="画像ファイル名"/>
    <tableColumn id="4" name="アイキャッチ主コピー"/>
    <tableColumn id="5" name="アイキャッチサブコピー"/>
    <tableColumn id="6" name="補助コピー"/>
    <tableColumn id="7" name="背景モチーフ"/>
    <tableColumn id="8" name="人物モチーフ"/>
    <tableColumn id="9" name="地域要素"/>
    <tableColumn id="10" name="方向性"/>
    <tableColumn id="11" name="備考"/>
  </tableColumns>
  <tableStyleInfo name="TableStyleMedium2" showRowStripes="1"/>
</table>
</file>

<file path=xl/tables/table3.xml><?xml version="1.0" encoding="utf-8"?>
<table xmlns="http://schemas.openxmlformats.org/spreadsheetml/2006/main" id="3" name="RulesTable" displayName="RulesTable" ref="A1:C11" headerRowCount="1">
  <tableColumns count="3">
    <tableColumn id="1" name="区分"/>
    <tableColumn id="2" name="ルール"/>
    <tableColumn id="3" name="詳細"/>
  </tableColumns>
  <tableStyleInfo name="TableStyleMedium2" showRowStripes="1"/>
</table>
</file>

<file path=xl/tables/table4.xml><?xml version="1.0" encoding="utf-8"?>
<table xmlns="http://schemas.openxmlformats.org/spreadsheetml/2006/main" id="4" name="PostLogTable" displayName="PostLogTable" ref="A1:K2" headerRowCount="1">
  <tableColumns count="11">
    <tableColumn id="1" name="実行日時"/>
    <tableColumn id="2" name="No"/>
    <tableColumn id="3" name="指定KW"/>
    <tableColumn id="4" name="mode"/>
    <tableColumn id="5" name="write_mode"/>
    <tableColumn id="6" name="status"/>
    <tableColumn id="7" name="WP投稿ID"/>
    <tableColumn id="8" name="WP投稿URL"/>
    <tableColumn id="9" name="記事ファイル"/>
    <tableColumn id="10" name="画像ファイル"/>
    <tableColumn id="11" name="message"/>
  </tableColumns>
  <tableStyleInfo name="TableStyleMedium2" showRowStripes="1"/>
</table>
</file>

<file path=xl/tables/table5.xml><?xml version="1.0" encoding="utf-8"?>
<table xmlns="http://schemas.openxmlformats.org/spreadsheetml/2006/main" id="5" name="ClaudeMemoTable" displayName="ClaudeMemoTable" ref="A1:B9" headerRowCount="1">
  <tableColumns count="2">
    <tableColumn id="1" name="項目"/>
    <tableColumn id="2" name="内容"/>
  </tableColumns>
  <tableStyleInfo name="TableStyleMedium2" showRowStripes="1"/>
</table>
</file>

<file path=xl/tables/table6.xml><?xml version="1.0" encoding="utf-8"?>
<table xmlns="http://schemas.openxmlformats.org/spreadsheetml/2006/main" id="6" name="OldManagementTable" displayName="OldManagementTable" ref="A1:W81" headerRowCount="1">
  <tableColumns count="23">
    <tableColumn id="1" name="No"/>
    <tableColumn id="2" name="指定KW"/>
    <tableColumn id="3" name="管理KW"/>
    <tableColumn id="4" name="記事タイトル案"/>
    <tableColumn id="5" name="記事カテゴリ"/>
    <tableColumn id="6" name="記事タイプ"/>
    <tableColumn id="7" name="文字数目安"/>
    <tableColumn id="8" name="優先度"/>
    <tableColumn id="9" name="ロット"/>
    <tableColumn id="10" name="アイキャッチ型"/>
    <tableColumn id="11" name="画像内テキスト"/>
    <tableColumn id="12" name="スラッグ"/>
    <tableColumn id="13" name="画像ファイル名"/>
    <tableColumn id="14" name="メタディスクリプション案"/>
    <tableColumn id="15" name="WPカテゴリ"/>
    <tableColumn id="16" name="タグ案"/>
    <tableColumn id="17" name="制作ステータス"/>
    <tableColumn id="18" name="構成ステータス"/>
    <tableColumn id="19" name="本文ステータス"/>
    <tableColumn id="20" name="アイキャッチステータス"/>
    <tableColumn id="21" name="記事URL"/>
    <tableColumn id="22" name="内部リンク方針"/>
    <tableColumn id="23" name="備考"/>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8" customWidth="1" min="1" max="1"/>
    <col width="16" customWidth="1" min="2" max="2"/>
    <col width="22" customWidth="1" min="3" max="3"/>
    <col width="6" customWidth="1" min="4" max="4"/>
    <col width="24" customWidth="1" min="5" max="5"/>
    <col width="16" customWidth="1" min="6" max="6"/>
    <col width="8" customWidth="1" min="7" max="7"/>
  </cols>
  <sheetData>
    <row r="1" ht="64.80000305175781" customHeight="1">
      <c r="A1" s="65" t="inlineStr">
        <is>
          <t>SEO 80KW 制作・投稿管理ダッシュボード</t>
        </is>
      </c>
      <c r="B1" s="1" t="n"/>
      <c r="C1" s="1" t="n"/>
      <c r="D1" s="1" t="n"/>
      <c r="E1" s="1" t="n"/>
      <c r="F1" s="1" t="n"/>
      <c r="G1" s="1" t="n"/>
    </row>
    <row r="2" ht="15" customHeight="1">
      <c r="A2" s="12" t="inlineStr">
        <is>
          <t>更新日時</t>
        </is>
      </c>
      <c r="B2" s="12" t="inlineStr">
        <is>
          <t>2026-06-26 08:25</t>
        </is>
      </c>
      <c r="C2" s="12" t="str"/>
      <c r="D2" s="12" t="str"/>
      <c r="E2" s="12" t="str"/>
      <c r="F2" s="12" t="str"/>
      <c r="G2" s="12" t="str"/>
    </row>
    <row r="3" ht="15" customHeight="1">
      <c r="A3" s="29" t="inlineStr">
        <is>
          <t>KPI</t>
        </is>
      </c>
      <c r="B3" s="29" t="inlineStr">
        <is>
          <t>件数</t>
        </is>
      </c>
      <c r="C3" s="29" t="inlineStr">
        <is>
          <t>メモ</t>
        </is>
      </c>
      <c r="D3" s="29" t="str"/>
      <c r="E3" s="29" t="inlineStr">
        <is>
          <t>ステータス別</t>
        </is>
      </c>
      <c r="F3" s="29" t="inlineStr">
        <is>
          <t>件数</t>
        </is>
      </c>
      <c r="G3" s="29" t="str"/>
    </row>
    <row r="4" ht="15" customHeight="1">
      <c r="A4" s="12" t="inlineStr">
        <is>
          <t>総KW数</t>
        </is>
      </c>
      <c r="B4" s="12">
        <f>COUNTA('制作管理表'!A2:A81)</f>
        <v/>
      </c>
      <c r="C4" s="12" t="inlineStr">
        <is>
          <t>管理対象の総数</t>
        </is>
      </c>
      <c r="D4" s="12" t="str"/>
      <c r="E4" s="12" t="inlineStr">
        <is>
          <t>記事制作：完了</t>
        </is>
      </c>
      <c r="F4" s="12">
        <f>COUNTIF('制作管理表'!AC2:AC81,"完了")</f>
        <v/>
      </c>
      <c r="G4" s="12" t="str"/>
    </row>
    <row r="5" ht="15" customHeight="1">
      <c r="A5" s="12" t="inlineStr">
        <is>
          <t>要再編集</t>
        </is>
      </c>
      <c r="B5" s="12">
        <f>COUNTIF('制作管理表'!AC2:AC81,"要再編集")</f>
        <v/>
      </c>
      <c r="C5" s="12" t="inlineStr">
        <is>
          <t>記事作り直し対象</t>
        </is>
      </c>
      <c r="D5" s="12" t="str"/>
      <c r="E5" s="12" t="inlineStr">
        <is>
          <t>画像：完了</t>
        </is>
      </c>
      <c r="F5" s="12">
        <f>COUNTIF('制作管理表'!AD2:AD81,"完了")</f>
        <v/>
      </c>
      <c r="G5" s="12" t="str"/>
    </row>
    <row r="6" ht="26.39999961853027" customHeight="1">
      <c r="A6" s="12" t="inlineStr">
        <is>
          <t>画像差替必要</t>
        </is>
      </c>
      <c r="B6" s="12">
        <f>COUNTIF('制作管理表'!AD2:AD81,"差替必要")</f>
        <v/>
      </c>
      <c r="C6" s="12" t="inlineStr">
        <is>
          <t>アイキャッチ作り直し対象</t>
        </is>
      </c>
      <c r="D6" s="12" t="str"/>
      <c r="E6" s="12" t="inlineStr">
        <is>
          <t>投稿：下書き投稿済</t>
        </is>
      </c>
      <c r="F6" s="12">
        <f>COUNTIF('制作管理表'!AF2:AF81,"下書き投稿済")</f>
        <v/>
      </c>
      <c r="G6" s="12" t="str"/>
    </row>
    <row r="7" ht="15" customHeight="1">
      <c r="A7" s="12" t="inlineStr">
        <is>
          <t>投稿エラー</t>
        </is>
      </c>
      <c r="B7" s="12">
        <f>COUNTIF('制作管理表'!AF2:AF81,"error")</f>
        <v/>
      </c>
      <c r="C7" s="12" t="inlineStr">
        <is>
          <t>Actions結果を反映</t>
        </is>
      </c>
      <c r="D7" s="12" t="str"/>
      <c r="E7" s="12" t="inlineStr">
        <is>
          <t>文字数OK</t>
        </is>
      </c>
      <c r="F7" s="12">
        <f>COUNTIF('制作管理表'!AM2:AM81,"OK")</f>
        <v/>
      </c>
      <c r="G7" s="12" t="str"/>
    </row>
    <row r="8" ht="15" customHeight="1">
      <c r="A8" s="12" t="str"/>
      <c r="B8" s="12" t="str"/>
      <c r="C8" s="12" t="str"/>
      <c r="D8" s="12" t="str"/>
      <c r="E8" s="12" t="str"/>
      <c r="F8" s="12" t="str"/>
      <c r="G8" s="12" t="str"/>
    </row>
    <row r="9" ht="26.39999961853027" customHeight="1">
      <c r="A9" s="40" t="inlineStr">
        <is>
          <t>ロット</t>
        </is>
      </c>
      <c r="B9" s="40" t="inlineStr">
        <is>
          <t>総数</t>
        </is>
      </c>
      <c r="C9" s="40" t="inlineStr">
        <is>
          <t>記事完了</t>
        </is>
      </c>
      <c r="D9" s="40" t="inlineStr">
        <is>
          <t>画像完了</t>
        </is>
      </c>
      <c r="E9" s="40" t="inlineStr">
        <is>
          <t>投稿済/更新済</t>
        </is>
      </c>
      <c r="F9" s="40" t="inlineStr">
        <is>
          <t>エラー</t>
        </is>
      </c>
      <c r="G9" s="40" t="str"/>
    </row>
    <row r="10" ht="26.39999961853027" customHeight="1">
      <c r="A10" s="12" t="inlineStr">
        <is>
          <t>第1ロット：雨漏り系</t>
        </is>
      </c>
      <c r="B10" s="12">
        <f>COUNTIF('制作管理表'!L2:L81,"第1ロット：雨漏り系")</f>
        <v/>
      </c>
      <c r="C10" s="12">
        <f>COUNTIFS('制作管理表'!L2:L81,"第1ロット：雨漏り系",'制作管理表'!AC2:AC81,"完了")</f>
        <v/>
      </c>
      <c r="D10" s="12">
        <f>COUNTIFS('制作管理表'!L2:L81,"第1ロット：雨漏り系",'制作管理表'!AD2:AD81,"完了")</f>
        <v/>
      </c>
      <c r="E10" s="12">
        <f>COUNTIFS('制作管理表'!L2:L81,"第1ロット：雨漏り系",'制作管理表'!AF2:AF81,"更新済")+COUNTIFS('制作管理表'!L2:L81,"第1ロット：雨漏り系",'制作管理表'!AF2:AF81,"下書き投稿済")</f>
        <v/>
      </c>
      <c r="F10" s="12">
        <f>COUNTIFS('制作管理表'!L2:L81,"第1ロット：雨漏り系",'制作管理表'!AF2:AF81,"error")</f>
        <v/>
      </c>
      <c r="G10" s="12" t="str"/>
    </row>
    <row r="11" ht="26.39999961853027" customHeight="1">
      <c r="A11" s="12" t="inlineStr">
        <is>
          <t>第2ロット：屋根修理・屋根材系</t>
        </is>
      </c>
      <c r="B11" s="12">
        <f>COUNTIF('制作管理表'!L2:L81,"第2ロット：屋根修理・屋根材系")</f>
        <v/>
      </c>
      <c r="C11" s="12">
        <f>COUNTIFS('制作管理表'!L2:L81,"第2ロット：屋根修理・屋根材系",'制作管理表'!AC2:AC81,"完了")</f>
        <v/>
      </c>
      <c r="D11" s="12">
        <f>COUNTIFS('制作管理表'!L2:L81,"第2ロット：屋根修理・屋根材系",'制作管理表'!AD2:AD81,"完了")</f>
        <v/>
      </c>
      <c r="E11" s="12">
        <f>COUNTIFS('制作管理表'!L2:L81,"第2ロット：屋根修理・屋根材系",'制作管理表'!AF2:AF81,"更新済")+COUNTIFS('制作管理表'!L2:L81,"第2ロット：屋根修理・屋根材系",'制作管理表'!AF2:AF81,"下書き投稿済")</f>
        <v/>
      </c>
      <c r="F11" s="12">
        <f>COUNTIFS('制作管理表'!L2:L81,"第2ロット：屋根修理・屋根材系",'制作管理表'!AF2:AF81,"error")</f>
        <v/>
      </c>
      <c r="G11" s="12" t="str"/>
    </row>
    <row r="12" ht="26.39999961853027" customHeight="1">
      <c r="A12" s="12" t="inlineStr">
        <is>
          <t>第3ロット：外壁塗装・防水系</t>
        </is>
      </c>
      <c r="B12" s="12">
        <f>COUNTIF('制作管理表'!L2:L81,"第3ロット：外壁塗装・防水系")</f>
        <v/>
      </c>
      <c r="C12" s="12">
        <f>COUNTIFS('制作管理表'!L2:L81,"第3ロット：外壁塗装・防水系",'制作管理表'!AC2:AC81,"完了")</f>
        <v/>
      </c>
      <c r="D12" s="12">
        <f>COUNTIFS('制作管理表'!L2:L81,"第3ロット：外壁塗装・防水系",'制作管理表'!AD2:AD81,"完了")</f>
        <v/>
      </c>
      <c r="E12" s="12">
        <f>COUNTIFS('制作管理表'!L2:L81,"第3ロット：外壁塗装・防水系",'制作管理表'!AF2:AF81,"更新済")+COUNTIFS('制作管理表'!L2:L81,"第3ロット：外壁塗装・防水系",'制作管理表'!AF2:AF81,"下書き投稿済")</f>
        <v/>
      </c>
      <c r="F12" s="12">
        <f>COUNTIFS('制作管理表'!L2:L81,"第3ロット：外壁塗装・防水系",'制作管理表'!AF2:AF81,"error")</f>
        <v/>
      </c>
      <c r="G12" s="12" t="str"/>
    </row>
    <row r="13" ht="26.39999961853027" customHeight="1">
      <c r="A13" s="12" t="inlineStr">
        <is>
          <t>第4ロット：雨樋・軒天・付帯部系</t>
        </is>
      </c>
      <c r="B13" s="12">
        <f>COUNTIF('制作管理表'!L2:L81,"第4ロット：雨樋・軒天・付帯部系")</f>
        <v/>
      </c>
      <c r="C13" s="12">
        <f>COUNTIFS('制作管理表'!L2:L81,"第4ロット：雨樋・軒天・付帯部系",'制作管理表'!AC2:AC81,"完了")</f>
        <v/>
      </c>
      <c r="D13" s="12">
        <f>COUNTIFS('制作管理表'!L2:L81,"第4ロット：雨樋・軒天・付帯部系",'制作管理表'!AD2:AD81,"完了")</f>
        <v/>
      </c>
      <c r="E13" s="12">
        <f>COUNTIFS('制作管理表'!L2:L81,"第4ロット：雨樋・軒天・付帯部系",'制作管理表'!AF2:AF81,"更新済")+COUNTIFS('制作管理表'!L2:L81,"第4ロット：雨樋・軒天・付帯部系",'制作管理表'!AF2:AF81,"下書き投稿済")</f>
        <v/>
      </c>
      <c r="F13" s="12">
        <f>COUNTIFS('制作管理表'!L2:L81,"第4ロット：雨樋・軒天・付帯部系",'制作管理表'!AF2:AF81,"error")</f>
        <v/>
      </c>
      <c r="G13" s="12" t="str"/>
    </row>
    <row r="14" ht="15" customHeight="1">
      <c r="A14" s="12" t="str"/>
      <c r="B14" s="12" t="str"/>
      <c r="C14" s="12" t="str"/>
      <c r="D14" s="12" t="str"/>
      <c r="E14" s="12" t="str"/>
      <c r="F14" s="12" t="str"/>
      <c r="G14" s="12" t="str"/>
    </row>
    <row r="15" ht="52.79999923706055" customHeight="1">
      <c r="A15" s="12" t="inlineStr">
        <is>
          <t>次にやること</t>
        </is>
      </c>
      <c r="B15" s="12" t="inlineStr">
        <is>
          <t>1. 制作管理表で対象Noを選ぶ</t>
        </is>
      </c>
      <c r="C15" s="12" t="inlineStr">
        <is>
          <t>2. MD記事作成</t>
        </is>
      </c>
      <c r="D15" s="12" t="inlineStr">
        <is>
          <t>3. アイキャッチ作成</t>
        </is>
      </c>
      <c r="E15" s="12" t="inlineStr">
        <is>
          <t>4. GitHub反映</t>
        </is>
      </c>
      <c r="F15" s="12" t="inlineStr">
        <is>
          <t>5. dry-run→draft投稿</t>
        </is>
      </c>
      <c r="G15" s="12" t="str"/>
    </row>
  </sheetData>
  <mergeCells count="1">
    <mergeCell ref="A1:G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Q81"/>
  <sheetViews>
    <sheetView workbookViewId="0">
      <selection activeCell="A1" sqref="A1"/>
    </sheetView>
  </sheetViews>
  <sheetFormatPr baseColWidth="8" defaultRowHeight="15"/>
  <cols>
    <col width="6" customWidth="1" min="1" max="1"/>
    <col width="22" customWidth="1" min="2" max="2"/>
    <col width="22" customWidth="1" min="3" max="3"/>
    <col width="38" customWidth="1" min="4" max="4"/>
    <col width="14" customWidth="1" min="5" max="5"/>
    <col width="16" customWidth="1" min="6" max="6"/>
    <col width="18" customWidth="1" min="7" max="7"/>
    <col width="14" customWidth="1" min="8" max="8"/>
    <col width="10" customWidth="1" min="9" max="9"/>
    <col width="10" customWidth="1" min="10" max="10"/>
    <col width="10" customWidth="1" min="11" max="11"/>
    <col width="22" customWidth="1" min="12" max="12"/>
    <col width="12" customWidth="1" min="13" max="13"/>
    <col width="12" customWidth="1" min="14" max="14"/>
    <col width="28" customWidth="1" min="15" max="15"/>
    <col width="42" customWidth="1" min="16" max="16"/>
    <col width="18" customWidth="1" min="17" max="17"/>
    <col width="28" customWidth="1" min="18" max="18"/>
    <col width="24" customWidth="1" min="19" max="19"/>
    <col width="18" customWidth="1" min="20" max="20"/>
    <col width="44" customWidth="1" min="21" max="21"/>
    <col width="24" customWidth="1" min="22" max="22"/>
    <col width="34" customWidth="1" min="23" max="23"/>
    <col width="32" customWidth="1" min="24" max="24"/>
    <col width="36" customWidth="1" min="25" max="25"/>
    <col width="24" customWidth="1" min="26" max="26"/>
    <col width="12" customWidth="1" min="27" max="27"/>
    <col width="24" customWidth="1" min="28" max="28"/>
    <col width="14" customWidth="1" min="29" max="29"/>
    <col width="14" customWidth="1" min="30" max="30"/>
    <col width="14" customWidth="1" min="31" max="31"/>
    <col width="14" customWidth="1" min="32" max="32"/>
    <col width="16" customWidth="1" min="33" max="33"/>
    <col width="12" customWidth="1" min="34" max="34"/>
    <col width="28" customWidth="1" min="35" max="35"/>
    <col width="18" customWidth="1" min="36" max="36"/>
    <col width="18" customWidth="1" min="37" max="37"/>
    <col width="10" customWidth="1" min="38" max="38"/>
    <col width="10" customWidth="1" min="39" max="39"/>
    <col width="34" customWidth="1" min="40" max="40"/>
    <col width="42" customWidth="1" min="41" max="41"/>
    <col width="38" customWidth="1" min="42" max="42"/>
    <col width="24" customWidth="1" min="43" max="43"/>
  </cols>
  <sheetData>
    <row r="1" ht="34" customHeight="1">
      <c r="A1" s="14" t="inlineStr">
        <is>
          <t>No</t>
        </is>
      </c>
      <c r="B1" s="14" t="inlineStr">
        <is>
          <t>指定KW</t>
        </is>
      </c>
      <c r="C1" s="14" t="inlineStr">
        <is>
          <t>管理KW</t>
        </is>
      </c>
      <c r="D1" s="14" t="inlineStr">
        <is>
          <t>記事タイトル案</t>
        </is>
      </c>
      <c r="E1" s="14" t="inlineStr">
        <is>
          <t>記事カテゴリ</t>
        </is>
      </c>
      <c r="F1" s="14" t="inlineStr">
        <is>
          <t>記事タイプ</t>
        </is>
      </c>
      <c r="G1" s="14" t="inlineStr">
        <is>
          <t>記事構成型</t>
        </is>
      </c>
      <c r="H1" s="14" t="inlineStr">
        <is>
          <t>文字数目安</t>
        </is>
      </c>
      <c r="I1" s="14" t="inlineStr">
        <is>
          <t>文字数下限</t>
        </is>
      </c>
      <c r="J1" s="14" t="inlineStr">
        <is>
          <t>文字数上限</t>
        </is>
      </c>
      <c r="K1" s="14" t="inlineStr">
        <is>
          <t>優先度</t>
        </is>
      </c>
      <c r="L1" s="14" t="inlineStr">
        <is>
          <t>ロット</t>
        </is>
      </c>
      <c r="M1" s="14" t="inlineStr">
        <is>
          <t>記事ファイル名</t>
        </is>
      </c>
      <c r="N1" s="14" t="inlineStr">
        <is>
          <t>画像ファイル名</t>
        </is>
      </c>
      <c r="O1" s="14" t="inlineStr">
        <is>
          <t>スラッグ</t>
        </is>
      </c>
      <c r="P1" s="14" t="inlineStr">
        <is>
          <t>メタディスクリプション案</t>
        </is>
      </c>
      <c r="Q1" s="14" t="inlineStr">
        <is>
          <t>WPカテゴリ</t>
        </is>
      </c>
      <c r="R1" s="14" t="inlineStr">
        <is>
          <t>タグ案</t>
        </is>
      </c>
      <c r="S1" s="18" t="inlineStr">
        <is>
          <t>主訴求サービス</t>
        </is>
      </c>
      <c r="T1" s="18" t="inlineStr">
        <is>
          <t>CTAタイプ</t>
        </is>
      </c>
      <c r="U1" s="18" t="inlineStr">
        <is>
          <t>CTA文</t>
        </is>
      </c>
      <c r="V1" s="20" t="inlineStr">
        <is>
          <t>アイキャッチ主コピー</t>
        </is>
      </c>
      <c r="W1" s="20" t="inlineStr">
        <is>
          <t>アイキャッチサブコピー</t>
        </is>
      </c>
      <c r="X1" s="20" t="inlineStr">
        <is>
          <t>アイキャッチ補助コピー</t>
        </is>
      </c>
      <c r="Y1" s="20" t="inlineStr">
        <is>
          <t>背景モチーフ</t>
        </is>
      </c>
      <c r="Z1" s="20" t="inlineStr">
        <is>
          <t>人物モチーフ</t>
        </is>
      </c>
      <c r="AA1" s="20" t="inlineStr">
        <is>
          <t>地域要素</t>
        </is>
      </c>
      <c r="AB1" s="20" t="inlineStr">
        <is>
          <t>アイキャッチ方向性</t>
        </is>
      </c>
      <c r="AC1" s="22" t="inlineStr">
        <is>
          <t>記事制作ステータス</t>
        </is>
      </c>
      <c r="AD1" s="22" t="inlineStr">
        <is>
          <t>画像制作ステータス</t>
        </is>
      </c>
      <c r="AE1" s="22" t="inlineStr">
        <is>
          <t>GitHub反映ステータス</t>
        </is>
      </c>
      <c r="AF1" s="22" t="inlineStr">
        <is>
          <t>投稿ステータス</t>
        </is>
      </c>
      <c r="AG1" s="22" t="inlineStr">
        <is>
          <t>最終実行モード</t>
        </is>
      </c>
      <c r="AH1" s="22" t="inlineStr">
        <is>
          <t>WP投稿ID</t>
        </is>
      </c>
      <c r="AI1" s="22" t="inlineStr">
        <is>
          <t>WP投稿URL</t>
        </is>
      </c>
      <c r="AJ1" s="22" t="inlineStr">
        <is>
          <t>最終投稿日時</t>
        </is>
      </c>
      <c r="AK1" s="22" t="inlineStr">
        <is>
          <t>最終更新日時</t>
        </is>
      </c>
      <c r="AL1" s="22" t="inlineStr">
        <is>
          <t>文字数実績</t>
        </is>
      </c>
      <c r="AM1" s="22" t="inlineStr">
        <is>
          <t>文字数判定</t>
        </is>
      </c>
      <c r="AN1" s="22" t="inlineStr">
        <is>
          <t>エラー内容</t>
        </is>
      </c>
      <c r="AO1" s="24" t="inlineStr">
        <is>
          <t>内部リンク方針</t>
        </is>
      </c>
      <c r="AP1" s="24" t="inlineStr">
        <is>
          <t>砂田塗装型チェック</t>
        </is>
      </c>
      <c r="AQ1" s="24" t="inlineStr">
        <is>
          <t>備考</t>
        </is>
      </c>
    </row>
    <row r="2">
      <c r="A2" s="15" t="n">
        <v>1</v>
      </c>
      <c r="B2" s="15" t="inlineStr">
        <is>
          <t>松山市 雨漏り修理</t>
        </is>
      </c>
      <c r="C2" s="15" t="inlineStr">
        <is>
          <t>松山市 雨漏り修理</t>
        </is>
      </c>
      <c r="D2" s="15" t="inlineStr">
        <is>
          <t>松山市で雨漏り修理を依頼するなら？原因調査・費用・業者選びを解説</t>
        </is>
      </c>
      <c r="E2" s="15" t="inlineStr">
        <is>
          <t>雨漏り</t>
        </is>
      </c>
      <c r="F2" s="15" t="inlineStr">
        <is>
          <t>地域サービス型</t>
        </is>
      </c>
      <c r="G2" s="15" t="inlineStr">
        <is>
          <t>地域サービス型</t>
        </is>
      </c>
      <c r="H2" s="15" t="inlineStr">
        <is>
          <t>4,500〜6,500字</t>
        </is>
      </c>
      <c r="I2" s="15" t="n">
        <v>4500</v>
      </c>
      <c r="J2" s="15" t="n">
        <v>6500</v>
      </c>
      <c r="K2" s="15" t="inlineStr">
        <is>
          <t>高</t>
        </is>
      </c>
      <c r="L2" s="15" t="inlineStr">
        <is>
          <t>第1ロット：雨漏り系</t>
        </is>
      </c>
      <c r="M2" s="15" t="inlineStr">
        <is>
          <t>001.md</t>
        </is>
      </c>
      <c r="N2" s="15" t="inlineStr">
        <is>
          <t>001.webp</t>
        </is>
      </c>
      <c r="O2" s="15" t="inlineStr">
        <is>
          <t>matsuyama-leak-repair</t>
        </is>
      </c>
      <c r="P2" s="15" t="inlineStr">
        <is>
          <t>松山市 雨漏り修理について、主な原因、放置リスク、修理方法、業者選びのポイントを松山市で検討中の方向けに解説します。</t>
        </is>
      </c>
      <c r="Q2" s="15" t="inlineStr">
        <is>
          <t>雨漏り修理</t>
        </is>
      </c>
      <c r="R2" s="15" t="inlineStr">
        <is>
          <t>松山市、雨漏り、雨漏り修理</t>
        </is>
      </c>
      <c r="S2" s="15" t="inlineStr">
        <is>
          <t>雨漏り無料点検・無料見積り</t>
        </is>
      </c>
      <c r="T2" s="15" t="inlineStr">
        <is>
          <t>雨漏り無料点検CTA</t>
        </is>
      </c>
      <c r="U2" s="15" t="inlineStr">
        <is>
          <t>松山市で雨漏りが気になる方は、まずは無料点検・無料見積りをご利用ください。原因を確認し、必要な工事だけをご提案します。</t>
        </is>
      </c>
      <c r="V2" s="15" t="inlineStr">
        <is>
          <t>松山市の雨漏り修理</t>
        </is>
      </c>
      <c r="W2" s="15" t="inlineStr">
        <is>
          <t>原因・費用・業者選びをプロが解説</t>
        </is>
      </c>
      <c r="X2" s="15" t="inlineStr">
        <is>
          <t>無料点検受付中</t>
        </is>
      </c>
      <c r="Y2" s="15" t="inlineStr">
        <is>
          <t>天井シミ・雨だれ・屋根点検</t>
        </is>
      </c>
      <c r="Z2" s="15" t="inlineStr">
        <is>
          <t>ヘルメットの職人</t>
        </is>
      </c>
      <c r="AA2" s="15" t="inlineStr">
        <is>
          <t>松山市版</t>
        </is>
      </c>
      <c r="AB2" s="15" t="inlineStr">
        <is>
          <t>強めサムネ・雨漏り訴求</t>
        </is>
      </c>
      <c r="AC2" s="15" t="inlineStr">
        <is>
          <t>要再編集</t>
        </is>
      </c>
      <c r="AD2" s="15" t="inlineStr">
        <is>
          <t>画像確認済み</t>
        </is>
      </c>
      <c r="AE2" s="15" t="inlineStr">
        <is>
          <t>要反映</t>
        </is>
      </c>
      <c r="AF2" s="15" t="inlineStr">
        <is>
          <t>posted</t>
        </is>
      </c>
      <c r="AG2" s="15" t="inlineStr">
        <is>
          <t>post/create_only</t>
        </is>
      </c>
      <c r="AH2" s="15" t="n">
        <v>21835</v>
      </c>
      <c r="AI2" s="15" t="inlineStr">
        <is>
          <t>https://www.sunadatosou.com/?p=21835</t>
        </is>
      </c>
      <c r="AJ2" s="69" t="inlineStr">
        <is>
          <t>2026-06-27 16:07:04</t>
        </is>
      </c>
      <c r="AK2" s="69" t="str"/>
      <c r="AL2" s="15" t="n">
        <v>4011</v>
      </c>
      <c r="AM2" s="15" t="inlineStr">
        <is>
          <t>不足(目安4,500〜6,500字)</t>
        </is>
      </c>
      <c r="AN2" s="15" t="inlineStr"/>
      <c r="AO2" s="15" t="inlineStr">
        <is>
          <t>中心記事「松山市の雨漏り修理」へリンク。関連：雨漏り費用・調査・屋根雨漏り。</t>
        </is>
      </c>
      <c r="AP2" s="15" t="inlineStr">
        <is>
          <t>H1なし／この記事でわかること／地域事情／事例／原因・費用／CTA／FAQ</t>
        </is>
      </c>
      <c r="AQ2" s="15" t="str"/>
    </row>
    <row r="3">
      <c r="A3" s="15" t="n">
        <v>2</v>
      </c>
      <c r="B3" s="15" t="inlineStr">
        <is>
          <t>松山市 雨漏り調査</t>
        </is>
      </c>
      <c r="C3" s="15" t="inlineStr">
        <is>
          <t>松山市 雨漏り調査</t>
        </is>
      </c>
      <c r="D3" s="15" t="inlineStr">
        <is>
          <t>松山市の雨漏り調査とは？調査方法・費用・依頼前の注意点</t>
        </is>
      </c>
      <c r="E3" s="15" t="inlineStr">
        <is>
          <t>雨漏り</t>
        </is>
      </c>
      <c r="F3" s="15" t="inlineStr">
        <is>
          <t>地域サービス型</t>
        </is>
      </c>
      <c r="G3" s="15" t="inlineStr">
        <is>
          <t>地域サービス型</t>
        </is>
      </c>
      <c r="H3" s="15" t="inlineStr">
        <is>
          <t>4,500〜6,500字</t>
        </is>
      </c>
      <c r="I3" s="15" t="n">
        <v>4500</v>
      </c>
      <c r="J3" s="15" t="n">
        <v>6500</v>
      </c>
      <c r="K3" s="15" t="inlineStr">
        <is>
          <t>高</t>
        </is>
      </c>
      <c r="L3" s="15" t="inlineStr">
        <is>
          <t>第1ロット：雨漏り系</t>
        </is>
      </c>
      <c r="M3" s="15" t="inlineStr">
        <is>
          <t>002.md</t>
        </is>
      </c>
      <c r="N3" s="15" t="inlineStr">
        <is>
          <t>002.webp</t>
        </is>
      </c>
      <c r="O3" s="15" t="inlineStr">
        <is>
          <t>matsuyama-leak-investigation</t>
        </is>
      </c>
      <c r="P3" s="15" t="inlineStr">
        <is>
          <t>松山市 雨漏り調査について、主な原因、放置リスク、修理方法、業者選びのポイントを松山市で検討中の方向けに解説します。</t>
        </is>
      </c>
      <c r="Q3" s="15" t="inlineStr">
        <is>
          <t>雨漏り修理</t>
        </is>
      </c>
      <c r="R3" s="15" t="inlineStr">
        <is>
          <t>松山市、雨漏り、雨漏り修理</t>
        </is>
      </c>
      <c r="S3" s="15" t="inlineStr">
        <is>
          <t>写真付き劣化診断書</t>
        </is>
      </c>
      <c r="T3" s="15" t="inlineStr">
        <is>
          <t>写真付き診断CTA</t>
        </is>
      </c>
      <c r="U3" s="15" t="inlineStr">
        <is>
          <t>調査後は写真付きで劣化箇所を共有し、雨水の侵入口や修理範囲を分かりやすくご説明します。</t>
        </is>
      </c>
      <c r="V3" s="15" t="inlineStr">
        <is>
          <t>雨漏り調査は原因特定が命</t>
        </is>
      </c>
      <c r="W3" s="15" t="inlineStr">
        <is>
          <t>散水調査・写真付き診断を解説</t>
        </is>
      </c>
      <c r="X3" s="15" t="inlineStr">
        <is>
          <t>見えない侵入口を確認</t>
        </is>
      </c>
      <c r="Y3" s="15" t="inlineStr">
        <is>
          <t>外壁ひび割れ・サッシ・虫眼鏡</t>
        </is>
      </c>
      <c r="Z3" s="15" t="inlineStr">
        <is>
          <t>虫眼鏡を持つ職人</t>
        </is>
      </c>
      <c r="AA3" s="15" t="inlineStr">
        <is>
          <t>松山市版</t>
        </is>
      </c>
      <c r="AB3" s="15" t="inlineStr">
        <is>
          <t>調査訴求・原因特定</t>
        </is>
      </c>
      <c r="AC3" s="15" t="inlineStr">
        <is>
          <t>要再編集</t>
        </is>
      </c>
      <c r="AD3" s="15" t="inlineStr">
        <is>
          <t>画像確認済み</t>
        </is>
      </c>
      <c r="AE3" s="15" t="inlineStr">
        <is>
          <t>要反映</t>
        </is>
      </c>
      <c r="AF3" s="15" t="inlineStr">
        <is>
          <t>posted</t>
        </is>
      </c>
      <c r="AG3" s="15" t="inlineStr">
        <is>
          <t>post/create_only</t>
        </is>
      </c>
      <c r="AH3" s="15" t="n">
        <v>21839</v>
      </c>
      <c r="AI3" s="15" t="inlineStr">
        <is>
          <t>https://www.sunadatosou.com/?p=21839</t>
        </is>
      </c>
      <c r="AJ3" s="69" t="inlineStr">
        <is>
          <t>2026-06-27 16:21:10</t>
        </is>
      </c>
      <c r="AK3" s="69" t="str"/>
      <c r="AL3" s="15" t="n">
        <v>4128</v>
      </c>
      <c r="AM3" s="15" t="inlineStr">
        <is>
          <t>不足(目安4,500〜6,500字)</t>
        </is>
      </c>
      <c r="AN3" s="15" t="inlineStr"/>
      <c r="AO3" s="15" t="inlineStr">
        <is>
          <t>中心記事「松山市の雨漏り修理」へリンク。関連：雨漏り費用・調査・屋根雨漏り。</t>
        </is>
      </c>
      <c r="AP3" s="15" t="inlineStr">
        <is>
          <t>H1なし／この記事でわかること／地域事情／事例／原因・費用／CTA／FAQ</t>
        </is>
      </c>
      <c r="AQ3" s="15" t="str"/>
    </row>
    <row r="4">
      <c r="A4" s="15" t="n">
        <v>3</v>
      </c>
      <c r="B4" s="15" t="inlineStr">
        <is>
          <t>松山市 雨漏り診断</t>
        </is>
      </c>
      <c r="C4" s="15" t="inlineStr">
        <is>
          <t>松山市 雨漏り診断</t>
        </is>
      </c>
      <c r="D4" s="15" t="inlineStr">
        <is>
          <t>松山市の雨漏り診断でわかること｜原因特定と修理前の確認ポイント</t>
        </is>
      </c>
      <c r="E4" s="15" t="inlineStr">
        <is>
          <t>雨漏り</t>
        </is>
      </c>
      <c r="F4" s="15" t="inlineStr">
        <is>
          <t>地域サービス型</t>
        </is>
      </c>
      <c r="G4" s="15" t="inlineStr">
        <is>
          <t>地域サービス型</t>
        </is>
      </c>
      <c r="H4" s="15" t="inlineStr">
        <is>
          <t>4,500〜6,500字</t>
        </is>
      </c>
      <c r="I4" s="15" t="n">
        <v>4500</v>
      </c>
      <c r="J4" s="15" t="n">
        <v>6500</v>
      </c>
      <c r="K4" s="15" t="inlineStr">
        <is>
          <t>高</t>
        </is>
      </c>
      <c r="L4" s="15" t="inlineStr">
        <is>
          <t>第1ロット：雨漏り系</t>
        </is>
      </c>
      <c r="M4" s="15" t="inlineStr">
        <is>
          <t>003.md</t>
        </is>
      </c>
      <c r="N4" s="15" t="inlineStr">
        <is>
          <t>003.webp</t>
        </is>
      </c>
      <c r="O4" s="15" t="inlineStr">
        <is>
          <t>matsuyama-leak-diagnosis</t>
        </is>
      </c>
      <c r="P4" s="15" t="inlineStr">
        <is>
          <t>松山市 雨漏り診断について、主な原因、放置リスク、修理方法、業者選びのポイントを松山市で検討中の方向けに解説します。</t>
        </is>
      </c>
      <c r="Q4" s="15" t="inlineStr">
        <is>
          <t>雨漏り修理</t>
        </is>
      </c>
      <c r="R4" s="15" t="inlineStr">
        <is>
          <t>松山市、雨漏り、雨漏り修理</t>
        </is>
      </c>
      <c r="S4" s="15" t="inlineStr">
        <is>
          <t>外装劣化診断（無料現地調査）</t>
        </is>
      </c>
      <c r="T4" s="15" t="inlineStr">
        <is>
          <t>外装劣化診断CTA</t>
        </is>
      </c>
      <c r="U4" s="15" t="inlineStr">
        <is>
          <t>外壁・屋根・付帯部を無料現地調査し、今すぐ必要な工事と様子を見られる箇所を分けてご案内します。</t>
        </is>
      </c>
      <c r="V4" s="15" t="inlineStr">
        <is>
          <t>これって雨漏り？</t>
        </is>
      </c>
      <c r="W4" s="15" t="inlineStr">
        <is>
          <t>天井シミ・壁紙浮き・カビ臭を確認</t>
        </is>
      </c>
      <c r="X4" s="15" t="inlineStr">
        <is>
          <t>無料現地診断でチェック</t>
        </is>
      </c>
      <c r="Y4" s="15" t="inlineStr">
        <is>
          <t>住宅外観・チェックリスト・雨染み</t>
        </is>
      </c>
      <c r="Z4" s="15" t="inlineStr">
        <is>
          <t>困った住人＋職人</t>
        </is>
      </c>
      <c r="AA4" s="15" t="inlineStr">
        <is>
          <t>松山市版</t>
        </is>
      </c>
      <c r="AB4" s="15" t="inlineStr">
        <is>
          <t>診断訴求・不安解消</t>
        </is>
      </c>
      <c r="AC4" s="15" t="inlineStr">
        <is>
          <t>要再編集</t>
        </is>
      </c>
      <c r="AD4" s="15" t="inlineStr">
        <is>
          <t>画像確認済み</t>
        </is>
      </c>
      <c r="AE4" s="15" t="inlineStr">
        <is>
          <t>要反映</t>
        </is>
      </c>
      <c r="AF4" s="15" t="inlineStr">
        <is>
          <t>posted</t>
        </is>
      </c>
      <c r="AG4" s="15" t="inlineStr">
        <is>
          <t>post/create_only</t>
        </is>
      </c>
      <c r="AH4" s="15" t="n">
        <v>21841</v>
      </c>
      <c r="AI4" s="15" t="inlineStr">
        <is>
          <t>https://www.sunadatosou.com/?p=21841</t>
        </is>
      </c>
      <c r="AJ4" s="69" t="inlineStr">
        <is>
          <t>2026-06-27 16:21:18</t>
        </is>
      </c>
      <c r="AK4" s="69" t="str"/>
      <c r="AL4" s="15" t="n">
        <v>4029</v>
      </c>
      <c r="AM4" s="15" t="inlineStr">
        <is>
          <t>不足(目安4,500〜6,500字)</t>
        </is>
      </c>
      <c r="AN4" s="15" t="inlineStr"/>
      <c r="AO4" s="15" t="inlineStr">
        <is>
          <t>中心記事「松山市の雨漏り修理」へリンク。関連：雨漏り費用・調査・屋根雨漏り。</t>
        </is>
      </c>
      <c r="AP4" s="15" t="inlineStr">
        <is>
          <t>H1なし／この記事でわかること／地域事情／事例／原因・費用／CTA／FAQ</t>
        </is>
      </c>
      <c r="AQ4" s="15" t="str"/>
    </row>
    <row r="5">
      <c r="A5" s="15" t="n">
        <v>4</v>
      </c>
      <c r="B5" s="15" t="inlineStr">
        <is>
          <t>松山市 雨漏り業者</t>
        </is>
      </c>
      <c r="C5" s="15" t="inlineStr">
        <is>
          <t>松山市 雨漏り業者</t>
        </is>
      </c>
      <c r="D5" s="15" t="inlineStr">
        <is>
          <t>松山市で雨漏り業者を選ぶポイント｜失敗しない比較方法を解説</t>
        </is>
      </c>
      <c r="E5" s="15" t="inlineStr">
        <is>
          <t>雨漏り</t>
        </is>
      </c>
      <c r="F5" s="15" t="inlineStr">
        <is>
          <t>地域サービス型</t>
        </is>
      </c>
      <c r="G5" s="15" t="inlineStr">
        <is>
          <t>業者選び型</t>
        </is>
      </c>
      <c r="H5" s="15" t="inlineStr">
        <is>
          <t>5,000〜7,000字</t>
        </is>
      </c>
      <c r="I5" s="15" t="n">
        <v>5000</v>
      </c>
      <c r="J5" s="15" t="n">
        <v>7000</v>
      </c>
      <c r="K5" s="15" t="inlineStr">
        <is>
          <t>高</t>
        </is>
      </c>
      <c r="L5" s="15" t="inlineStr">
        <is>
          <t>第1ロット：雨漏り系</t>
        </is>
      </c>
      <c r="M5" s="15" t="inlineStr">
        <is>
          <t>004.md</t>
        </is>
      </c>
      <c r="N5" s="15" t="inlineStr">
        <is>
          <t>004.webp</t>
        </is>
      </c>
      <c r="O5" s="15" t="inlineStr">
        <is>
          <t>matsuyama-leak-contractor</t>
        </is>
      </c>
      <c r="P5" s="15" t="inlineStr">
        <is>
          <t>松山市 雨漏り業者について、主な原因、放置リスク、修理方法、業者選びのポイントを松山市で検討中の方向けに解説します。</t>
        </is>
      </c>
      <c r="Q5" s="15" t="inlineStr">
        <is>
          <t>雨漏り修理</t>
        </is>
      </c>
      <c r="R5" s="15" t="inlineStr">
        <is>
          <t>松山市、雨漏り、雨漏り修理</t>
        </is>
      </c>
      <c r="S5" s="15" t="inlineStr">
        <is>
          <t>国家資格者診断・必要な工事だけ提案</t>
        </is>
      </c>
      <c r="T5" s="15" t="inlineStr">
        <is>
          <t>外装劣化診断CTA</t>
        </is>
      </c>
      <c r="U5" s="15" t="inlineStr">
        <is>
          <t>外壁・屋根・付帯部を無料現地調査し、今すぐ必要な工事と様子を見られる箇所を分けてご案内します。</t>
        </is>
      </c>
      <c r="V5" s="15" t="inlineStr">
        <is>
          <t>雨漏り業者の選び方</t>
        </is>
      </c>
      <c r="W5" s="15" t="inlineStr">
        <is>
          <t>安さだけで選ぶと危険!?</t>
        </is>
      </c>
      <c r="X5" s="15" t="inlineStr">
        <is>
          <t>見積り・保証・原因説明</t>
        </is>
      </c>
      <c r="Y5" s="15" t="inlineStr">
        <is>
          <t>見積書・住宅外観・比較表</t>
        </is>
      </c>
      <c r="Z5" s="15" t="inlineStr">
        <is>
          <t>考える住人＋職人</t>
        </is>
      </c>
      <c r="AA5" s="15" t="inlineStr">
        <is>
          <t>松山市版</t>
        </is>
      </c>
      <c r="AB5" s="15" t="inlineStr">
        <is>
          <t>業者選び訴求</t>
        </is>
      </c>
      <c r="AC5" s="15" t="inlineStr">
        <is>
          <t>要再編集</t>
        </is>
      </c>
      <c r="AD5" s="15" t="inlineStr">
        <is>
          <t>画像確認済み</t>
        </is>
      </c>
      <c r="AE5" s="15" t="inlineStr">
        <is>
          <t>要反映</t>
        </is>
      </c>
      <c r="AF5" s="15" t="inlineStr">
        <is>
          <t>posted</t>
        </is>
      </c>
      <c r="AG5" s="15" t="inlineStr">
        <is>
          <t>post/create_only</t>
        </is>
      </c>
      <c r="AH5" s="15" t="n">
        <v>21843</v>
      </c>
      <c r="AI5" s="15" t="inlineStr">
        <is>
          <t>https://www.sunadatosou.com/?p=21843</t>
        </is>
      </c>
      <c r="AJ5" s="69" t="inlineStr">
        <is>
          <t>2026-06-27 16:21:27</t>
        </is>
      </c>
      <c r="AK5" s="69" t="str"/>
      <c r="AL5" s="15" t="n">
        <v>4587</v>
      </c>
      <c r="AM5" s="15" t="inlineStr">
        <is>
          <t>不足(目安5,000〜7,000字)</t>
        </is>
      </c>
      <c r="AN5" s="15" t="inlineStr"/>
      <c r="AO5" s="15" t="inlineStr">
        <is>
          <t>中心記事「松山市の雨漏り修理」へリンク。関連：雨漏り費用・調査・屋根雨漏り。</t>
        </is>
      </c>
      <c r="AP5" s="15" t="inlineStr">
        <is>
          <t>H1なし／この記事でわかること／地域事情／事例／原因・費用／CTA／FAQ</t>
        </is>
      </c>
      <c r="AQ5" s="15" t="str"/>
    </row>
    <row r="6">
      <c r="A6" s="15" t="n">
        <v>5</v>
      </c>
      <c r="B6" s="15" t="inlineStr">
        <is>
          <t>松山市 雨漏り修理 費用</t>
        </is>
      </c>
      <c r="C6" s="15" t="inlineStr">
        <is>
          <t>松山市 雨漏り修理 費用</t>
        </is>
      </c>
      <c r="D6" s="15" t="inlineStr">
        <is>
          <t>松山市の雨漏り修理費用はいくら？相場・内訳・業者選びを解説</t>
        </is>
      </c>
      <c r="E6" s="15" t="inlineStr">
        <is>
          <t>雨漏り</t>
        </is>
      </c>
      <c r="F6" s="15" t="inlineStr">
        <is>
          <t>地域サービス型</t>
        </is>
      </c>
      <c r="G6" s="15" t="inlineStr">
        <is>
          <t>費用・相場型</t>
        </is>
      </c>
      <c r="H6" s="15" t="inlineStr">
        <is>
          <t>5,000〜7,000字</t>
        </is>
      </c>
      <c r="I6" s="15" t="n">
        <v>5000</v>
      </c>
      <c r="J6" s="15" t="n">
        <v>7000</v>
      </c>
      <c r="K6" s="15" t="inlineStr">
        <is>
          <t>高</t>
        </is>
      </c>
      <c r="L6" s="15" t="inlineStr">
        <is>
          <t>第1ロット：雨漏り系</t>
        </is>
      </c>
      <c r="M6" s="15" t="inlineStr">
        <is>
          <t>005.md</t>
        </is>
      </c>
      <c r="N6" s="15" t="inlineStr">
        <is>
          <t>005.webp</t>
        </is>
      </c>
      <c r="O6" s="15" t="inlineStr">
        <is>
          <t>matsuyama-leak-repair-cost</t>
        </is>
      </c>
      <c r="P6" s="15" t="inlineStr">
        <is>
          <t>松山市 雨漏り修理 費用について、費用相場、内訳、金額が変わる要因、見積もり時の注意点をわかりやすく解説します。</t>
        </is>
      </c>
      <c r="Q6" s="15" t="inlineStr">
        <is>
          <t>雨漏り修理</t>
        </is>
      </c>
      <c r="R6" s="15" t="inlineStr">
        <is>
          <t>松山市、雨漏り、費用、雨漏り修理</t>
        </is>
      </c>
      <c r="S6" s="15" t="inlineStr">
        <is>
          <t>無料見積り・費用根拠の見える化</t>
        </is>
      </c>
      <c r="T6" s="15" t="inlineStr">
        <is>
          <t>無料見積りCTA</t>
        </is>
      </c>
      <c r="U6" s="15" t="inlineStr">
        <is>
          <t>費用は原因箇所や補修範囲で変わります。現地調査で状態を確認し、見積もりの根拠を写真付きでご説明します。</t>
        </is>
      </c>
      <c r="V6" s="15" t="inlineStr">
        <is>
          <t>雨漏り修理の費用はいくら？</t>
        </is>
      </c>
      <c r="W6" s="15" t="inlineStr">
        <is>
          <t>相場と内訳を職人が解説</t>
        </is>
      </c>
      <c r="X6" s="15" t="inlineStr">
        <is>
          <t>応急処置／屋根補修／防水工事</t>
        </is>
      </c>
      <c r="Y6" s="15" t="inlineStr">
        <is>
          <t>見積書・天井シミ・屋根修理の現場</t>
        </is>
      </c>
      <c r="Z6" s="15" t="inlineStr">
        <is>
          <t>不安そうな住人＋職人</t>
        </is>
      </c>
      <c r="AA6" s="15" t="inlineStr">
        <is>
          <t>松山市版</t>
        </is>
      </c>
      <c r="AB6" s="15" t="inlineStr">
        <is>
          <t>強めサムネ・費用訴求</t>
        </is>
      </c>
      <c r="AC6" s="15" t="inlineStr">
        <is>
          <t>要再編集</t>
        </is>
      </c>
      <c r="AD6" s="15" t="inlineStr">
        <is>
          <t>画像確認済み</t>
        </is>
      </c>
      <c r="AE6" s="15" t="inlineStr">
        <is>
          <t>要反映</t>
        </is>
      </c>
      <c r="AF6" s="15" t="inlineStr">
        <is>
          <t>posted</t>
        </is>
      </c>
      <c r="AG6" s="15" t="inlineStr">
        <is>
          <t>post/create_only</t>
        </is>
      </c>
      <c r="AH6" s="15" t="n">
        <v>21845</v>
      </c>
      <c r="AI6" s="15" t="inlineStr">
        <is>
          <t>https://www.sunadatosou.com/?p=21845</t>
        </is>
      </c>
      <c r="AJ6" s="69" t="inlineStr">
        <is>
          <t>2026-06-27 16:21:37</t>
        </is>
      </c>
      <c r="AK6" s="69" t="str"/>
      <c r="AL6" s="15" t="n">
        <v>4551</v>
      </c>
      <c r="AM6" s="15" t="inlineStr">
        <is>
          <t>不足(目安5,000〜7,000字)</t>
        </is>
      </c>
      <c r="AN6" s="15" t="inlineStr"/>
      <c r="AO6" s="15" t="inlineStr">
        <is>
          <t>中心記事「松山市の雨漏り修理」へリンク。関連：雨漏り費用・調査・屋根雨漏り。</t>
        </is>
      </c>
      <c r="AP6" s="15" t="inlineStr">
        <is>
          <t>H1なし／この記事でわかること／地域事情／事例／原因・費用／CTA／FAQ</t>
        </is>
      </c>
      <c r="AQ6" s="15" t="str"/>
    </row>
    <row r="7">
      <c r="A7" s="15" t="n">
        <v>6</v>
      </c>
      <c r="B7" s="15" t="inlineStr">
        <is>
          <t>松山市 雨漏り 原因</t>
        </is>
      </c>
      <c r="C7" s="15" t="inlineStr">
        <is>
          <t>松山市 雨漏り 原因</t>
        </is>
      </c>
      <c r="D7" s="15" t="inlineStr">
        <is>
          <t>松山市で多い雨漏りの原因とは？屋根・外壁・ベランダ別に解説</t>
        </is>
      </c>
      <c r="E7" s="15" t="inlineStr">
        <is>
          <t>雨漏り</t>
        </is>
      </c>
      <c r="F7" s="15" t="inlineStr">
        <is>
          <t>地域サービス型</t>
        </is>
      </c>
      <c r="G7" s="15" t="inlineStr">
        <is>
          <t>原因・症状解説型</t>
        </is>
      </c>
      <c r="H7" s="15" t="inlineStr">
        <is>
          <t>4,500〜6,500字</t>
        </is>
      </c>
      <c r="I7" s="15" t="n">
        <v>4500</v>
      </c>
      <c r="J7" s="15" t="n">
        <v>6500</v>
      </c>
      <c r="K7" s="15" t="inlineStr">
        <is>
          <t>高</t>
        </is>
      </c>
      <c r="L7" s="15" t="inlineStr">
        <is>
          <t>第1ロット：雨漏り系</t>
        </is>
      </c>
      <c r="M7" s="15" t="inlineStr">
        <is>
          <t>006.md</t>
        </is>
      </c>
      <c r="N7" s="15" t="inlineStr">
        <is>
          <t>006.webp</t>
        </is>
      </c>
      <c r="O7" s="15" t="inlineStr">
        <is>
          <t>matsuyama-leak-cause</t>
        </is>
      </c>
      <c r="P7" s="15" t="inlineStr">
        <is>
          <t>松山市 雨漏り 原因について、主な原因、放置リスク、修理方法、業者選びのポイントを松山市で検討中の方向けに解説します。</t>
        </is>
      </c>
      <c r="Q7" s="15" t="inlineStr">
        <is>
          <t>雨漏り修理</t>
        </is>
      </c>
      <c r="R7" s="15" t="inlineStr">
        <is>
          <t>松山市、雨漏り、雨漏り修理</t>
        </is>
      </c>
      <c r="S7" s="15" t="inlineStr">
        <is>
          <t>雨漏り無料点検・無料見積り</t>
        </is>
      </c>
      <c r="T7" s="15" t="inlineStr">
        <is>
          <t>雨漏り無料点検CTA</t>
        </is>
      </c>
      <c r="U7" s="15" t="inlineStr">
        <is>
          <t>松山市で雨漏りが気になる方は、まずは無料点検・無料見積りをご利用ください。原因を確認し、必要な工事だけをご提案します。</t>
        </is>
      </c>
      <c r="V7" s="15" t="inlineStr">
        <is>
          <t>雨漏り 原因の原因は？</t>
        </is>
      </c>
      <c r="W7" s="15" t="inlineStr">
        <is>
          <t>放置リスクと対処法を解説</t>
        </is>
      </c>
      <c r="X7" s="15" t="inlineStr">
        <is>
          <t>早めの確認が大切</t>
        </is>
      </c>
      <c r="Y7" s="15" t="inlineStr">
        <is>
          <t>劣化箇所の拡大・雨染み・ひび割れ</t>
        </is>
      </c>
      <c r="Z7" s="15" t="inlineStr">
        <is>
          <t>職人</t>
        </is>
      </c>
      <c r="AA7" s="15" t="inlineStr">
        <is>
          <t>松山市版</t>
        </is>
      </c>
      <c r="AB7" s="15" t="inlineStr">
        <is>
          <t>原因解説訴求</t>
        </is>
      </c>
      <c r="AC7" s="15" t="inlineStr">
        <is>
          <t>未着手</t>
        </is>
      </c>
      <c r="AD7" s="15" t="inlineStr">
        <is>
          <t>未着手</t>
        </is>
      </c>
      <c r="AE7" s="15" t="inlineStr">
        <is>
          <t>未反映</t>
        </is>
      </c>
      <c r="AF7" s="15" t="inlineStr">
        <is>
          <t>未投稿</t>
        </is>
      </c>
      <c r="AG7" s="15" t="inlineStr">
        <is>
          <t>create_only</t>
        </is>
      </c>
      <c r="AH7" s="15" t="str"/>
      <c r="AI7" s="15" t="str"/>
      <c r="AJ7" s="69" t="str"/>
      <c r="AK7" s="69" t="str"/>
      <c r="AL7" s="15" t="str"/>
      <c r="AM7" s="15">
        <f>IF(AL7="","",IF(AL7&lt;I7,"不足",IF(AL7&gt;J7,"超過","OK")))</f>
        <v/>
      </c>
      <c r="AN7" s="15" t="str"/>
      <c r="AO7" s="15" t="inlineStr">
        <is>
          <t>中心記事「松山市の雨漏り修理」へリンク。関連：雨漏り費用・調査・屋根雨漏り。</t>
        </is>
      </c>
      <c r="AP7" s="15" t="inlineStr">
        <is>
          <t>H1なし／この記事でわかること／地域事情／事例／原因・費用／CTA／FAQ</t>
        </is>
      </c>
      <c r="AQ7" s="15" t="str"/>
    </row>
    <row r="8">
      <c r="A8" s="15" t="n">
        <v>7</v>
      </c>
      <c r="B8" s="15" t="inlineStr">
        <is>
          <t>松山市 ベランダ雨漏り</t>
        </is>
      </c>
      <c r="C8" s="15" t="inlineStr">
        <is>
          <t>松山市 ベランダ雨漏り</t>
        </is>
      </c>
      <c r="D8" s="15" t="inlineStr">
        <is>
          <t>松山市のベランダ雨漏りはなぜ起こる？原因・修理費用・防水対策</t>
        </is>
      </c>
      <c r="E8" s="15" t="inlineStr">
        <is>
          <t>雨漏り</t>
        </is>
      </c>
      <c r="F8" s="15" t="inlineStr">
        <is>
          <t>地域サービス型</t>
        </is>
      </c>
      <c r="G8" s="15" t="inlineStr">
        <is>
          <t>地域サービス型</t>
        </is>
      </c>
      <c r="H8" s="15" t="inlineStr">
        <is>
          <t>4,500〜6,500字</t>
        </is>
      </c>
      <c r="I8" s="15" t="n">
        <v>4500</v>
      </c>
      <c r="J8" s="15" t="n">
        <v>6500</v>
      </c>
      <c r="K8" s="15" t="inlineStr">
        <is>
          <t>高</t>
        </is>
      </c>
      <c r="L8" s="15" t="inlineStr">
        <is>
          <t>第1ロット：雨漏り系</t>
        </is>
      </c>
      <c r="M8" s="15" t="inlineStr">
        <is>
          <t>007.md</t>
        </is>
      </c>
      <c r="N8" s="15" t="inlineStr">
        <is>
          <t>007.webp</t>
        </is>
      </c>
      <c r="O8" s="15" t="inlineStr">
        <is>
          <t>matsuyama-balcony-leak</t>
        </is>
      </c>
      <c r="P8" s="15" t="inlineStr">
        <is>
          <t>松山市 ベランダ雨漏りについて、主な原因、放置リスク、修理方法、業者選びのポイントを松山市で検討中の方向けに解説します。</t>
        </is>
      </c>
      <c r="Q8" s="15" t="inlineStr">
        <is>
          <t>雨漏り修理</t>
        </is>
      </c>
      <c r="R8" s="15" t="inlineStr">
        <is>
          <t>松山市、雨漏り、雨漏り修理</t>
        </is>
      </c>
      <c r="S8" s="15" t="inlineStr">
        <is>
          <t>雨漏り無料点検・無料見積り</t>
        </is>
      </c>
      <c r="T8" s="15" t="inlineStr">
        <is>
          <t>雨漏り無料点検CTA</t>
        </is>
      </c>
      <c r="U8" s="15" t="inlineStr">
        <is>
          <t>松山市で雨漏りが気になる方は、まずは無料点検・無料見積りをご利用ください。原因を確認し、必要な工事だけをご提案します。</t>
        </is>
      </c>
      <c r="V8" s="15" t="inlineStr">
        <is>
          <t>ベランダ雨漏り</t>
        </is>
      </c>
      <c r="W8" s="15" t="inlineStr">
        <is>
          <t>雨漏り前に防水状態をチェック</t>
        </is>
      </c>
      <c r="X8" s="15" t="inlineStr">
        <is>
          <t>費用・耐用年数を解説</t>
        </is>
      </c>
      <c r="Y8" s="15" t="inlineStr">
        <is>
          <t>ベランダ床・防水層・排水口</t>
        </is>
      </c>
      <c r="Z8" s="15" t="inlineStr">
        <is>
          <t>点検する職人</t>
        </is>
      </c>
      <c r="AA8" s="15" t="inlineStr">
        <is>
          <t>松山市版</t>
        </is>
      </c>
      <c r="AB8" s="15" t="inlineStr">
        <is>
          <t>防水訴求</t>
        </is>
      </c>
      <c r="AC8" s="15" t="inlineStr">
        <is>
          <t>未着手</t>
        </is>
      </c>
      <c r="AD8" s="15" t="inlineStr">
        <is>
          <t>未着手</t>
        </is>
      </c>
      <c r="AE8" s="15" t="inlineStr">
        <is>
          <t>未反映</t>
        </is>
      </c>
      <c r="AF8" s="15" t="inlineStr">
        <is>
          <t>未投稿</t>
        </is>
      </c>
      <c r="AG8" s="15" t="inlineStr">
        <is>
          <t>create_only</t>
        </is>
      </c>
      <c r="AH8" s="15" t="str"/>
      <c r="AI8" s="15" t="str"/>
      <c r="AJ8" s="69" t="str"/>
      <c r="AK8" s="69" t="str"/>
      <c r="AL8" s="15" t="str"/>
      <c r="AM8" s="15">
        <f>IF(AL8="","",IF(AL8&lt;I8,"不足",IF(AL8&gt;J8,"超過","OK")))</f>
        <v/>
      </c>
      <c r="AN8" s="15" t="str"/>
      <c r="AO8" s="15" t="inlineStr">
        <is>
          <t>中心記事「松山市の雨漏り修理」へリンク。関連：雨漏り費用・調査・屋根雨漏り。</t>
        </is>
      </c>
      <c r="AP8" s="15" t="inlineStr">
        <is>
          <t>H1なし／この記事でわかること／地域事情／事例／原因・費用／CTA／FAQ</t>
        </is>
      </c>
      <c r="AQ8" s="15" t="str"/>
    </row>
    <row r="9">
      <c r="A9" s="15" t="n">
        <v>8</v>
      </c>
      <c r="B9" s="15" t="inlineStr">
        <is>
          <t>松山市 サッシ雨漏り</t>
        </is>
      </c>
      <c r="C9" s="15" t="inlineStr">
        <is>
          <t>松山市 サッシ雨漏り</t>
        </is>
      </c>
      <c r="D9" s="15" t="inlineStr">
        <is>
          <t>松山市のサッシ雨漏りの原因とは？窓まわりの補修方法を解説</t>
        </is>
      </c>
      <c r="E9" s="15" t="inlineStr">
        <is>
          <t>雨漏り</t>
        </is>
      </c>
      <c r="F9" s="15" t="inlineStr">
        <is>
          <t>地域サービス型</t>
        </is>
      </c>
      <c r="G9" s="15" t="inlineStr">
        <is>
          <t>地域サービス型</t>
        </is>
      </c>
      <c r="H9" s="15" t="inlineStr">
        <is>
          <t>4,500〜6,500字</t>
        </is>
      </c>
      <c r="I9" s="15" t="n">
        <v>4500</v>
      </c>
      <c r="J9" s="15" t="n">
        <v>6500</v>
      </c>
      <c r="K9" s="15" t="inlineStr">
        <is>
          <t>高</t>
        </is>
      </c>
      <c r="L9" s="15" t="inlineStr">
        <is>
          <t>第1ロット：雨漏り系</t>
        </is>
      </c>
      <c r="M9" s="15" t="inlineStr">
        <is>
          <t>008.md</t>
        </is>
      </c>
      <c r="N9" s="15" t="inlineStr">
        <is>
          <t>008.webp</t>
        </is>
      </c>
      <c r="O9" s="15" t="inlineStr">
        <is>
          <t>matsuyama-sash-leak</t>
        </is>
      </c>
      <c r="P9" s="15" t="inlineStr">
        <is>
          <t>松山市 サッシ雨漏りについて、主な原因、放置リスク、修理方法、業者選びのポイントを松山市で検討中の方向けに解説します。</t>
        </is>
      </c>
      <c r="Q9" s="15" t="inlineStr">
        <is>
          <t>雨漏り修理</t>
        </is>
      </c>
      <c r="R9" s="15" t="inlineStr">
        <is>
          <t>松山市、雨漏り、雨漏り修理</t>
        </is>
      </c>
      <c r="S9" s="15" t="inlineStr">
        <is>
          <t>雨漏り無料点検・無料見積り</t>
        </is>
      </c>
      <c r="T9" s="15" t="inlineStr">
        <is>
          <t>雨漏り無料点検CTA</t>
        </is>
      </c>
      <c r="U9" s="15" t="inlineStr">
        <is>
          <t>松山市で雨漏りが気になる方は、まずは無料点検・無料見積りをご利用ください。原因を確認し、必要な工事だけをご提案します。</t>
        </is>
      </c>
      <c r="V9" s="15" t="inlineStr">
        <is>
          <t>サッシ雨漏り</t>
        </is>
      </c>
      <c r="W9" s="15" t="inlineStr">
        <is>
          <t>症状・費用・注意点を解説</t>
        </is>
      </c>
      <c r="X9" s="15" t="inlineStr">
        <is>
          <t>プロが分かりやすく解説</t>
        </is>
      </c>
      <c r="Y9" s="15" t="inlineStr">
        <is>
          <t>住宅外観・劣化箇所</t>
        </is>
      </c>
      <c r="Z9" s="15" t="inlineStr">
        <is>
          <t>職人</t>
        </is>
      </c>
      <c r="AA9" s="15" t="inlineStr">
        <is>
          <t>松山市版</t>
        </is>
      </c>
      <c r="AB9" s="15" t="inlineStr">
        <is>
          <t>汎用外装訴求</t>
        </is>
      </c>
      <c r="AC9" s="15" t="inlineStr">
        <is>
          <t>未着手</t>
        </is>
      </c>
      <c r="AD9" s="15" t="inlineStr">
        <is>
          <t>未着手</t>
        </is>
      </c>
      <c r="AE9" s="15" t="inlineStr">
        <is>
          <t>未反映</t>
        </is>
      </c>
      <c r="AF9" s="15" t="inlineStr">
        <is>
          <t>未投稿</t>
        </is>
      </c>
      <c r="AG9" s="15" t="inlineStr">
        <is>
          <t>create_only</t>
        </is>
      </c>
      <c r="AH9" s="15" t="str"/>
      <c r="AI9" s="15" t="str"/>
      <c r="AJ9" s="69" t="str"/>
      <c r="AK9" s="69" t="str"/>
      <c r="AL9" s="15" t="str"/>
      <c r="AM9" s="15">
        <f>IF(AL9="","",IF(AL9&lt;I9,"不足",IF(AL9&gt;J9,"超過","OK")))</f>
        <v/>
      </c>
      <c r="AN9" s="15" t="str"/>
      <c r="AO9" s="15" t="inlineStr">
        <is>
          <t>中心記事「松山市の雨漏り修理」へリンク。関連：雨漏り費用・調査・屋根雨漏り。</t>
        </is>
      </c>
      <c r="AP9" s="15" t="inlineStr">
        <is>
          <t>H1なし／この記事でわかること／地域事情／事例／原因・費用／CTA／FAQ</t>
        </is>
      </c>
      <c r="AQ9" s="15" t="str"/>
    </row>
    <row r="10">
      <c r="A10" s="15" t="n">
        <v>9</v>
      </c>
      <c r="B10" s="15" t="inlineStr">
        <is>
          <t>松山市 外壁雨漏り</t>
        </is>
      </c>
      <c r="C10" s="15" t="inlineStr">
        <is>
          <t>松山市 外壁雨漏り</t>
        </is>
      </c>
      <c r="D10" s="15" t="inlineStr">
        <is>
          <t>松山市の外壁雨漏りの原因と対策｜ひび割れ・シーリング劣化に注意</t>
        </is>
      </c>
      <c r="E10" s="15" t="inlineStr">
        <is>
          <t>雨漏り</t>
        </is>
      </c>
      <c r="F10" s="15" t="inlineStr">
        <is>
          <t>地域サービス型</t>
        </is>
      </c>
      <c r="G10" s="15" t="inlineStr">
        <is>
          <t>地域サービス型</t>
        </is>
      </c>
      <c r="H10" s="15" t="inlineStr">
        <is>
          <t>4,500〜6,500字</t>
        </is>
      </c>
      <c r="I10" s="15" t="n">
        <v>4500</v>
      </c>
      <c r="J10" s="15" t="n">
        <v>6500</v>
      </c>
      <c r="K10" s="15" t="inlineStr">
        <is>
          <t>高</t>
        </is>
      </c>
      <c r="L10" s="15" t="inlineStr">
        <is>
          <t>第1ロット：雨漏り系</t>
        </is>
      </c>
      <c r="M10" s="15" t="inlineStr">
        <is>
          <t>009.md</t>
        </is>
      </c>
      <c r="N10" s="15" t="inlineStr">
        <is>
          <t>009.webp</t>
        </is>
      </c>
      <c r="O10" s="15" t="inlineStr">
        <is>
          <t>matsuyama-exterior-wall-leak</t>
        </is>
      </c>
      <c r="P10" s="15" t="inlineStr">
        <is>
          <t>松山市 外壁雨漏りについて、主な原因、放置リスク、修理方法、業者選びのポイントを松山市で検討中の方向けに解説します。</t>
        </is>
      </c>
      <c r="Q10" s="15" t="inlineStr">
        <is>
          <t>雨漏り修理</t>
        </is>
      </c>
      <c r="R10" s="15" t="inlineStr">
        <is>
          <t>松山市、雨漏り、雨漏り修理</t>
        </is>
      </c>
      <c r="S10" s="15" t="inlineStr">
        <is>
          <t>雨漏り無料点検・無料見積り</t>
        </is>
      </c>
      <c r="T10" s="15" t="inlineStr">
        <is>
          <t>雨漏り無料点検CTA</t>
        </is>
      </c>
      <c r="U10" s="15" t="inlineStr">
        <is>
          <t>松山市で雨漏りが気になる方は、まずは無料点検・無料見積りをご利用ください。原因を確認し、必要な工事だけをご提案します。</t>
        </is>
      </c>
      <c r="V10" s="15" t="inlineStr">
        <is>
          <t>外壁雨漏り</t>
        </is>
      </c>
      <c r="W10" s="15" t="inlineStr">
        <is>
          <t>症状・費用・注意点を解説</t>
        </is>
      </c>
      <c r="X10" s="15" t="inlineStr">
        <is>
          <t>プロが分かりやすく解説</t>
        </is>
      </c>
      <c r="Y10" s="15" t="inlineStr">
        <is>
          <t>住宅外観・劣化箇所</t>
        </is>
      </c>
      <c r="Z10" s="15" t="inlineStr">
        <is>
          <t>職人</t>
        </is>
      </c>
      <c r="AA10" s="15" t="inlineStr">
        <is>
          <t>松山市版</t>
        </is>
      </c>
      <c r="AB10" s="15" t="inlineStr">
        <is>
          <t>汎用外装訴求</t>
        </is>
      </c>
      <c r="AC10" s="15" t="inlineStr">
        <is>
          <t>未着手</t>
        </is>
      </c>
      <c r="AD10" s="15" t="inlineStr">
        <is>
          <t>未着手</t>
        </is>
      </c>
      <c r="AE10" s="15" t="inlineStr">
        <is>
          <t>未反映</t>
        </is>
      </c>
      <c r="AF10" s="15" t="inlineStr">
        <is>
          <t>未投稿</t>
        </is>
      </c>
      <c r="AG10" s="15" t="inlineStr">
        <is>
          <t>create_only</t>
        </is>
      </c>
      <c r="AH10" s="15" t="str"/>
      <c r="AI10" s="15" t="str"/>
      <c r="AJ10" s="69" t="str"/>
      <c r="AK10" s="69" t="str"/>
      <c r="AL10" s="15" t="str"/>
      <c r="AM10" s="15">
        <f>IF(AL10="","",IF(AL10&lt;I10,"不足",IF(AL10&gt;J10,"超過","OK")))</f>
        <v/>
      </c>
      <c r="AN10" s="15" t="str"/>
      <c r="AO10" s="15" t="inlineStr">
        <is>
          <t>中心記事「松山市の雨漏り修理」へリンク。関連：雨漏り費用・調査・屋根雨漏り。</t>
        </is>
      </c>
      <c r="AP10" s="15" t="inlineStr">
        <is>
          <t>H1なし／この記事でわかること／地域事情／事例／原因・費用／CTA／FAQ</t>
        </is>
      </c>
      <c r="AQ10" s="15" t="str"/>
    </row>
    <row r="11">
      <c r="A11" s="15" t="n">
        <v>10</v>
      </c>
      <c r="B11" s="15" t="inlineStr">
        <is>
          <t>松山市 屋根雨漏り</t>
        </is>
      </c>
      <c r="C11" s="15" t="inlineStr">
        <is>
          <t>松山市 屋根雨漏り</t>
        </is>
      </c>
      <c r="D11" s="15" t="inlineStr">
        <is>
          <t>松山市の屋根雨漏りは早めの修理が重要｜原因・費用・業者選び</t>
        </is>
      </c>
      <c r="E11" s="15" t="inlineStr">
        <is>
          <t>雨漏り</t>
        </is>
      </c>
      <c r="F11" s="15" t="inlineStr">
        <is>
          <t>地域サービス型</t>
        </is>
      </c>
      <c r="G11" s="15" t="inlineStr">
        <is>
          <t>地域サービス型</t>
        </is>
      </c>
      <c r="H11" s="15" t="inlineStr">
        <is>
          <t>4,500〜6,500字</t>
        </is>
      </c>
      <c r="I11" s="15" t="n">
        <v>4500</v>
      </c>
      <c r="J11" s="15" t="n">
        <v>6500</v>
      </c>
      <c r="K11" s="15" t="inlineStr">
        <is>
          <t>高</t>
        </is>
      </c>
      <c r="L11" s="15" t="inlineStr">
        <is>
          <t>第1ロット：雨漏り系</t>
        </is>
      </c>
      <c r="M11" s="15" t="inlineStr">
        <is>
          <t>010.md</t>
        </is>
      </c>
      <c r="N11" s="15" t="inlineStr">
        <is>
          <t>010.webp</t>
        </is>
      </c>
      <c r="O11" s="15" t="inlineStr">
        <is>
          <t>matsuyama-roof-leak</t>
        </is>
      </c>
      <c r="P11" s="15" t="inlineStr">
        <is>
          <t>松山市 屋根雨漏りについて、主な原因、放置リスク、修理方法、業者選びのポイントを松山市で検討中の方向けに解説します。</t>
        </is>
      </c>
      <c r="Q11" s="15" t="inlineStr">
        <is>
          <t>雨漏り修理</t>
        </is>
      </c>
      <c r="R11" s="15" t="inlineStr">
        <is>
          <t>松山市、雨漏り、雨漏り修理</t>
        </is>
      </c>
      <c r="S11" s="15" t="inlineStr">
        <is>
          <t>雨漏り無料点検・無料見積り</t>
        </is>
      </c>
      <c r="T11" s="15" t="inlineStr">
        <is>
          <t>雨漏り無料点検CTA</t>
        </is>
      </c>
      <c r="U11" s="15" t="inlineStr">
        <is>
          <t>松山市で雨漏りが気になる方は、まずは無料点検・無料見積りをご利用ください。原因を確認し、必要な工事だけをご提案します。</t>
        </is>
      </c>
      <c r="V11" s="15" t="inlineStr">
        <is>
          <t>屋根雨漏り</t>
        </is>
      </c>
      <c r="W11" s="15" t="inlineStr">
        <is>
          <t>雨漏り前に劣化を確認</t>
        </is>
      </c>
      <c r="X11" s="15" t="inlineStr">
        <is>
          <t>屋根点検・修理方法を解説</t>
        </is>
      </c>
      <c r="Y11" s="15" t="inlineStr">
        <is>
          <t>屋根材・瓦・板金・雨空</t>
        </is>
      </c>
      <c r="Z11" s="15" t="inlineStr">
        <is>
          <t>屋根を点検する職人</t>
        </is>
      </c>
      <c r="AA11" s="15" t="inlineStr">
        <is>
          <t>松山市版</t>
        </is>
      </c>
      <c r="AB11" s="15" t="inlineStr">
        <is>
          <t>屋根修理訴求</t>
        </is>
      </c>
      <c r="AC11" s="15" t="inlineStr">
        <is>
          <t>未着手</t>
        </is>
      </c>
      <c r="AD11" s="15" t="inlineStr">
        <is>
          <t>未着手</t>
        </is>
      </c>
      <c r="AE11" s="15" t="inlineStr">
        <is>
          <t>未反映</t>
        </is>
      </c>
      <c r="AF11" s="15" t="inlineStr">
        <is>
          <t>未投稿</t>
        </is>
      </c>
      <c r="AG11" s="15" t="inlineStr">
        <is>
          <t>create_only</t>
        </is>
      </c>
      <c r="AH11" s="15" t="str"/>
      <c r="AI11" s="15" t="str"/>
      <c r="AJ11" s="69" t="str"/>
      <c r="AK11" s="69" t="str"/>
      <c r="AL11" s="15" t="str"/>
      <c r="AM11" s="15">
        <f>IF(AL11="","",IF(AL11&lt;I11,"不足",IF(AL11&gt;J11,"超過","OK")))</f>
        <v/>
      </c>
      <c r="AN11" s="15" t="str"/>
      <c r="AO11" s="15" t="inlineStr">
        <is>
          <t>中心記事「松山市の雨漏り修理」へリンク。関連：雨漏り費用・調査・屋根雨漏り。</t>
        </is>
      </c>
      <c r="AP11" s="15" t="inlineStr">
        <is>
          <t>H1なし／この記事でわかること／地域事情／事例／原因・費用／CTA／FAQ</t>
        </is>
      </c>
      <c r="AQ11" s="15" t="str"/>
    </row>
    <row r="12">
      <c r="A12" s="15" t="n">
        <v>11</v>
      </c>
      <c r="B12" s="15" t="inlineStr">
        <is>
          <t>松山市 屋根修理</t>
        </is>
      </c>
      <c r="C12" s="15" t="inlineStr">
        <is>
          <t>松山市 屋根修理</t>
        </is>
      </c>
      <c r="D12" s="15" t="inlineStr">
        <is>
          <t>松山市の屋根修理はどこに頼む？症状別の対処法と費用目安</t>
        </is>
      </c>
      <c r="E12" s="15" t="inlineStr">
        <is>
          <t>屋根修理・屋根材</t>
        </is>
      </c>
      <c r="F12" s="15" t="inlineStr">
        <is>
          <t>地域サービス型</t>
        </is>
      </c>
      <c r="G12" s="15" t="inlineStr">
        <is>
          <t>地域サービス型</t>
        </is>
      </c>
      <c r="H12" s="15" t="inlineStr">
        <is>
          <t>5,000〜7,000字</t>
        </is>
      </c>
      <c r="I12" s="15" t="n">
        <v>5000</v>
      </c>
      <c r="J12" s="15" t="n">
        <v>7000</v>
      </c>
      <c r="K12" s="15" t="inlineStr">
        <is>
          <t>高</t>
        </is>
      </c>
      <c r="L12" s="15" t="inlineStr">
        <is>
          <t>第2ロット：屋根修理・屋根材系</t>
        </is>
      </c>
      <c r="M12" s="15" t="inlineStr">
        <is>
          <t>011.md</t>
        </is>
      </c>
      <c r="N12" s="15" t="inlineStr">
        <is>
          <t>011.webp</t>
        </is>
      </c>
      <c r="O12" s="15" t="inlineStr">
        <is>
          <t>matsuyama-roof-repair</t>
        </is>
      </c>
      <c r="P12" s="15" t="inlineStr">
        <is>
          <t>松山市 屋根修理について、劣化症状、修理方法、費用目安、依頼前に確認したいポイントをわかりやすく解説します。</t>
        </is>
      </c>
      <c r="Q12" s="15" t="inlineStr">
        <is>
          <t>屋根修理</t>
        </is>
      </c>
      <c r="R12" s="15" t="inlineStr">
        <is>
          <t>松山市、屋根修理</t>
        </is>
      </c>
      <c r="S12" s="15" t="inlineStr">
        <is>
          <t>屋根無料点検・屋根修理</t>
        </is>
      </c>
      <c r="T12" s="15" t="inlineStr">
        <is>
          <t>屋根点検CTA</t>
        </is>
      </c>
      <c r="U12" s="15" t="inlineStr">
        <is>
          <t>屋根材・板金・瓦の状態を点検し、雨漏りリスクや修理方法を職人目線で確認します。</t>
        </is>
      </c>
      <c r="V12" s="15" t="inlineStr">
        <is>
          <t>屋根修理</t>
        </is>
      </c>
      <c r="W12" s="15" t="inlineStr">
        <is>
          <t>雨漏り前に劣化を確認</t>
        </is>
      </c>
      <c r="X12" s="15" t="inlineStr">
        <is>
          <t>屋根点検・修理方法を解説</t>
        </is>
      </c>
      <c r="Y12" s="15" t="inlineStr">
        <is>
          <t>屋根材・瓦・板金・雨空</t>
        </is>
      </c>
      <c r="Z12" s="15" t="inlineStr">
        <is>
          <t>屋根を点検する職人</t>
        </is>
      </c>
      <c r="AA12" s="15" t="inlineStr">
        <is>
          <t>松山市版</t>
        </is>
      </c>
      <c r="AB12" s="15" t="inlineStr">
        <is>
          <t>屋根修理訴求</t>
        </is>
      </c>
      <c r="AC12" s="15" t="inlineStr">
        <is>
          <t>未着手</t>
        </is>
      </c>
      <c r="AD12" s="15" t="inlineStr">
        <is>
          <t>未着手</t>
        </is>
      </c>
      <c r="AE12" s="15" t="inlineStr">
        <is>
          <t>未反映</t>
        </is>
      </c>
      <c r="AF12" s="15" t="inlineStr">
        <is>
          <t>未投稿</t>
        </is>
      </c>
      <c r="AG12" s="15" t="inlineStr">
        <is>
          <t>create_only</t>
        </is>
      </c>
      <c r="AH12" s="15" t="str"/>
      <c r="AI12" s="15" t="str"/>
      <c r="AJ12" s="69" t="str"/>
      <c r="AK12" s="69" t="str"/>
      <c r="AL12" s="15" t="str"/>
      <c r="AM12" s="15">
        <f>IF(AL12="","",IF(AL12&lt;I12,"不足",IF(AL12&gt;J12,"超過","OK")))</f>
        <v/>
      </c>
      <c r="AN12" s="15" t="str"/>
      <c r="AO12" s="15" t="inlineStr">
        <is>
          <t>中心記事「松山市の屋根修理」へリンク。関連：屋根カバー・屋根材注意記事。</t>
        </is>
      </c>
      <c r="AP12" s="15" t="inlineStr">
        <is>
          <t>H1なし／この記事でわかること／地域事情／事例／原因・費用／CTA／FAQ</t>
        </is>
      </c>
      <c r="AQ12" s="15" t="str"/>
    </row>
    <row r="13">
      <c r="A13" s="15" t="n">
        <v>12</v>
      </c>
      <c r="B13" s="15" t="inlineStr">
        <is>
          <t>松山市 棟板金修理</t>
        </is>
      </c>
      <c r="C13" s="15" t="inlineStr">
        <is>
          <t>松山市 棟板金修理</t>
        </is>
      </c>
      <c r="D13" s="15" t="inlineStr">
        <is>
          <t>松山市の棟板金修理とは？浮き・釘抜け・雨漏りリスクを解説</t>
        </is>
      </c>
      <c r="E13" s="15" t="inlineStr">
        <is>
          <t>屋根修理・屋根材</t>
        </is>
      </c>
      <c r="F13" s="15" t="inlineStr">
        <is>
          <t>地域サービス型</t>
        </is>
      </c>
      <c r="G13" s="15" t="inlineStr">
        <is>
          <t>地域サービス型</t>
        </is>
      </c>
      <c r="H13" s="15" t="inlineStr">
        <is>
          <t>5,000〜7,000字</t>
        </is>
      </c>
      <c r="I13" s="15" t="n">
        <v>5000</v>
      </c>
      <c r="J13" s="15" t="n">
        <v>7000</v>
      </c>
      <c r="K13" s="15" t="inlineStr">
        <is>
          <t>高</t>
        </is>
      </c>
      <c r="L13" s="15" t="inlineStr">
        <is>
          <t>第2ロット：屋根修理・屋根材系</t>
        </is>
      </c>
      <c r="M13" s="15" t="inlineStr">
        <is>
          <t>012.md</t>
        </is>
      </c>
      <c r="N13" s="15" t="inlineStr">
        <is>
          <t>012.webp</t>
        </is>
      </c>
      <c r="O13" s="15" t="inlineStr">
        <is>
          <t>matsuyama-ridge-flashing-repair</t>
        </is>
      </c>
      <c r="P13" s="15" t="inlineStr">
        <is>
          <t>松山市 棟板金修理について、劣化症状、修理方法、費用目安、依頼前に確認したいポイントをわかりやすく解説します。</t>
        </is>
      </c>
      <c r="Q13" s="15" t="inlineStr">
        <is>
          <t>屋根修理</t>
        </is>
      </c>
      <c r="R13" s="15" t="inlineStr">
        <is>
          <t>松山市、屋根修理</t>
        </is>
      </c>
      <c r="S13" s="15" t="inlineStr">
        <is>
          <t>屋根無料点検・屋根修理</t>
        </is>
      </c>
      <c r="T13" s="15" t="inlineStr">
        <is>
          <t>屋根点検CTA</t>
        </is>
      </c>
      <c r="U13" s="15" t="inlineStr">
        <is>
          <t>屋根材・板金・瓦の状態を点検し、雨漏りリスクや修理方法を職人目線で確認します。</t>
        </is>
      </c>
      <c r="V13" s="15" t="inlineStr">
        <is>
          <t>棟板金修理</t>
        </is>
      </c>
      <c r="W13" s="15" t="inlineStr">
        <is>
          <t>雨漏り前に劣化を確認</t>
        </is>
      </c>
      <c r="X13" s="15" t="inlineStr">
        <is>
          <t>屋根点検・修理方法を解説</t>
        </is>
      </c>
      <c r="Y13" s="15" t="inlineStr">
        <is>
          <t>屋根材・瓦・板金・雨空</t>
        </is>
      </c>
      <c r="Z13" s="15" t="inlineStr">
        <is>
          <t>屋根を点検する職人</t>
        </is>
      </c>
      <c r="AA13" s="15" t="inlineStr">
        <is>
          <t>松山市版</t>
        </is>
      </c>
      <c r="AB13" s="15" t="inlineStr">
        <is>
          <t>屋根修理訴求</t>
        </is>
      </c>
      <c r="AC13" s="15" t="inlineStr">
        <is>
          <t>未着手</t>
        </is>
      </c>
      <c r="AD13" s="15" t="inlineStr">
        <is>
          <t>未着手</t>
        </is>
      </c>
      <c r="AE13" s="15" t="inlineStr">
        <is>
          <t>未反映</t>
        </is>
      </c>
      <c r="AF13" s="15" t="inlineStr">
        <is>
          <t>未投稿</t>
        </is>
      </c>
      <c r="AG13" s="15" t="inlineStr">
        <is>
          <t>create_only</t>
        </is>
      </c>
      <c r="AH13" s="15" t="str"/>
      <c r="AI13" s="15" t="str"/>
      <c r="AJ13" s="69" t="str"/>
      <c r="AK13" s="69" t="str"/>
      <c r="AL13" s="15" t="str"/>
      <c r="AM13" s="15">
        <f>IF(AL13="","",IF(AL13&lt;I13,"不足",IF(AL13&gt;J13,"超過","OK")))</f>
        <v/>
      </c>
      <c r="AN13" s="15" t="str"/>
      <c r="AO13" s="15" t="inlineStr">
        <is>
          <t>中心記事「松山市の屋根修理」へリンク。関連：屋根カバー・屋根材注意記事。</t>
        </is>
      </c>
      <c r="AP13" s="15" t="inlineStr">
        <is>
          <t>H1なし／この記事でわかること／地域事情／事例／原因・費用／CTA／FAQ</t>
        </is>
      </c>
      <c r="AQ13" s="15" t="str"/>
    </row>
    <row r="14">
      <c r="A14" s="15" t="n">
        <v>13</v>
      </c>
      <c r="B14" s="15" t="inlineStr">
        <is>
          <t>松山市 谷板金修理</t>
        </is>
      </c>
      <c r="C14" s="15" t="inlineStr">
        <is>
          <t>松山市 谷板金修理</t>
        </is>
      </c>
      <c r="D14" s="15" t="inlineStr">
        <is>
          <t>松山市の谷板金修理が必要な症状｜雨漏り原因と費用目安</t>
        </is>
      </c>
      <c r="E14" s="15" t="inlineStr">
        <is>
          <t>屋根修理・屋根材</t>
        </is>
      </c>
      <c r="F14" s="15" t="inlineStr">
        <is>
          <t>地域サービス型</t>
        </is>
      </c>
      <c r="G14" s="15" t="inlineStr">
        <is>
          <t>地域サービス型</t>
        </is>
      </c>
      <c r="H14" s="15" t="inlineStr">
        <is>
          <t>5,000〜7,000字</t>
        </is>
      </c>
      <c r="I14" s="15" t="n">
        <v>5000</v>
      </c>
      <c r="J14" s="15" t="n">
        <v>7000</v>
      </c>
      <c r="K14" s="15" t="inlineStr">
        <is>
          <t>高</t>
        </is>
      </c>
      <c r="L14" s="15" t="inlineStr">
        <is>
          <t>第2ロット：屋根修理・屋根材系</t>
        </is>
      </c>
      <c r="M14" s="15" t="inlineStr">
        <is>
          <t>013.md</t>
        </is>
      </c>
      <c r="N14" s="15" t="inlineStr">
        <is>
          <t>013.webp</t>
        </is>
      </c>
      <c r="O14" s="15" t="inlineStr">
        <is>
          <t>matsuyama-valley-flashing-repair</t>
        </is>
      </c>
      <c r="P14" s="15" t="inlineStr">
        <is>
          <t>松山市 谷板金修理について、劣化症状、修理方法、費用目安、依頼前に確認したいポイントをわかりやすく解説します。</t>
        </is>
      </c>
      <c r="Q14" s="15" t="inlineStr">
        <is>
          <t>屋根修理</t>
        </is>
      </c>
      <c r="R14" s="15" t="inlineStr">
        <is>
          <t>松山市、屋根修理</t>
        </is>
      </c>
      <c r="S14" s="15" t="inlineStr">
        <is>
          <t>屋根無料点検・屋根修理</t>
        </is>
      </c>
      <c r="T14" s="15" t="inlineStr">
        <is>
          <t>屋根点検CTA</t>
        </is>
      </c>
      <c r="U14" s="15" t="inlineStr">
        <is>
          <t>屋根材・板金・瓦の状態を点検し、雨漏りリスクや修理方法を職人目線で確認します。</t>
        </is>
      </c>
      <c r="V14" s="15" t="inlineStr">
        <is>
          <t>谷板金修理</t>
        </is>
      </c>
      <c r="W14" s="15" t="inlineStr">
        <is>
          <t>雨漏り前に劣化を確認</t>
        </is>
      </c>
      <c r="X14" s="15" t="inlineStr">
        <is>
          <t>屋根点検・修理方法を解説</t>
        </is>
      </c>
      <c r="Y14" s="15" t="inlineStr">
        <is>
          <t>屋根材・瓦・板金・雨空</t>
        </is>
      </c>
      <c r="Z14" s="15" t="inlineStr">
        <is>
          <t>屋根を点検する職人</t>
        </is>
      </c>
      <c r="AA14" s="15" t="inlineStr">
        <is>
          <t>松山市版</t>
        </is>
      </c>
      <c r="AB14" s="15" t="inlineStr">
        <is>
          <t>屋根修理訴求</t>
        </is>
      </c>
      <c r="AC14" s="15" t="inlineStr">
        <is>
          <t>未着手</t>
        </is>
      </c>
      <c r="AD14" s="15" t="inlineStr">
        <is>
          <t>未着手</t>
        </is>
      </c>
      <c r="AE14" s="15" t="inlineStr">
        <is>
          <t>未反映</t>
        </is>
      </c>
      <c r="AF14" s="15" t="inlineStr">
        <is>
          <t>未投稿</t>
        </is>
      </c>
      <c r="AG14" s="15" t="inlineStr">
        <is>
          <t>create_only</t>
        </is>
      </c>
      <c r="AH14" s="15" t="str"/>
      <c r="AI14" s="15" t="str"/>
      <c r="AJ14" s="69" t="str"/>
      <c r="AK14" s="69" t="str"/>
      <c r="AL14" s="15" t="str"/>
      <c r="AM14" s="15">
        <f>IF(AL14="","",IF(AL14&lt;I14,"不足",IF(AL14&gt;J14,"超過","OK")))</f>
        <v/>
      </c>
      <c r="AN14" s="15" t="str"/>
      <c r="AO14" s="15" t="inlineStr">
        <is>
          <t>中心記事「松山市の屋根修理」へリンク。関連：屋根カバー・屋根材注意記事。</t>
        </is>
      </c>
      <c r="AP14" s="15" t="inlineStr">
        <is>
          <t>H1なし／この記事でわかること／地域事情／事例／原因・費用／CTA／FAQ</t>
        </is>
      </c>
      <c r="AQ14" s="15" t="str"/>
    </row>
    <row r="15">
      <c r="A15" s="15" t="n">
        <v>14</v>
      </c>
      <c r="B15" s="15" t="inlineStr">
        <is>
          <t>松山市 瓦修理</t>
        </is>
      </c>
      <c r="C15" s="15" t="inlineStr">
        <is>
          <t>松山市 瓦修理</t>
        </is>
      </c>
      <c r="D15" s="15" t="inlineStr">
        <is>
          <t>松山市の瓦修理はいつ必要？割れ・ズレ・雨漏りの対処法</t>
        </is>
      </c>
      <c r="E15" s="15" t="inlineStr">
        <is>
          <t>屋根修理・屋根材</t>
        </is>
      </c>
      <c r="F15" s="15" t="inlineStr">
        <is>
          <t>地域サービス型</t>
        </is>
      </c>
      <c r="G15" s="15" t="inlineStr">
        <is>
          <t>地域サービス型</t>
        </is>
      </c>
      <c r="H15" s="15" t="inlineStr">
        <is>
          <t>5,000〜7,000字</t>
        </is>
      </c>
      <c r="I15" s="15" t="n">
        <v>5000</v>
      </c>
      <c r="J15" s="15" t="n">
        <v>7000</v>
      </c>
      <c r="K15" s="15" t="inlineStr">
        <is>
          <t>高</t>
        </is>
      </c>
      <c r="L15" s="15" t="inlineStr">
        <is>
          <t>第2ロット：屋根修理・屋根材系</t>
        </is>
      </c>
      <c r="M15" s="15" t="inlineStr">
        <is>
          <t>014.md</t>
        </is>
      </c>
      <c r="N15" s="15" t="inlineStr">
        <is>
          <t>014.webp</t>
        </is>
      </c>
      <c r="O15" s="15" t="inlineStr">
        <is>
          <t>matsuyama-tile-roof-repair</t>
        </is>
      </c>
      <c r="P15" s="15" t="inlineStr">
        <is>
          <t>松山市 瓦修理について、劣化症状、修理方法、費用目安、依頼前に確認したいポイントをわかりやすく解説します。</t>
        </is>
      </c>
      <c r="Q15" s="15" t="inlineStr">
        <is>
          <t>屋根修理</t>
        </is>
      </c>
      <c r="R15" s="15" t="inlineStr">
        <is>
          <t>松山市、屋根修理</t>
        </is>
      </c>
      <c r="S15" s="15" t="inlineStr">
        <is>
          <t>屋根無料点検・屋根修理</t>
        </is>
      </c>
      <c r="T15" s="15" t="inlineStr">
        <is>
          <t>屋根点検CTA</t>
        </is>
      </c>
      <c r="U15" s="15" t="inlineStr">
        <is>
          <t>屋根材・板金・瓦の状態を点検し、雨漏りリスクや修理方法を職人目線で確認します。</t>
        </is>
      </c>
      <c r="V15" s="15" t="inlineStr">
        <is>
          <t>瓦修理</t>
        </is>
      </c>
      <c r="W15" s="15" t="inlineStr">
        <is>
          <t>雨漏り前に劣化を確認</t>
        </is>
      </c>
      <c r="X15" s="15" t="inlineStr">
        <is>
          <t>屋根点検・修理方法を解説</t>
        </is>
      </c>
      <c r="Y15" s="15" t="inlineStr">
        <is>
          <t>屋根材・瓦・板金・雨空</t>
        </is>
      </c>
      <c r="Z15" s="15" t="inlineStr">
        <is>
          <t>屋根を点検する職人</t>
        </is>
      </c>
      <c r="AA15" s="15" t="inlineStr">
        <is>
          <t>松山市版</t>
        </is>
      </c>
      <c r="AB15" s="15" t="inlineStr">
        <is>
          <t>屋根修理訴求</t>
        </is>
      </c>
      <c r="AC15" s="15" t="inlineStr">
        <is>
          <t>未着手</t>
        </is>
      </c>
      <c r="AD15" s="15" t="inlineStr">
        <is>
          <t>未着手</t>
        </is>
      </c>
      <c r="AE15" s="15" t="inlineStr">
        <is>
          <t>未反映</t>
        </is>
      </c>
      <c r="AF15" s="15" t="inlineStr">
        <is>
          <t>未投稿</t>
        </is>
      </c>
      <c r="AG15" s="15" t="inlineStr">
        <is>
          <t>create_only</t>
        </is>
      </c>
      <c r="AH15" s="15" t="str"/>
      <c r="AI15" s="15" t="str"/>
      <c r="AJ15" s="69" t="str"/>
      <c r="AK15" s="69" t="str"/>
      <c r="AL15" s="15" t="str"/>
      <c r="AM15" s="15">
        <f>IF(AL15="","",IF(AL15&lt;I15,"不足",IF(AL15&gt;J15,"超過","OK")))</f>
        <v/>
      </c>
      <c r="AN15" s="15" t="str"/>
      <c r="AO15" s="15" t="inlineStr">
        <is>
          <t>中心記事「松山市の屋根修理」へリンク。関連：屋根カバー・屋根材注意記事。</t>
        </is>
      </c>
      <c r="AP15" s="15" t="inlineStr">
        <is>
          <t>H1なし／この記事でわかること／地域事情／事例／原因・費用／CTA／FAQ</t>
        </is>
      </c>
      <c r="AQ15" s="15" t="str"/>
    </row>
    <row r="16">
      <c r="A16" s="15" t="n">
        <v>15</v>
      </c>
      <c r="B16" s="15" t="inlineStr">
        <is>
          <t>松山市 漆喰補修</t>
        </is>
      </c>
      <c r="C16" s="15" t="inlineStr">
        <is>
          <t>松山市 漆喰補修</t>
        </is>
      </c>
      <c r="D16" s="15" t="inlineStr">
        <is>
          <t>松山市の漆喰補修とは？劣化症状・費用・雨漏り予防を解説</t>
        </is>
      </c>
      <c r="E16" s="15" t="inlineStr">
        <is>
          <t>屋根修理・屋根材</t>
        </is>
      </c>
      <c r="F16" s="15" t="inlineStr">
        <is>
          <t>地域サービス型</t>
        </is>
      </c>
      <c r="G16" s="15" t="inlineStr">
        <is>
          <t>地域サービス型</t>
        </is>
      </c>
      <c r="H16" s="15" t="inlineStr">
        <is>
          <t>5,000〜7,000字</t>
        </is>
      </c>
      <c r="I16" s="15" t="n">
        <v>5000</v>
      </c>
      <c r="J16" s="15" t="n">
        <v>7000</v>
      </c>
      <c r="K16" s="15" t="inlineStr">
        <is>
          <t>高</t>
        </is>
      </c>
      <c r="L16" s="15" t="inlineStr">
        <is>
          <t>第2ロット：屋根修理・屋根材系</t>
        </is>
      </c>
      <c r="M16" s="15" t="inlineStr">
        <is>
          <t>015.md</t>
        </is>
      </c>
      <c r="N16" s="15" t="inlineStr">
        <is>
          <t>015.webp</t>
        </is>
      </c>
      <c r="O16" s="15" t="inlineStr">
        <is>
          <t>matsuyama-plaster-repair</t>
        </is>
      </c>
      <c r="P16" s="15" t="inlineStr">
        <is>
          <t>松山市 漆喰補修について、劣化症状、修理方法、費用目安、依頼前に確認したいポイントをわかりやすく解説します。</t>
        </is>
      </c>
      <c r="Q16" s="15" t="inlineStr">
        <is>
          <t>屋根修理</t>
        </is>
      </c>
      <c r="R16" s="15" t="inlineStr">
        <is>
          <t>松山市、屋根修理</t>
        </is>
      </c>
      <c r="S16" s="15" t="inlineStr">
        <is>
          <t>屋根無料点検・屋根修理</t>
        </is>
      </c>
      <c r="T16" s="15" t="inlineStr">
        <is>
          <t>屋根点検CTA</t>
        </is>
      </c>
      <c r="U16" s="15" t="inlineStr">
        <is>
          <t>屋根材・板金・瓦の状態を点検し、雨漏りリスクや修理方法を職人目線で確認します。</t>
        </is>
      </c>
      <c r="V16" s="15" t="inlineStr">
        <is>
          <t>漆喰補修</t>
        </is>
      </c>
      <c r="W16" s="15" t="inlineStr">
        <is>
          <t>雨漏り前に劣化を確認</t>
        </is>
      </c>
      <c r="X16" s="15" t="inlineStr">
        <is>
          <t>屋根点検・修理方法を解説</t>
        </is>
      </c>
      <c r="Y16" s="15" t="inlineStr">
        <is>
          <t>屋根材・瓦・板金・雨空</t>
        </is>
      </c>
      <c r="Z16" s="15" t="inlineStr">
        <is>
          <t>屋根を点検する職人</t>
        </is>
      </c>
      <c r="AA16" s="15" t="inlineStr">
        <is>
          <t>松山市版</t>
        </is>
      </c>
      <c r="AB16" s="15" t="inlineStr">
        <is>
          <t>屋根修理訴求</t>
        </is>
      </c>
      <c r="AC16" s="15" t="inlineStr">
        <is>
          <t>未着手</t>
        </is>
      </c>
      <c r="AD16" s="15" t="inlineStr">
        <is>
          <t>未着手</t>
        </is>
      </c>
      <c r="AE16" s="15" t="inlineStr">
        <is>
          <t>未反映</t>
        </is>
      </c>
      <c r="AF16" s="15" t="inlineStr">
        <is>
          <t>未投稿</t>
        </is>
      </c>
      <c r="AG16" s="15" t="inlineStr">
        <is>
          <t>create_only</t>
        </is>
      </c>
      <c r="AH16" s="15" t="str"/>
      <c r="AI16" s="15" t="str"/>
      <c r="AJ16" s="69" t="str"/>
      <c r="AK16" s="69" t="str"/>
      <c r="AL16" s="15" t="str"/>
      <c r="AM16" s="15">
        <f>IF(AL16="","",IF(AL16&lt;I16,"不足",IF(AL16&gt;J16,"超過","OK")))</f>
        <v/>
      </c>
      <c r="AN16" s="15" t="str"/>
      <c r="AO16" s="15" t="inlineStr">
        <is>
          <t>中心記事「松山市の屋根修理」へリンク。関連：屋根カバー・屋根材注意記事。</t>
        </is>
      </c>
      <c r="AP16" s="15" t="inlineStr">
        <is>
          <t>H1なし／この記事でわかること／地域事情／事例／原因・費用／CTA／FAQ</t>
        </is>
      </c>
      <c r="AQ16" s="15" t="str"/>
    </row>
    <row r="17">
      <c r="A17" s="15" t="n">
        <v>16</v>
      </c>
      <c r="B17" s="15" t="inlineStr">
        <is>
          <t>松山市 屋根リフォーム</t>
        </is>
      </c>
      <c r="C17" s="15" t="inlineStr">
        <is>
          <t>松山市 屋根リフォーム</t>
        </is>
      </c>
      <c r="D17" s="15" t="inlineStr">
        <is>
          <t>松山市の屋根リフォーム方法｜カバー工法・葺き替え・修理の違い</t>
        </is>
      </c>
      <c r="E17" s="15" t="inlineStr">
        <is>
          <t>屋根修理・屋根材</t>
        </is>
      </c>
      <c r="F17" s="15" t="inlineStr">
        <is>
          <t>地域サービス型</t>
        </is>
      </c>
      <c r="G17" s="15" t="inlineStr">
        <is>
          <t>地域サービス型</t>
        </is>
      </c>
      <c r="H17" s="15" t="inlineStr">
        <is>
          <t>5,000〜7,000字</t>
        </is>
      </c>
      <c r="I17" s="15" t="n">
        <v>5000</v>
      </c>
      <c r="J17" s="15" t="n">
        <v>7000</v>
      </c>
      <c r="K17" s="15" t="inlineStr">
        <is>
          <t>高</t>
        </is>
      </c>
      <c r="L17" s="15" t="inlineStr">
        <is>
          <t>第2ロット：屋根修理・屋根材系</t>
        </is>
      </c>
      <c r="M17" s="15" t="inlineStr">
        <is>
          <t>016.md</t>
        </is>
      </c>
      <c r="N17" s="15" t="inlineStr">
        <is>
          <t>016.webp</t>
        </is>
      </c>
      <c r="O17" s="15" t="inlineStr">
        <is>
          <t>matsuyama-roof-remodel</t>
        </is>
      </c>
      <c r="P17" s="15" t="inlineStr">
        <is>
          <t>松山市 屋根リフォームについて、劣化症状、修理方法、費用目安、依頼前に確認したいポイントをわかりやすく解説します。</t>
        </is>
      </c>
      <c r="Q17" s="15" t="inlineStr">
        <is>
          <t>屋根修理</t>
        </is>
      </c>
      <c r="R17" s="15" t="inlineStr">
        <is>
          <t>松山市、屋根修理</t>
        </is>
      </c>
      <c r="S17" s="15" t="inlineStr">
        <is>
          <t>屋根無料点検・屋根修理</t>
        </is>
      </c>
      <c r="T17" s="15" t="inlineStr">
        <is>
          <t>屋根点検CTA</t>
        </is>
      </c>
      <c r="U17" s="15" t="inlineStr">
        <is>
          <t>屋根材・板金・瓦の状態を点検し、雨漏りリスクや修理方法を職人目線で確認します。</t>
        </is>
      </c>
      <c r="V17" s="15" t="inlineStr">
        <is>
          <t>屋根リフォーム</t>
        </is>
      </c>
      <c r="W17" s="15" t="inlineStr">
        <is>
          <t>雨漏り前に劣化を確認</t>
        </is>
      </c>
      <c r="X17" s="15" t="inlineStr">
        <is>
          <t>屋根点検・修理方法を解説</t>
        </is>
      </c>
      <c r="Y17" s="15" t="inlineStr">
        <is>
          <t>屋根材・瓦・板金・雨空</t>
        </is>
      </c>
      <c r="Z17" s="15" t="inlineStr">
        <is>
          <t>屋根を点検する職人</t>
        </is>
      </c>
      <c r="AA17" s="15" t="inlineStr">
        <is>
          <t>松山市版</t>
        </is>
      </c>
      <c r="AB17" s="15" t="inlineStr">
        <is>
          <t>屋根修理訴求</t>
        </is>
      </c>
      <c r="AC17" s="15" t="inlineStr">
        <is>
          <t>未着手</t>
        </is>
      </c>
      <c r="AD17" s="15" t="inlineStr">
        <is>
          <t>未着手</t>
        </is>
      </c>
      <c r="AE17" s="15" t="inlineStr">
        <is>
          <t>未反映</t>
        </is>
      </c>
      <c r="AF17" s="15" t="inlineStr">
        <is>
          <t>未投稿</t>
        </is>
      </c>
      <c r="AG17" s="15" t="inlineStr">
        <is>
          <t>create_only</t>
        </is>
      </c>
      <c r="AH17" s="15" t="str"/>
      <c r="AI17" s="15" t="str"/>
      <c r="AJ17" s="69" t="str"/>
      <c r="AK17" s="69" t="str"/>
      <c r="AL17" s="15" t="str"/>
      <c r="AM17" s="15">
        <f>IF(AL17="","",IF(AL17&lt;I17,"不足",IF(AL17&gt;J17,"超過","OK")))</f>
        <v/>
      </c>
      <c r="AN17" s="15" t="str"/>
      <c r="AO17" s="15" t="inlineStr">
        <is>
          <t>中心記事「松山市の屋根修理」へリンク。関連：屋根カバー・屋根材注意記事。</t>
        </is>
      </c>
      <c r="AP17" s="15" t="inlineStr">
        <is>
          <t>H1なし／この記事でわかること／地域事情／事例／原因・費用／CTA／FAQ</t>
        </is>
      </c>
      <c r="AQ17" s="15" t="str"/>
    </row>
    <row r="18">
      <c r="A18" s="15" t="n">
        <v>17</v>
      </c>
      <c r="B18" s="15" t="inlineStr">
        <is>
          <t>松山市 ガルテクト</t>
        </is>
      </c>
      <c r="C18" s="15" t="inlineStr">
        <is>
          <t>松山市 ガルテクト</t>
        </is>
      </c>
      <c r="D18" s="15" t="inlineStr">
        <is>
          <t>松山市でガルテクトを使う屋根工事｜特徴・費用・注意点</t>
        </is>
      </c>
      <c r="E18" s="15" t="inlineStr">
        <is>
          <t>屋根修理・屋根材</t>
        </is>
      </c>
      <c r="F18" s="15" t="inlineStr">
        <is>
          <t>屋根材注意型</t>
        </is>
      </c>
      <c r="G18" s="15" t="inlineStr">
        <is>
          <t>建材・屋根材注意喚起型</t>
        </is>
      </c>
      <c r="H18" s="15" t="inlineStr">
        <is>
          <t>5,000〜7,000字</t>
        </is>
      </c>
      <c r="I18" s="15" t="n">
        <v>5000</v>
      </c>
      <c r="J18" s="15" t="n">
        <v>7000</v>
      </c>
      <c r="K18" s="15" t="inlineStr">
        <is>
          <t>高</t>
        </is>
      </c>
      <c r="L18" s="15" t="inlineStr">
        <is>
          <t>第2ロット：屋根修理・屋根材系</t>
        </is>
      </c>
      <c r="M18" s="15" t="inlineStr">
        <is>
          <t>017.md</t>
        </is>
      </c>
      <c r="N18" s="15" t="inlineStr">
        <is>
          <t>017.webp</t>
        </is>
      </c>
      <c r="O18" s="15" t="inlineStr">
        <is>
          <t>matsuyama-galtect</t>
        </is>
      </c>
      <c r="P18" s="15" t="inlineStr">
        <is>
          <t>松山市 ガルテクトについて、劣化症状、修理方法、費用目安、依頼前に確認したいポイントをわかりやすく解説します。</t>
        </is>
      </c>
      <c r="Q18" s="15" t="inlineStr">
        <is>
          <t>屋根修理</t>
        </is>
      </c>
      <c r="R18" s="15" t="inlineStr">
        <is>
          <t>松山市、屋根修理</t>
        </is>
      </c>
      <c r="S18" s="15" t="inlineStr">
        <is>
          <t>屋根無料点検・屋根修理</t>
        </is>
      </c>
      <c r="T18" s="15" t="inlineStr">
        <is>
          <t>屋根点検CTA</t>
        </is>
      </c>
      <c r="U18" s="15" t="inlineStr">
        <is>
          <t>屋根材・板金・瓦の状態を点検し、雨漏りリスクや修理方法を職人目線で確認します。</t>
        </is>
      </c>
      <c r="V18" s="15" t="inlineStr">
        <is>
          <t>ガルテクト</t>
        </is>
      </c>
      <c r="W18" s="15" t="inlineStr">
        <is>
          <t>雨漏り前に劣化を確認</t>
        </is>
      </c>
      <c r="X18" s="15" t="inlineStr">
        <is>
          <t>屋根点検・修理方法を解説</t>
        </is>
      </c>
      <c r="Y18" s="15" t="inlineStr">
        <is>
          <t>屋根材・瓦・板金・雨空</t>
        </is>
      </c>
      <c r="Z18" s="15" t="inlineStr">
        <is>
          <t>屋根を点検する職人</t>
        </is>
      </c>
      <c r="AA18" s="15" t="inlineStr">
        <is>
          <t>松山市版</t>
        </is>
      </c>
      <c r="AB18" s="15" t="inlineStr">
        <is>
          <t>屋根修理訴求</t>
        </is>
      </c>
      <c r="AC18" s="15" t="inlineStr">
        <is>
          <t>未着手</t>
        </is>
      </c>
      <c r="AD18" s="15" t="inlineStr">
        <is>
          <t>未着手</t>
        </is>
      </c>
      <c r="AE18" s="15" t="inlineStr">
        <is>
          <t>未反映</t>
        </is>
      </c>
      <c r="AF18" s="15" t="inlineStr">
        <is>
          <t>未投稿</t>
        </is>
      </c>
      <c r="AG18" s="15" t="inlineStr">
        <is>
          <t>create_only</t>
        </is>
      </c>
      <c r="AH18" s="15" t="str"/>
      <c r="AI18" s="15" t="str"/>
      <c r="AJ18" s="69" t="str"/>
      <c r="AK18" s="69" t="str"/>
      <c r="AL18" s="15" t="str"/>
      <c r="AM18" s="15">
        <f>IF(AL18="","",IF(AL18&lt;I18,"不足",IF(AL18&gt;J18,"超過","OK")))</f>
        <v/>
      </c>
      <c r="AN18" s="15" t="str"/>
      <c r="AO18" s="15" t="inlineStr">
        <is>
          <t>中心記事「松山市の屋根修理」へリンク。関連：屋根カバー・屋根材注意記事。</t>
        </is>
      </c>
      <c r="AP18" s="15" t="inlineStr">
        <is>
          <t>H1なし／この記事でわかること／地域事情／事例／原因・費用／CTA／FAQ</t>
        </is>
      </c>
      <c r="AQ18" s="15" t="str"/>
    </row>
    <row r="19">
      <c r="A19" s="15" t="n">
        <v>18</v>
      </c>
      <c r="B19" s="15" t="inlineStr">
        <is>
          <t>松山市 ヴェルウッド</t>
        </is>
      </c>
      <c r="C19" s="15" t="inlineStr">
        <is>
          <t>松山市 ヴェルウッド</t>
        </is>
      </c>
      <c r="D19" s="15" t="inlineStr">
        <is>
          <t>松山市でヴェルウッドを使う屋根工事｜特徴・注意点を解説</t>
        </is>
      </c>
      <c r="E19" s="15" t="inlineStr">
        <is>
          <t>屋根修理・屋根材</t>
        </is>
      </c>
      <c r="F19" s="15" t="inlineStr">
        <is>
          <t>屋根材注意型</t>
        </is>
      </c>
      <c r="G19" s="15" t="inlineStr">
        <is>
          <t>地域サービス型</t>
        </is>
      </c>
      <c r="H19" s="15" t="inlineStr">
        <is>
          <t>5,000〜7,000字</t>
        </is>
      </c>
      <c r="I19" s="15" t="n">
        <v>5000</v>
      </c>
      <c r="J19" s="15" t="n">
        <v>7000</v>
      </c>
      <c r="K19" s="15" t="inlineStr">
        <is>
          <t>高</t>
        </is>
      </c>
      <c r="L19" s="15" t="inlineStr">
        <is>
          <t>第2ロット：屋根修理・屋根材系</t>
        </is>
      </c>
      <c r="M19" s="15" t="inlineStr">
        <is>
          <t>018.md</t>
        </is>
      </c>
      <c r="N19" s="15" t="inlineStr">
        <is>
          <t>018.webp</t>
        </is>
      </c>
      <c r="O19" s="15" t="inlineStr">
        <is>
          <t>matsuyama-velwood</t>
        </is>
      </c>
      <c r="P19" s="15" t="inlineStr">
        <is>
          <t>松山市 ヴェルウッドについて、劣化症状、修理方法、費用目安、依頼前に確認したいポイントをわかりやすく解説します。</t>
        </is>
      </c>
      <c r="Q19" s="15" t="inlineStr">
        <is>
          <t>屋根修理</t>
        </is>
      </c>
      <c r="R19" s="15" t="inlineStr">
        <is>
          <t>松山市、屋根修理</t>
        </is>
      </c>
      <c r="S19" s="15" t="inlineStr">
        <is>
          <t>屋根無料点検・屋根修理</t>
        </is>
      </c>
      <c r="T19" s="15" t="inlineStr">
        <is>
          <t>屋根点検CTA</t>
        </is>
      </c>
      <c r="U19" s="15" t="inlineStr">
        <is>
          <t>屋根材・板金・瓦の状態を点検し、雨漏りリスクや修理方法を職人目線で確認します。</t>
        </is>
      </c>
      <c r="V19" s="15" t="inlineStr">
        <is>
          <t>ヴェルウッド</t>
        </is>
      </c>
      <c r="W19" s="15" t="inlineStr">
        <is>
          <t>雨漏り前に劣化を確認</t>
        </is>
      </c>
      <c r="X19" s="15" t="inlineStr">
        <is>
          <t>屋根点検・修理方法を解説</t>
        </is>
      </c>
      <c r="Y19" s="15" t="inlineStr">
        <is>
          <t>屋根材・瓦・板金・雨空</t>
        </is>
      </c>
      <c r="Z19" s="15" t="inlineStr">
        <is>
          <t>屋根を点検する職人</t>
        </is>
      </c>
      <c r="AA19" s="15" t="inlineStr">
        <is>
          <t>松山市版</t>
        </is>
      </c>
      <c r="AB19" s="15" t="inlineStr">
        <is>
          <t>屋根修理訴求</t>
        </is>
      </c>
      <c r="AC19" s="15" t="inlineStr">
        <is>
          <t>未着手</t>
        </is>
      </c>
      <c r="AD19" s="15" t="inlineStr">
        <is>
          <t>未着手</t>
        </is>
      </c>
      <c r="AE19" s="15" t="inlineStr">
        <is>
          <t>未反映</t>
        </is>
      </c>
      <c r="AF19" s="15" t="inlineStr">
        <is>
          <t>未投稿</t>
        </is>
      </c>
      <c r="AG19" s="15" t="inlineStr">
        <is>
          <t>create_only</t>
        </is>
      </c>
      <c r="AH19" s="15" t="str"/>
      <c r="AI19" s="15" t="str"/>
      <c r="AJ19" s="69" t="str"/>
      <c r="AK19" s="69" t="str"/>
      <c r="AL19" s="15" t="str"/>
      <c r="AM19" s="15">
        <f>IF(AL19="","",IF(AL19&lt;I19,"不足",IF(AL19&gt;J19,"超過","OK")))</f>
        <v/>
      </c>
      <c r="AN19" s="15" t="str"/>
      <c r="AO19" s="15" t="inlineStr">
        <is>
          <t>中心記事「松山市の屋根修理」へリンク。関連：屋根カバー・屋根材注意記事。</t>
        </is>
      </c>
      <c r="AP19" s="15" t="inlineStr">
        <is>
          <t>H1なし／この記事でわかること／地域事情／事例／原因・費用／CTA／FAQ</t>
        </is>
      </c>
      <c r="AQ19" s="15" t="str"/>
    </row>
    <row r="20">
      <c r="A20" s="15" t="n">
        <v>19</v>
      </c>
      <c r="B20" s="15" t="inlineStr">
        <is>
          <t>松山市 パミール屋根</t>
        </is>
      </c>
      <c r="C20" s="15" t="inlineStr">
        <is>
          <t>松山市 パミール屋根</t>
        </is>
      </c>
      <c r="D20" s="15" t="inlineStr">
        <is>
          <t>松山市のパミール屋根は塗装できる？劣化症状と対策を解説</t>
        </is>
      </c>
      <c r="E20" s="15" t="inlineStr">
        <is>
          <t>屋根修理・屋根材</t>
        </is>
      </c>
      <c r="F20" s="15" t="inlineStr">
        <is>
          <t>屋根材注意型</t>
        </is>
      </c>
      <c r="G20" s="15" t="inlineStr">
        <is>
          <t>建材・屋根材注意喚起型</t>
        </is>
      </c>
      <c r="H20" s="15" t="inlineStr">
        <is>
          <t>5,000〜7,000字</t>
        </is>
      </c>
      <c r="I20" s="15" t="n">
        <v>5000</v>
      </c>
      <c r="J20" s="15" t="n">
        <v>7000</v>
      </c>
      <c r="K20" s="15" t="inlineStr">
        <is>
          <t>高</t>
        </is>
      </c>
      <c r="L20" s="15" t="inlineStr">
        <is>
          <t>第2ロット：屋根修理・屋根材系</t>
        </is>
      </c>
      <c r="M20" s="15" t="inlineStr">
        <is>
          <t>019.md</t>
        </is>
      </c>
      <c r="N20" s="15" t="inlineStr">
        <is>
          <t>019.webp</t>
        </is>
      </c>
      <c r="O20" s="15" t="inlineStr">
        <is>
          <t>matsuyama-pamir-roof</t>
        </is>
      </c>
      <c r="P20" s="15" t="inlineStr">
        <is>
          <t>松山市 パミール屋根について、劣化症状、修理方法、費用目安、依頼前に確認したいポイントをわかりやすく解説します。</t>
        </is>
      </c>
      <c r="Q20" s="15" t="inlineStr">
        <is>
          <t>屋根修理</t>
        </is>
      </c>
      <c r="R20" s="15" t="inlineStr">
        <is>
          <t>松山市、屋根修理</t>
        </is>
      </c>
      <c r="S20" s="15" t="inlineStr">
        <is>
          <t>屋根無料点検・屋根修理</t>
        </is>
      </c>
      <c r="T20" s="15" t="inlineStr">
        <is>
          <t>屋根点検CTA</t>
        </is>
      </c>
      <c r="U20" s="15" t="inlineStr">
        <is>
          <t>屋根材・板金・瓦の状態を点検し、雨漏りリスクや修理方法を職人目線で確認します。</t>
        </is>
      </c>
      <c r="V20" s="15" t="inlineStr">
        <is>
          <t>パミール屋根</t>
        </is>
      </c>
      <c r="W20" s="15" t="inlineStr">
        <is>
          <t>雨漏り前に劣化を確認</t>
        </is>
      </c>
      <c r="X20" s="15" t="inlineStr">
        <is>
          <t>屋根点検・修理方法を解説</t>
        </is>
      </c>
      <c r="Y20" s="15" t="inlineStr">
        <is>
          <t>屋根材・瓦・板金・雨空</t>
        </is>
      </c>
      <c r="Z20" s="15" t="inlineStr">
        <is>
          <t>屋根を点検する職人</t>
        </is>
      </c>
      <c r="AA20" s="15" t="inlineStr">
        <is>
          <t>松山市版</t>
        </is>
      </c>
      <c r="AB20" s="15" t="inlineStr">
        <is>
          <t>屋根修理訴求</t>
        </is>
      </c>
      <c r="AC20" s="15" t="inlineStr">
        <is>
          <t>未着手</t>
        </is>
      </c>
      <c r="AD20" s="15" t="inlineStr">
        <is>
          <t>未着手</t>
        </is>
      </c>
      <c r="AE20" s="15" t="inlineStr">
        <is>
          <t>未反映</t>
        </is>
      </c>
      <c r="AF20" s="15" t="inlineStr">
        <is>
          <t>未投稿</t>
        </is>
      </c>
      <c r="AG20" s="15" t="inlineStr">
        <is>
          <t>create_only</t>
        </is>
      </c>
      <c r="AH20" s="15" t="str"/>
      <c r="AI20" s="15" t="str"/>
      <c r="AJ20" s="69" t="str"/>
      <c r="AK20" s="69" t="str"/>
      <c r="AL20" s="15" t="str"/>
      <c r="AM20" s="15">
        <f>IF(AL20="","",IF(AL20&lt;I20,"不足",IF(AL20&gt;J20,"超過","OK")))</f>
        <v/>
      </c>
      <c r="AN20" s="15" t="str"/>
      <c r="AO20" s="15" t="inlineStr">
        <is>
          <t>中心記事「松山市の屋根修理」へリンク。関連：屋根カバー・屋根材注意記事。</t>
        </is>
      </c>
      <c r="AP20" s="15" t="inlineStr">
        <is>
          <t>H1なし／この記事でわかること／地域事情／事例／原因・費用／CTA／FAQ</t>
        </is>
      </c>
      <c r="AQ20" s="15" t="str"/>
    </row>
    <row r="21">
      <c r="A21" s="15" t="n">
        <v>20</v>
      </c>
      <c r="B21" s="15" t="inlineStr">
        <is>
          <t>パナソニックホームズ 外壁塗装 松山市</t>
        </is>
      </c>
      <c r="C21" s="15" t="inlineStr">
        <is>
          <t>パナソニックホームズ 外壁塗装 松山市</t>
        </is>
      </c>
      <c r="D21" s="15" t="inlineStr">
        <is>
          <t>パナソニックホームズの外壁塗装を松山市で行う際の注意点を解説</t>
        </is>
      </c>
      <c r="E21" s="15" t="inlineStr">
        <is>
          <t>ハウスメーカー外壁塗装</t>
        </is>
      </c>
      <c r="F21" s="15" t="inlineStr">
        <is>
          <t>ハウスメーカー型</t>
        </is>
      </c>
      <c r="G21" s="15" t="inlineStr">
        <is>
          <t>ハウスメーカー住宅型</t>
        </is>
      </c>
      <c r="H21" s="15" t="inlineStr">
        <is>
          <t>4,500〜6,000字</t>
        </is>
      </c>
      <c r="I21" s="15" t="n">
        <v>4500</v>
      </c>
      <c r="J21" s="15" t="n">
        <v>6000</v>
      </c>
      <c r="K21" s="15" t="inlineStr">
        <is>
          <t>中</t>
        </is>
      </c>
      <c r="L21" s="15" t="inlineStr">
        <is>
          <t>第3ロット：外壁塗装・防水系</t>
        </is>
      </c>
      <c r="M21" s="15" t="inlineStr">
        <is>
          <t>020.md</t>
        </is>
      </c>
      <c r="N21" s="15" t="inlineStr">
        <is>
          <t>020.webp</t>
        </is>
      </c>
      <c r="O21" s="15" t="inlineStr">
        <is>
          <t>panasonic-homes-exterior-paint-matsuyama</t>
        </is>
      </c>
      <c r="P21" s="15" t="inlineStr">
        <is>
          <t>パナソニックホームズ 外壁塗装 松山市について、特徴、注意点、費用目安、業者選びのポイントを初心者にもわかりやすく解説します。</t>
        </is>
      </c>
      <c r="Q21" s="15" t="inlineStr">
        <is>
          <t>外壁塗装</t>
        </is>
      </c>
      <c r="R21" s="15" t="inlineStr">
        <is>
          <t>松山市、外壁塗装</t>
        </is>
      </c>
      <c r="S21" s="15" t="inlineStr">
        <is>
          <t>外装劣化診断・外壁塗装無料見積り</t>
        </is>
      </c>
      <c r="T21" s="15" t="inlineStr">
        <is>
          <t>無料見積りCTA</t>
        </is>
      </c>
      <c r="U21" s="15" t="inlineStr">
        <is>
          <t>費用は原因箇所や補修範囲で変わります。現地調査で状態を確認し、見積もりの根拠を写真付きでご説明します。</t>
        </is>
      </c>
      <c r="V21" s="15" t="inlineStr">
        <is>
          <t>パナソニックホームズ 外壁塗装 松山市</t>
        </is>
      </c>
      <c r="W21" s="15" t="inlineStr">
        <is>
          <t>放置リスクと判断基準を解説</t>
        </is>
      </c>
      <c r="X21" s="15" t="inlineStr">
        <is>
          <t>無料診断で状態確認</t>
        </is>
      </c>
      <c r="Y21" s="15" t="inlineStr">
        <is>
          <t>外壁ひび割れ・チョーキング・住宅外観</t>
        </is>
      </c>
      <c r="Z21" s="15" t="inlineStr">
        <is>
          <t>職人＋困った住人</t>
        </is>
      </c>
      <c r="AA21" s="15" t="inlineStr">
        <is>
          <t>松山市版</t>
        </is>
      </c>
      <c r="AB21" s="15" t="inlineStr">
        <is>
          <t>外壁塗装訴求</t>
        </is>
      </c>
      <c r="AC21" s="15" t="inlineStr">
        <is>
          <t>未着手</t>
        </is>
      </c>
      <c r="AD21" s="15" t="inlineStr">
        <is>
          <t>未着手</t>
        </is>
      </c>
      <c r="AE21" s="15" t="inlineStr">
        <is>
          <t>未反映</t>
        </is>
      </c>
      <c r="AF21" s="15" t="inlineStr">
        <is>
          <t>未投稿</t>
        </is>
      </c>
      <c r="AG21" s="15" t="inlineStr">
        <is>
          <t>create_only</t>
        </is>
      </c>
      <c r="AH21" s="15" t="str"/>
      <c r="AI21" s="15" t="str"/>
      <c r="AJ21" s="69" t="str"/>
      <c r="AK21" s="69" t="str"/>
      <c r="AL21" s="15" t="str"/>
      <c r="AM21" s="15">
        <f>IF(AL21="","",IF(AL21&lt;I21,"不足",IF(AL21&gt;J21,"超過","OK")))</f>
        <v/>
      </c>
      <c r="AN21" s="15" t="str"/>
      <c r="AO21" s="15" t="inlineStr">
        <is>
          <t>関連：外壁塗装工期、足場代、防水工事、屋根カバーへリンク。</t>
        </is>
      </c>
      <c r="AP21" s="15" t="inlineStr">
        <is>
          <t>H1なし／この記事でわかること／地域事情／事例／原因・費用／CTA／FAQ</t>
        </is>
      </c>
      <c r="AQ21" s="15" t="str"/>
    </row>
    <row r="22">
      <c r="A22" s="15" t="n">
        <v>21</v>
      </c>
      <c r="B22" s="15" t="inlineStr">
        <is>
          <t>レオハウス 外壁塗装 松山市</t>
        </is>
      </c>
      <c r="C22" s="15" t="inlineStr">
        <is>
          <t>レオハウス 外壁塗装 松山市</t>
        </is>
      </c>
      <c r="D22" s="15" t="inlineStr">
        <is>
          <t>レオハウスの外壁塗装を松山市で行う際の注意点を解説</t>
        </is>
      </c>
      <c r="E22" s="15" t="inlineStr">
        <is>
          <t>ハウスメーカー外壁塗装</t>
        </is>
      </c>
      <c r="F22" s="15" t="inlineStr">
        <is>
          <t>ハウスメーカー型</t>
        </is>
      </c>
      <c r="G22" s="15" t="inlineStr">
        <is>
          <t>ハウスメーカー住宅型</t>
        </is>
      </c>
      <c r="H22" s="15" t="inlineStr">
        <is>
          <t>4,500〜6,000字</t>
        </is>
      </c>
      <c r="I22" s="15" t="n">
        <v>4500</v>
      </c>
      <c r="J22" s="15" t="n">
        <v>6000</v>
      </c>
      <c r="K22" s="15" t="inlineStr">
        <is>
          <t>中</t>
        </is>
      </c>
      <c r="L22" s="15" t="inlineStr">
        <is>
          <t>第3ロット：外壁塗装・防水系</t>
        </is>
      </c>
      <c r="M22" s="15" t="inlineStr">
        <is>
          <t>021.md</t>
        </is>
      </c>
      <c r="N22" s="15" t="inlineStr">
        <is>
          <t>021.webp</t>
        </is>
      </c>
      <c r="O22" s="15" t="inlineStr">
        <is>
          <t>leo-house-exterior-paint-matsuyama</t>
        </is>
      </c>
      <c r="P22" s="15" t="inlineStr">
        <is>
          <t>レオハウス 外壁塗装 松山市について、特徴、注意点、費用目安、業者選びのポイントを初心者にもわかりやすく解説します。</t>
        </is>
      </c>
      <c r="Q22" s="15" t="inlineStr">
        <is>
          <t>外壁塗装</t>
        </is>
      </c>
      <c r="R22" s="15" t="inlineStr">
        <is>
          <t>松山市、外壁塗装</t>
        </is>
      </c>
      <c r="S22" s="15" t="inlineStr">
        <is>
          <t>外装劣化診断・外壁塗装無料見積り</t>
        </is>
      </c>
      <c r="T22" s="15" t="inlineStr">
        <is>
          <t>無料見積りCTA</t>
        </is>
      </c>
      <c r="U22" s="15" t="inlineStr">
        <is>
          <t>費用は原因箇所や補修範囲で変わります。現地調査で状態を確認し、見積もりの根拠を写真付きでご説明します。</t>
        </is>
      </c>
      <c r="V22" s="15" t="inlineStr">
        <is>
          <t>レオハウス 外壁塗装 松山市</t>
        </is>
      </c>
      <c r="W22" s="15" t="inlineStr">
        <is>
          <t>放置リスクと判断基準を解説</t>
        </is>
      </c>
      <c r="X22" s="15" t="inlineStr">
        <is>
          <t>無料診断で状態確認</t>
        </is>
      </c>
      <c r="Y22" s="15" t="inlineStr">
        <is>
          <t>外壁ひび割れ・チョーキング・住宅外観</t>
        </is>
      </c>
      <c r="Z22" s="15" t="inlineStr">
        <is>
          <t>職人＋困った住人</t>
        </is>
      </c>
      <c r="AA22" s="15" t="inlineStr">
        <is>
          <t>松山市版</t>
        </is>
      </c>
      <c r="AB22" s="15" t="inlineStr">
        <is>
          <t>外壁塗装訴求</t>
        </is>
      </c>
      <c r="AC22" s="15" t="inlineStr">
        <is>
          <t>未着手</t>
        </is>
      </c>
      <c r="AD22" s="15" t="inlineStr">
        <is>
          <t>未着手</t>
        </is>
      </c>
      <c r="AE22" s="15" t="inlineStr">
        <is>
          <t>未反映</t>
        </is>
      </c>
      <c r="AF22" s="15" t="inlineStr">
        <is>
          <t>未投稿</t>
        </is>
      </c>
      <c r="AG22" s="15" t="inlineStr">
        <is>
          <t>create_only</t>
        </is>
      </c>
      <c r="AH22" s="15" t="str"/>
      <c r="AI22" s="15" t="str"/>
      <c r="AJ22" s="69" t="str"/>
      <c r="AK22" s="69" t="str"/>
      <c r="AL22" s="15" t="str"/>
      <c r="AM22" s="15">
        <f>IF(AL22="","",IF(AL22&lt;I22,"不足",IF(AL22&gt;J22,"超過","OK")))</f>
        <v/>
      </c>
      <c r="AN22" s="15" t="str"/>
      <c r="AO22" s="15" t="inlineStr">
        <is>
          <t>関連：外壁塗装工期、足場代、防水工事、屋根カバーへリンク。</t>
        </is>
      </c>
      <c r="AP22" s="15" t="inlineStr">
        <is>
          <t>H1なし／この記事でわかること／地域事情／事例／原因・費用／CTA／FAQ</t>
        </is>
      </c>
      <c r="AQ22" s="15" t="str"/>
    </row>
    <row r="23">
      <c r="A23" s="15" t="n">
        <v>22</v>
      </c>
      <c r="B23" s="15" t="inlineStr">
        <is>
          <t>アットハウジング 外壁塗装 松山市</t>
        </is>
      </c>
      <c r="C23" s="15" t="inlineStr">
        <is>
          <t>アットハウジング 外壁塗装 松山市</t>
        </is>
      </c>
      <c r="D23" s="15" t="inlineStr">
        <is>
          <t>アットハウジングの外壁塗装を松山市で行う際の注意点を解説</t>
        </is>
      </c>
      <c r="E23" s="15" t="inlineStr">
        <is>
          <t>ハウスメーカー外壁塗装</t>
        </is>
      </c>
      <c r="F23" s="15" t="inlineStr">
        <is>
          <t>ハウスメーカー型</t>
        </is>
      </c>
      <c r="G23" s="15" t="inlineStr">
        <is>
          <t>ハウスメーカー住宅型</t>
        </is>
      </c>
      <c r="H23" s="15" t="inlineStr">
        <is>
          <t>4,500〜6,000字</t>
        </is>
      </c>
      <c r="I23" s="15" t="n">
        <v>4500</v>
      </c>
      <c r="J23" s="15" t="n">
        <v>6000</v>
      </c>
      <c r="K23" s="15" t="inlineStr">
        <is>
          <t>中</t>
        </is>
      </c>
      <c r="L23" s="15" t="inlineStr">
        <is>
          <t>第3ロット：外壁塗装・防水系</t>
        </is>
      </c>
      <c r="M23" s="15" t="inlineStr">
        <is>
          <t>022.md</t>
        </is>
      </c>
      <c r="N23" s="15" t="inlineStr">
        <is>
          <t>022.webp</t>
        </is>
      </c>
      <c r="O23" s="15" t="inlineStr">
        <is>
          <t>at-housing-exterior-paint-matsuyama</t>
        </is>
      </c>
      <c r="P23" s="15" t="inlineStr">
        <is>
          <t>アットハウジング 外壁塗装 松山市について、特徴、注意点、費用目安、業者選びのポイントを初心者にもわかりやすく解説します。</t>
        </is>
      </c>
      <c r="Q23" s="15" t="inlineStr">
        <is>
          <t>外壁塗装</t>
        </is>
      </c>
      <c r="R23" s="15" t="inlineStr">
        <is>
          <t>松山市、外壁塗装</t>
        </is>
      </c>
      <c r="S23" s="15" t="inlineStr">
        <is>
          <t>外装劣化診断・外壁塗装無料見積り</t>
        </is>
      </c>
      <c r="T23" s="15" t="inlineStr">
        <is>
          <t>無料見積りCTA</t>
        </is>
      </c>
      <c r="U23" s="15" t="inlineStr">
        <is>
          <t>費用は原因箇所や補修範囲で変わります。現地調査で状態を確認し、見積もりの根拠を写真付きでご説明します。</t>
        </is>
      </c>
      <c r="V23" s="15" t="inlineStr">
        <is>
          <t>アットハウジング 外壁塗装 松山市</t>
        </is>
      </c>
      <c r="W23" s="15" t="inlineStr">
        <is>
          <t>放置リスクと判断基準を解説</t>
        </is>
      </c>
      <c r="X23" s="15" t="inlineStr">
        <is>
          <t>無料診断で状態確認</t>
        </is>
      </c>
      <c r="Y23" s="15" t="inlineStr">
        <is>
          <t>外壁ひび割れ・チョーキング・住宅外観</t>
        </is>
      </c>
      <c r="Z23" s="15" t="inlineStr">
        <is>
          <t>職人＋困った住人</t>
        </is>
      </c>
      <c r="AA23" s="15" t="inlineStr">
        <is>
          <t>松山市版</t>
        </is>
      </c>
      <c r="AB23" s="15" t="inlineStr">
        <is>
          <t>外壁塗装訴求</t>
        </is>
      </c>
      <c r="AC23" s="15" t="inlineStr">
        <is>
          <t>未着手</t>
        </is>
      </c>
      <c r="AD23" s="15" t="inlineStr">
        <is>
          <t>未着手</t>
        </is>
      </c>
      <c r="AE23" s="15" t="inlineStr">
        <is>
          <t>未反映</t>
        </is>
      </c>
      <c r="AF23" s="15" t="inlineStr">
        <is>
          <t>未投稿</t>
        </is>
      </c>
      <c r="AG23" s="15" t="inlineStr">
        <is>
          <t>create_only</t>
        </is>
      </c>
      <c r="AH23" s="15" t="str"/>
      <c r="AI23" s="15" t="str"/>
      <c r="AJ23" s="69" t="str"/>
      <c r="AK23" s="69" t="str"/>
      <c r="AL23" s="15" t="str"/>
      <c r="AM23" s="15">
        <f>IF(AL23="","",IF(AL23&lt;I23,"不足",IF(AL23&gt;J23,"超過","OK")))</f>
        <v/>
      </c>
      <c r="AN23" s="15" t="str"/>
      <c r="AO23" s="15" t="inlineStr">
        <is>
          <t>関連：外壁塗装工期、足場代、防水工事、屋根カバーへリンク。</t>
        </is>
      </c>
      <c r="AP23" s="15" t="inlineStr">
        <is>
          <t>H1なし／この記事でわかること／地域事情／事例／原因・費用／CTA／FAQ</t>
        </is>
      </c>
      <c r="AQ23" s="15" t="str"/>
    </row>
    <row r="24">
      <c r="A24" s="15" t="n">
        <v>23</v>
      </c>
      <c r="B24" s="15" t="inlineStr">
        <is>
          <t>日本ハウスHD 外壁塗装 松山市</t>
        </is>
      </c>
      <c r="C24" s="15" t="inlineStr">
        <is>
          <t>日本ハウスHD 外壁塗装 松山市</t>
        </is>
      </c>
      <c r="D24" s="15" t="inlineStr">
        <is>
          <t>日本ハウスHDの外壁塗装を松山市で行う際の注意点を解説</t>
        </is>
      </c>
      <c r="E24" s="15" t="inlineStr">
        <is>
          <t>ハウスメーカー外壁塗装</t>
        </is>
      </c>
      <c r="F24" s="15" t="inlineStr">
        <is>
          <t>ハウスメーカー型</t>
        </is>
      </c>
      <c r="G24" s="15" t="inlineStr">
        <is>
          <t>ハウスメーカー住宅型</t>
        </is>
      </c>
      <c r="H24" s="15" t="inlineStr">
        <is>
          <t>4,500〜6,000字</t>
        </is>
      </c>
      <c r="I24" s="15" t="n">
        <v>4500</v>
      </c>
      <c r="J24" s="15" t="n">
        <v>6000</v>
      </c>
      <c r="K24" s="15" t="inlineStr">
        <is>
          <t>中</t>
        </is>
      </c>
      <c r="L24" s="15" t="inlineStr">
        <is>
          <t>第3ロット：外壁塗装・防水系</t>
        </is>
      </c>
      <c r="M24" s="15" t="inlineStr">
        <is>
          <t>023.md</t>
        </is>
      </c>
      <c r="N24" s="15" t="inlineStr">
        <is>
          <t>023.webp</t>
        </is>
      </c>
      <c r="O24" s="15" t="inlineStr">
        <is>
          <t>nihon-house-hd-exterior-paint-matsuyama</t>
        </is>
      </c>
      <c r="P24" s="15" t="inlineStr">
        <is>
          <t>日本ハウスHD 外壁塗装 松山市について、特徴、注意点、費用目安、業者選びのポイントを初心者にもわかりやすく解説します。</t>
        </is>
      </c>
      <c r="Q24" s="15" t="inlineStr">
        <is>
          <t>外壁塗装</t>
        </is>
      </c>
      <c r="R24" s="15" t="inlineStr">
        <is>
          <t>松山市、外壁塗装</t>
        </is>
      </c>
      <c r="S24" s="15" t="inlineStr">
        <is>
          <t>外装劣化診断・外壁塗装無料見積り</t>
        </is>
      </c>
      <c r="T24" s="15" t="inlineStr">
        <is>
          <t>無料見積りCTA</t>
        </is>
      </c>
      <c r="U24" s="15" t="inlineStr">
        <is>
          <t>費用は原因箇所や補修範囲で変わります。現地調査で状態を確認し、見積もりの根拠を写真付きでご説明します。</t>
        </is>
      </c>
      <c r="V24" s="15" t="inlineStr">
        <is>
          <t>日本ハウスHD 外壁塗装 松山市</t>
        </is>
      </c>
      <c r="W24" s="15" t="inlineStr">
        <is>
          <t>放置リスクと判断基準を解説</t>
        </is>
      </c>
      <c r="X24" s="15" t="inlineStr">
        <is>
          <t>無料診断で状態確認</t>
        </is>
      </c>
      <c r="Y24" s="15" t="inlineStr">
        <is>
          <t>外壁ひび割れ・チョーキング・住宅外観</t>
        </is>
      </c>
      <c r="Z24" s="15" t="inlineStr">
        <is>
          <t>職人＋困った住人</t>
        </is>
      </c>
      <c r="AA24" s="15" t="inlineStr">
        <is>
          <t>松山市版</t>
        </is>
      </c>
      <c r="AB24" s="15" t="inlineStr">
        <is>
          <t>外壁塗装訴求</t>
        </is>
      </c>
      <c r="AC24" s="15" t="inlineStr">
        <is>
          <t>未着手</t>
        </is>
      </c>
      <c r="AD24" s="15" t="inlineStr">
        <is>
          <t>未着手</t>
        </is>
      </c>
      <c r="AE24" s="15" t="inlineStr">
        <is>
          <t>未反映</t>
        </is>
      </c>
      <c r="AF24" s="15" t="inlineStr">
        <is>
          <t>未投稿</t>
        </is>
      </c>
      <c r="AG24" s="15" t="inlineStr">
        <is>
          <t>create_only</t>
        </is>
      </c>
      <c r="AH24" s="15" t="str"/>
      <c r="AI24" s="15" t="str"/>
      <c r="AJ24" s="69" t="str"/>
      <c r="AK24" s="69" t="str"/>
      <c r="AL24" s="15" t="str"/>
      <c r="AM24" s="15">
        <f>IF(AL24="","",IF(AL24&lt;I24,"不足",IF(AL24&gt;J24,"超過","OK")))</f>
        <v/>
      </c>
      <c r="AN24" s="15" t="str"/>
      <c r="AO24" s="15" t="inlineStr">
        <is>
          <t>関連：外壁塗装工期、足場代、防水工事、屋根カバーへリンク。</t>
        </is>
      </c>
      <c r="AP24" s="15" t="inlineStr">
        <is>
          <t>H1なし／この記事でわかること／地域事情／事例／原因・費用／CTA／FAQ</t>
        </is>
      </c>
      <c r="AQ24" s="15" t="str"/>
    </row>
    <row r="25">
      <c r="A25" s="15" t="n">
        <v>24</v>
      </c>
      <c r="B25" s="15" t="inlineStr">
        <is>
          <t>アイフルホーム 外壁塗装 松山市</t>
        </is>
      </c>
      <c r="C25" s="15" t="inlineStr">
        <is>
          <t>アイフルホーム 外壁塗装 松山市</t>
        </is>
      </c>
      <c r="D25" s="15" t="inlineStr">
        <is>
          <t>アイフルホームの外壁塗装を松山市で行う際の注意点を解説</t>
        </is>
      </c>
      <c r="E25" s="15" t="inlineStr">
        <is>
          <t>ハウスメーカー外壁塗装</t>
        </is>
      </c>
      <c r="F25" s="15" t="inlineStr">
        <is>
          <t>ハウスメーカー型</t>
        </is>
      </c>
      <c r="G25" s="15" t="inlineStr">
        <is>
          <t>ハウスメーカー住宅型</t>
        </is>
      </c>
      <c r="H25" s="15" t="inlineStr">
        <is>
          <t>4,500〜6,000字</t>
        </is>
      </c>
      <c r="I25" s="15" t="n">
        <v>4500</v>
      </c>
      <c r="J25" s="15" t="n">
        <v>6000</v>
      </c>
      <c r="K25" s="15" t="inlineStr">
        <is>
          <t>中</t>
        </is>
      </c>
      <c r="L25" s="15" t="inlineStr">
        <is>
          <t>第3ロット：外壁塗装・防水系</t>
        </is>
      </c>
      <c r="M25" s="15" t="inlineStr">
        <is>
          <t>024.md</t>
        </is>
      </c>
      <c r="N25" s="15" t="inlineStr">
        <is>
          <t>024.webp</t>
        </is>
      </c>
      <c r="O25" s="15" t="inlineStr">
        <is>
          <t>eyeful-home-exterior-paint-matsuyama</t>
        </is>
      </c>
      <c r="P25" s="15" t="inlineStr">
        <is>
          <t>アイフルホーム 外壁塗装 松山市について、特徴、注意点、費用目安、業者選びのポイントを初心者にもわかりやすく解説します。</t>
        </is>
      </c>
      <c r="Q25" s="15" t="inlineStr">
        <is>
          <t>外壁塗装</t>
        </is>
      </c>
      <c r="R25" s="15" t="inlineStr">
        <is>
          <t>松山市、外壁塗装</t>
        </is>
      </c>
      <c r="S25" s="15" t="inlineStr">
        <is>
          <t>外装劣化診断・外壁塗装無料見積り</t>
        </is>
      </c>
      <c r="T25" s="15" t="inlineStr">
        <is>
          <t>無料見積りCTA</t>
        </is>
      </c>
      <c r="U25" s="15" t="inlineStr">
        <is>
          <t>費用は原因箇所や補修範囲で変わります。現地調査で状態を確認し、見積もりの根拠を写真付きでご説明します。</t>
        </is>
      </c>
      <c r="V25" s="15" t="inlineStr">
        <is>
          <t>アイフルホーム 外壁塗装 松山市</t>
        </is>
      </c>
      <c r="W25" s="15" t="inlineStr">
        <is>
          <t>放置リスクと判断基準を解説</t>
        </is>
      </c>
      <c r="X25" s="15" t="inlineStr">
        <is>
          <t>無料診断で状態確認</t>
        </is>
      </c>
      <c r="Y25" s="15" t="inlineStr">
        <is>
          <t>外壁ひび割れ・チョーキング・住宅外観</t>
        </is>
      </c>
      <c r="Z25" s="15" t="inlineStr">
        <is>
          <t>職人＋困った住人</t>
        </is>
      </c>
      <c r="AA25" s="15" t="inlineStr">
        <is>
          <t>松山市版</t>
        </is>
      </c>
      <c r="AB25" s="15" t="inlineStr">
        <is>
          <t>外壁塗装訴求</t>
        </is>
      </c>
      <c r="AC25" s="15" t="inlineStr">
        <is>
          <t>未着手</t>
        </is>
      </c>
      <c r="AD25" s="15" t="inlineStr">
        <is>
          <t>未着手</t>
        </is>
      </c>
      <c r="AE25" s="15" t="inlineStr">
        <is>
          <t>未反映</t>
        </is>
      </c>
      <c r="AF25" s="15" t="inlineStr">
        <is>
          <t>未投稿</t>
        </is>
      </c>
      <c r="AG25" s="15" t="inlineStr">
        <is>
          <t>create_only</t>
        </is>
      </c>
      <c r="AH25" s="15" t="str"/>
      <c r="AI25" s="15" t="str"/>
      <c r="AJ25" s="69" t="str"/>
      <c r="AK25" s="69" t="str"/>
      <c r="AL25" s="15" t="str"/>
      <c r="AM25" s="15">
        <f>IF(AL25="","",IF(AL25&lt;I25,"不足",IF(AL25&gt;J25,"超過","OK")))</f>
        <v/>
      </c>
      <c r="AN25" s="15" t="str"/>
      <c r="AO25" s="15" t="inlineStr">
        <is>
          <t>関連：外壁塗装工期、足場代、防水工事、屋根カバーへリンク。</t>
        </is>
      </c>
      <c r="AP25" s="15" t="inlineStr">
        <is>
          <t>H1なし／この記事でわかること／地域事情／事例／原因・費用／CTA／FAQ</t>
        </is>
      </c>
      <c r="AQ25" s="15" t="str"/>
    </row>
    <row r="26">
      <c r="A26" s="15" t="n">
        <v>25</v>
      </c>
      <c r="B26" s="15" t="inlineStr">
        <is>
          <t>外壁から雨漏りする原因</t>
        </is>
      </c>
      <c r="C26" s="15" t="inlineStr">
        <is>
          <t>外壁から雨漏りする原因</t>
        </is>
      </c>
      <c r="D26" s="15" t="inlineStr">
        <is>
          <t>外壁から雨漏りする原因とは？ひび割れ・コーキング劣化の対策</t>
        </is>
      </c>
      <c r="E26" s="15" t="inlineStr">
        <is>
          <t>雨漏り</t>
        </is>
      </c>
      <c r="F26" s="15" t="inlineStr">
        <is>
          <t>原因・症状型</t>
        </is>
      </c>
      <c r="G26" s="15" t="inlineStr">
        <is>
          <t>原因・症状解説型</t>
        </is>
      </c>
      <c r="H26" s="15" t="inlineStr">
        <is>
          <t>4,500〜6,500字</t>
        </is>
      </c>
      <c r="I26" s="15" t="n">
        <v>4500</v>
      </c>
      <c r="J26" s="15" t="n">
        <v>6500</v>
      </c>
      <c r="K26" s="15" t="inlineStr">
        <is>
          <t>高</t>
        </is>
      </c>
      <c r="L26" s="15" t="inlineStr">
        <is>
          <t>第1ロット：雨漏り系</t>
        </is>
      </c>
      <c r="M26" s="15" t="inlineStr">
        <is>
          <t>025.md</t>
        </is>
      </c>
      <c r="N26" s="15" t="inlineStr">
        <is>
          <t>025.webp</t>
        </is>
      </c>
      <c r="O26" s="15" t="inlineStr">
        <is>
          <t>exterior-wall-leak-cause</t>
        </is>
      </c>
      <c r="P26" s="15" t="inlineStr">
        <is>
          <t>外壁から雨漏りする原因について、主な原因、放置リスク、修理方法、業者選びのポイントを松山市で検討中の方向けに解説します。</t>
        </is>
      </c>
      <c r="Q26" s="15" t="inlineStr">
        <is>
          <t>雨漏り修理</t>
        </is>
      </c>
      <c r="R26" s="15" t="inlineStr">
        <is>
          <t>雨漏り、雨漏り修理</t>
        </is>
      </c>
      <c r="S26" s="15" t="inlineStr">
        <is>
          <t>雨漏り無料点検・無料見積り</t>
        </is>
      </c>
      <c r="T26" s="15" t="inlineStr">
        <is>
          <t>雨漏り無料点検CTA</t>
        </is>
      </c>
      <c r="U26" s="15" t="inlineStr">
        <is>
          <t>松山市で雨漏りが気になる方は、まずは無料点検・無料見積りをご利用ください。原因を確認し、必要な工事だけをご提案します。</t>
        </is>
      </c>
      <c r="V26" s="15" t="inlineStr">
        <is>
          <t>外壁から雨漏りする原因の原因は？</t>
        </is>
      </c>
      <c r="W26" s="15" t="inlineStr">
        <is>
          <t>放置リスクと対処法を解説</t>
        </is>
      </c>
      <c r="X26" s="15" t="inlineStr">
        <is>
          <t>早めの確認が大切</t>
        </is>
      </c>
      <c r="Y26" s="15" t="inlineStr">
        <is>
          <t>劣化箇所の拡大・雨染み・ひび割れ</t>
        </is>
      </c>
      <c r="Z26" s="15" t="inlineStr">
        <is>
          <t>職人</t>
        </is>
      </c>
      <c r="AA26" s="15" t="inlineStr">
        <is>
          <t>松山市版</t>
        </is>
      </c>
      <c r="AB26" s="15" t="inlineStr">
        <is>
          <t>原因解説訴求</t>
        </is>
      </c>
      <c r="AC26" s="15" t="inlineStr">
        <is>
          <t>未着手</t>
        </is>
      </c>
      <c r="AD26" s="15" t="inlineStr">
        <is>
          <t>未着手</t>
        </is>
      </c>
      <c r="AE26" s="15" t="inlineStr">
        <is>
          <t>未反映</t>
        </is>
      </c>
      <c r="AF26" s="15" t="inlineStr">
        <is>
          <t>未投稿</t>
        </is>
      </c>
      <c r="AG26" s="15" t="inlineStr">
        <is>
          <t>create_only</t>
        </is>
      </c>
      <c r="AH26" s="15" t="str"/>
      <c r="AI26" s="15" t="str"/>
      <c r="AJ26" s="69" t="str"/>
      <c r="AK26" s="69" t="str"/>
      <c r="AL26" s="15" t="str"/>
      <c r="AM26" s="15">
        <f>IF(AL26="","",IF(AL26&lt;I26,"不足",IF(AL26&gt;J26,"超過","OK")))</f>
        <v/>
      </c>
      <c r="AN26" s="15" t="str"/>
      <c r="AO26" s="15" t="inlineStr">
        <is>
          <t>中心記事「松山市の雨漏り修理」へリンク。関連：雨漏り費用・調査・屋根雨漏り。</t>
        </is>
      </c>
      <c r="AP26" s="15" t="inlineStr">
        <is>
          <t>H1なし／この記事でわかること／地域事情／事例／原因・費用／CTA／FAQ</t>
        </is>
      </c>
      <c r="AQ26" s="15" t="str"/>
    </row>
    <row r="27">
      <c r="A27" s="15" t="n">
        <v>26</v>
      </c>
      <c r="B27" s="15" t="inlineStr">
        <is>
          <t>窓枠から雨漏りする原因</t>
        </is>
      </c>
      <c r="C27" s="15" t="inlineStr">
        <is>
          <t>窓枠から雨漏りする原因</t>
        </is>
      </c>
      <c r="D27" s="15" t="inlineStr">
        <is>
          <t>窓枠から雨漏りする原因とは？サッシまわりの劣化と修理方法</t>
        </is>
      </c>
      <c r="E27" s="15" t="inlineStr">
        <is>
          <t>雨漏り</t>
        </is>
      </c>
      <c r="F27" s="15" t="inlineStr">
        <is>
          <t>原因・症状型</t>
        </is>
      </c>
      <c r="G27" s="15" t="inlineStr">
        <is>
          <t>原因・症状解説型</t>
        </is>
      </c>
      <c r="H27" s="15" t="inlineStr">
        <is>
          <t>4,500〜6,500字</t>
        </is>
      </c>
      <c r="I27" s="15" t="n">
        <v>4500</v>
      </c>
      <c r="J27" s="15" t="n">
        <v>6500</v>
      </c>
      <c r="K27" s="15" t="inlineStr">
        <is>
          <t>高</t>
        </is>
      </c>
      <c r="L27" s="15" t="inlineStr">
        <is>
          <t>第1ロット：雨漏り系</t>
        </is>
      </c>
      <c r="M27" s="15" t="inlineStr">
        <is>
          <t>026.md</t>
        </is>
      </c>
      <c r="N27" s="15" t="inlineStr">
        <is>
          <t>026.webp</t>
        </is>
      </c>
      <c r="O27" s="15" t="inlineStr">
        <is>
          <t>window-frame-leak-cause</t>
        </is>
      </c>
      <c r="P27" s="15" t="inlineStr">
        <is>
          <t>窓枠から雨漏りする原因について、主な原因、放置リスク、修理方法、業者選びのポイントを松山市で検討中の方向けに解説します。</t>
        </is>
      </c>
      <c r="Q27" s="15" t="inlineStr">
        <is>
          <t>雨漏り修理</t>
        </is>
      </c>
      <c r="R27" s="15" t="inlineStr">
        <is>
          <t>雨漏り、雨漏り修理</t>
        </is>
      </c>
      <c r="S27" s="15" t="inlineStr">
        <is>
          <t>雨漏り無料点検・無料見積り</t>
        </is>
      </c>
      <c r="T27" s="15" t="inlineStr">
        <is>
          <t>雨漏り無料点検CTA</t>
        </is>
      </c>
      <c r="U27" s="15" t="inlineStr">
        <is>
          <t>松山市で雨漏りが気になる方は、まずは無料点検・無料見積りをご利用ください。原因を確認し、必要な工事だけをご提案します。</t>
        </is>
      </c>
      <c r="V27" s="15" t="inlineStr">
        <is>
          <t>窓枠から雨漏りする原因の原因は？</t>
        </is>
      </c>
      <c r="W27" s="15" t="inlineStr">
        <is>
          <t>放置リスクと対処法を解説</t>
        </is>
      </c>
      <c r="X27" s="15" t="inlineStr">
        <is>
          <t>早めの確認が大切</t>
        </is>
      </c>
      <c r="Y27" s="15" t="inlineStr">
        <is>
          <t>劣化箇所の拡大・雨染み・ひび割れ</t>
        </is>
      </c>
      <c r="Z27" s="15" t="inlineStr">
        <is>
          <t>職人</t>
        </is>
      </c>
      <c r="AA27" s="15" t="inlineStr">
        <is>
          <t>松山市版</t>
        </is>
      </c>
      <c r="AB27" s="15" t="inlineStr">
        <is>
          <t>原因解説訴求</t>
        </is>
      </c>
      <c r="AC27" s="15" t="inlineStr">
        <is>
          <t>未着手</t>
        </is>
      </c>
      <c r="AD27" s="15" t="inlineStr">
        <is>
          <t>未着手</t>
        </is>
      </c>
      <c r="AE27" s="15" t="inlineStr">
        <is>
          <t>未反映</t>
        </is>
      </c>
      <c r="AF27" s="15" t="inlineStr">
        <is>
          <t>未投稿</t>
        </is>
      </c>
      <c r="AG27" s="15" t="inlineStr">
        <is>
          <t>create_only</t>
        </is>
      </c>
      <c r="AH27" s="15" t="str"/>
      <c r="AI27" s="15" t="str"/>
      <c r="AJ27" s="69" t="str"/>
      <c r="AK27" s="69" t="str"/>
      <c r="AL27" s="15" t="str"/>
      <c r="AM27" s="15">
        <f>IF(AL27="","",IF(AL27&lt;I27,"不足",IF(AL27&gt;J27,"超過","OK")))</f>
        <v/>
      </c>
      <c r="AN27" s="15" t="str"/>
      <c r="AO27" s="15" t="inlineStr">
        <is>
          <t>中心記事「松山市の雨漏り修理」へリンク。関連：雨漏り費用・調査・屋根雨漏り。</t>
        </is>
      </c>
      <c r="AP27" s="15" t="inlineStr">
        <is>
          <t>H1なし／この記事でわかること／地域事情／事例／原因・費用／CTA／FAQ</t>
        </is>
      </c>
      <c r="AQ27" s="15" t="str"/>
    </row>
    <row r="28">
      <c r="A28" s="15" t="n">
        <v>27</v>
      </c>
      <c r="B28" s="15" t="inlineStr">
        <is>
          <t>天窓雨漏り修理</t>
        </is>
      </c>
      <c r="C28" s="15" t="inlineStr">
        <is>
          <t>天窓雨漏り修理</t>
        </is>
      </c>
      <c r="D28" s="15" t="inlineStr">
        <is>
          <t>天窓の雨漏り修理はどうする？原因・費用・放置リスクを解説</t>
        </is>
      </c>
      <c r="E28" s="15" t="inlineStr">
        <is>
          <t>雨漏り</t>
        </is>
      </c>
      <c r="F28" s="15" t="inlineStr">
        <is>
          <t>原因・症状型</t>
        </is>
      </c>
      <c r="G28" s="15" t="inlineStr">
        <is>
          <t>地域サービス型</t>
        </is>
      </c>
      <c r="H28" s="15" t="inlineStr">
        <is>
          <t>4,500〜6,500字</t>
        </is>
      </c>
      <c r="I28" s="15" t="n">
        <v>4500</v>
      </c>
      <c r="J28" s="15" t="n">
        <v>6500</v>
      </c>
      <c r="K28" s="15" t="inlineStr">
        <is>
          <t>高</t>
        </is>
      </c>
      <c r="L28" s="15" t="inlineStr">
        <is>
          <t>第1ロット：雨漏り系</t>
        </is>
      </c>
      <c r="M28" s="15" t="inlineStr">
        <is>
          <t>027.md</t>
        </is>
      </c>
      <c r="N28" s="15" t="inlineStr">
        <is>
          <t>027.webp</t>
        </is>
      </c>
      <c r="O28" s="15" t="inlineStr">
        <is>
          <t>skylight-leak-repair</t>
        </is>
      </c>
      <c r="P28" s="15" t="inlineStr">
        <is>
          <t>天窓雨漏り修理について、主な原因、放置リスク、修理方法、業者選びのポイントを松山市で検討中の方向けに解説します。</t>
        </is>
      </c>
      <c r="Q28" s="15" t="inlineStr">
        <is>
          <t>雨漏り修理</t>
        </is>
      </c>
      <c r="R28" s="15" t="inlineStr">
        <is>
          <t>雨漏り、雨漏り修理</t>
        </is>
      </c>
      <c r="S28" s="15" t="inlineStr">
        <is>
          <t>雨漏り無料点検・無料見積り</t>
        </is>
      </c>
      <c r="T28" s="15" t="inlineStr">
        <is>
          <t>雨漏り無料点検CTA</t>
        </is>
      </c>
      <c r="U28" s="15" t="inlineStr">
        <is>
          <t>松山市で雨漏りが気になる方は、まずは無料点検・無料見積りをご利用ください。原因を確認し、必要な工事だけをご提案します。</t>
        </is>
      </c>
      <c r="V28" s="15" t="inlineStr">
        <is>
          <t>松山市の雨漏り修理</t>
        </is>
      </c>
      <c r="W28" s="15" t="inlineStr">
        <is>
          <t>原因・費用・業者選びをプロが解説</t>
        </is>
      </c>
      <c r="X28" s="15" t="inlineStr">
        <is>
          <t>無料点検受付中</t>
        </is>
      </c>
      <c r="Y28" s="15" t="inlineStr">
        <is>
          <t>天井シミ・雨だれ・屋根点検</t>
        </is>
      </c>
      <c r="Z28" s="15" t="inlineStr">
        <is>
          <t>ヘルメットの職人</t>
        </is>
      </c>
      <c r="AA28" s="15" t="inlineStr">
        <is>
          <t>松山市版</t>
        </is>
      </c>
      <c r="AB28" s="15" t="inlineStr">
        <is>
          <t>強めサムネ・雨漏り訴求</t>
        </is>
      </c>
      <c r="AC28" s="15" t="inlineStr">
        <is>
          <t>未着手</t>
        </is>
      </c>
      <c r="AD28" s="15" t="inlineStr">
        <is>
          <t>未着手</t>
        </is>
      </c>
      <c r="AE28" s="15" t="inlineStr">
        <is>
          <t>未反映</t>
        </is>
      </c>
      <c r="AF28" s="15" t="inlineStr">
        <is>
          <t>未投稿</t>
        </is>
      </c>
      <c r="AG28" s="15" t="inlineStr">
        <is>
          <t>create_only</t>
        </is>
      </c>
      <c r="AH28" s="15" t="str"/>
      <c r="AI28" s="15" t="str"/>
      <c r="AJ28" s="69" t="str"/>
      <c r="AK28" s="69" t="str"/>
      <c r="AL28" s="15" t="str"/>
      <c r="AM28" s="15">
        <f>IF(AL28="","",IF(AL28&lt;I28,"不足",IF(AL28&gt;J28,"超過","OK")))</f>
        <v/>
      </c>
      <c r="AN28" s="15" t="str"/>
      <c r="AO28" s="15" t="inlineStr">
        <is>
          <t>中心記事「松山市の雨漏り修理」へリンク。関連：雨漏り費用・調査・屋根雨漏り。</t>
        </is>
      </c>
      <c r="AP28" s="15" t="inlineStr">
        <is>
          <t>H1なし／この記事でわかること／地域事情／事例／原因・費用／CTA／FAQ</t>
        </is>
      </c>
      <c r="AQ28" s="15" t="str"/>
    </row>
    <row r="29">
      <c r="A29" s="15" t="n">
        <v>28</v>
      </c>
      <c r="B29" s="15" t="inlineStr">
        <is>
          <t>笠木雨漏り</t>
        </is>
      </c>
      <c r="C29" s="15" t="inlineStr">
        <is>
          <t>笠木雨漏り</t>
        </is>
      </c>
      <c r="D29" s="15" t="inlineStr">
        <is>
          <t>笠木雨漏りの原因とは？ベランダ・外壁まわりの防水対策</t>
        </is>
      </c>
      <c r="E29" s="15" t="inlineStr">
        <is>
          <t>雨漏り</t>
        </is>
      </c>
      <c r="F29" s="15" t="inlineStr">
        <is>
          <t>原因・症状型</t>
        </is>
      </c>
      <c r="G29" s="15" t="inlineStr">
        <is>
          <t>地域サービス型</t>
        </is>
      </c>
      <c r="H29" s="15" t="inlineStr">
        <is>
          <t>4,500〜6,500字</t>
        </is>
      </c>
      <c r="I29" s="15" t="n">
        <v>4500</v>
      </c>
      <c r="J29" s="15" t="n">
        <v>6500</v>
      </c>
      <c r="K29" s="15" t="inlineStr">
        <is>
          <t>高</t>
        </is>
      </c>
      <c r="L29" s="15" t="inlineStr">
        <is>
          <t>第1ロット：雨漏り系</t>
        </is>
      </c>
      <c r="M29" s="15" t="inlineStr">
        <is>
          <t>028.md</t>
        </is>
      </c>
      <c r="N29" s="15" t="inlineStr">
        <is>
          <t>028.webp</t>
        </is>
      </c>
      <c r="O29" s="15" t="inlineStr">
        <is>
          <t>coping-leak</t>
        </is>
      </c>
      <c r="P29" s="15" t="inlineStr">
        <is>
          <t>笠木雨漏りについて、主な原因、放置リスク、修理方法、業者選びのポイントを松山市で検討中の方向けに解説します。</t>
        </is>
      </c>
      <c r="Q29" s="15" t="inlineStr">
        <is>
          <t>雨漏り修理</t>
        </is>
      </c>
      <c r="R29" s="15" t="inlineStr">
        <is>
          <t>雨漏り、雨漏り修理</t>
        </is>
      </c>
      <c r="S29" s="15" t="inlineStr">
        <is>
          <t>雨漏り無料点検・無料見積り</t>
        </is>
      </c>
      <c r="T29" s="15" t="inlineStr">
        <is>
          <t>雨漏り無料点検CTA</t>
        </is>
      </c>
      <c r="U29" s="15" t="inlineStr">
        <is>
          <t>松山市で雨漏りが気になる方は、まずは無料点検・無料見積りをご利用ください。原因を確認し、必要な工事だけをご提案します。</t>
        </is>
      </c>
      <c r="V29" s="15" t="inlineStr">
        <is>
          <t>笠木雨漏り</t>
        </is>
      </c>
      <c r="W29" s="15" t="inlineStr">
        <is>
          <t>症状・費用・注意点を解説</t>
        </is>
      </c>
      <c r="X29" s="15" t="inlineStr">
        <is>
          <t>プロが分かりやすく解説</t>
        </is>
      </c>
      <c r="Y29" s="15" t="inlineStr">
        <is>
          <t>住宅外観・劣化箇所</t>
        </is>
      </c>
      <c r="Z29" s="15" t="inlineStr">
        <is>
          <t>職人</t>
        </is>
      </c>
      <c r="AA29" s="15" t="inlineStr">
        <is>
          <t>松山市版</t>
        </is>
      </c>
      <c r="AB29" s="15" t="inlineStr">
        <is>
          <t>汎用外装訴求</t>
        </is>
      </c>
      <c r="AC29" s="15" t="inlineStr">
        <is>
          <t>未着手</t>
        </is>
      </c>
      <c r="AD29" s="15" t="inlineStr">
        <is>
          <t>未着手</t>
        </is>
      </c>
      <c r="AE29" s="15" t="inlineStr">
        <is>
          <t>未反映</t>
        </is>
      </c>
      <c r="AF29" s="15" t="inlineStr">
        <is>
          <t>未投稿</t>
        </is>
      </c>
      <c r="AG29" s="15" t="inlineStr">
        <is>
          <t>create_only</t>
        </is>
      </c>
      <c r="AH29" s="15" t="str"/>
      <c r="AI29" s="15" t="str"/>
      <c r="AJ29" s="69" t="str"/>
      <c r="AK29" s="69" t="str"/>
      <c r="AL29" s="15" t="str"/>
      <c r="AM29" s="15">
        <f>IF(AL29="","",IF(AL29&lt;I29,"不足",IF(AL29&gt;J29,"超過","OK")))</f>
        <v/>
      </c>
      <c r="AN29" s="15" t="str"/>
      <c r="AO29" s="15" t="inlineStr">
        <is>
          <t>中心記事「松山市の雨漏り修理」へリンク。関連：雨漏り費用・調査・屋根雨漏り。</t>
        </is>
      </c>
      <c r="AP29" s="15" t="inlineStr">
        <is>
          <t>H1なし／この記事でわかること／地域事情／事例／原因・費用／CTA／FAQ</t>
        </is>
      </c>
      <c r="AQ29" s="15" t="str"/>
    </row>
    <row r="30">
      <c r="A30" s="15" t="n">
        <v>29</v>
      </c>
      <c r="B30" s="15" t="inlineStr">
        <is>
          <t>幕板雨漏り</t>
        </is>
      </c>
      <c r="C30" s="15" t="inlineStr">
        <is>
          <t>幕板雨漏り</t>
        </is>
      </c>
      <c r="D30" s="15" t="inlineStr">
        <is>
          <t>幕板から雨漏りする原因とは？劣化症状と補修方法を解説</t>
        </is>
      </c>
      <c r="E30" s="15" t="inlineStr">
        <is>
          <t>雨漏り</t>
        </is>
      </c>
      <c r="F30" s="15" t="inlineStr">
        <is>
          <t>原因・症状型</t>
        </is>
      </c>
      <c r="G30" s="15" t="inlineStr">
        <is>
          <t>地域サービス型</t>
        </is>
      </c>
      <c r="H30" s="15" t="inlineStr">
        <is>
          <t>4,500〜6,500字</t>
        </is>
      </c>
      <c r="I30" s="15" t="n">
        <v>4500</v>
      </c>
      <c r="J30" s="15" t="n">
        <v>6500</v>
      </c>
      <c r="K30" s="15" t="inlineStr">
        <is>
          <t>高</t>
        </is>
      </c>
      <c r="L30" s="15" t="inlineStr">
        <is>
          <t>第1ロット：雨漏り系</t>
        </is>
      </c>
      <c r="M30" s="15" t="inlineStr">
        <is>
          <t>029.md</t>
        </is>
      </c>
      <c r="N30" s="15" t="inlineStr">
        <is>
          <t>029.webp</t>
        </is>
      </c>
      <c r="O30" s="15" t="inlineStr">
        <is>
          <t>decorative-trim-leak</t>
        </is>
      </c>
      <c r="P30" s="15" t="inlineStr">
        <is>
          <t>幕板雨漏りについて、主な原因、放置リスク、修理方法、業者選びのポイントを松山市で検討中の方向けに解説します。</t>
        </is>
      </c>
      <c r="Q30" s="15" t="inlineStr">
        <is>
          <t>雨漏り修理</t>
        </is>
      </c>
      <c r="R30" s="15" t="inlineStr">
        <is>
          <t>雨漏り、雨漏り修理</t>
        </is>
      </c>
      <c r="S30" s="15" t="inlineStr">
        <is>
          <t>雨漏り無料点検・無料見積り</t>
        </is>
      </c>
      <c r="T30" s="15" t="inlineStr">
        <is>
          <t>雨漏り無料点検CTA</t>
        </is>
      </c>
      <c r="U30" s="15" t="inlineStr">
        <is>
          <t>松山市で雨漏りが気になる方は、まずは無料点検・無料見積りをご利用ください。原因を確認し、必要な工事だけをご提案します。</t>
        </is>
      </c>
      <c r="V30" s="15" t="inlineStr">
        <is>
          <t>幕板雨漏り</t>
        </is>
      </c>
      <c r="W30" s="15" t="inlineStr">
        <is>
          <t>症状・費用・注意点を解説</t>
        </is>
      </c>
      <c r="X30" s="15" t="inlineStr">
        <is>
          <t>プロが分かりやすく解説</t>
        </is>
      </c>
      <c r="Y30" s="15" t="inlineStr">
        <is>
          <t>住宅外観・劣化箇所</t>
        </is>
      </c>
      <c r="Z30" s="15" t="inlineStr">
        <is>
          <t>職人</t>
        </is>
      </c>
      <c r="AA30" s="15" t="inlineStr">
        <is>
          <t>松山市版</t>
        </is>
      </c>
      <c r="AB30" s="15" t="inlineStr">
        <is>
          <t>汎用外装訴求</t>
        </is>
      </c>
      <c r="AC30" s="15" t="inlineStr">
        <is>
          <t>未着手</t>
        </is>
      </c>
      <c r="AD30" s="15" t="inlineStr">
        <is>
          <t>未着手</t>
        </is>
      </c>
      <c r="AE30" s="15" t="inlineStr">
        <is>
          <t>未反映</t>
        </is>
      </c>
      <c r="AF30" s="15" t="inlineStr">
        <is>
          <t>未投稿</t>
        </is>
      </c>
      <c r="AG30" s="15" t="inlineStr">
        <is>
          <t>create_only</t>
        </is>
      </c>
      <c r="AH30" s="15" t="str"/>
      <c r="AI30" s="15" t="str"/>
      <c r="AJ30" s="69" t="str"/>
      <c r="AK30" s="69" t="str"/>
      <c r="AL30" s="15" t="str"/>
      <c r="AM30" s="15">
        <f>IF(AL30="","",IF(AL30&lt;I30,"不足",IF(AL30&gt;J30,"超過","OK")))</f>
        <v/>
      </c>
      <c r="AN30" s="15" t="str"/>
      <c r="AO30" s="15" t="inlineStr">
        <is>
          <t>中心記事「松山市の雨漏り修理」へリンク。関連：雨漏り費用・調査・屋根雨漏り。</t>
        </is>
      </c>
      <c r="AP30" s="15" t="inlineStr">
        <is>
          <t>H1なし／この記事でわかること／地域事情／事例／原因・費用／CTA／FAQ</t>
        </is>
      </c>
      <c r="AQ30" s="15" t="str"/>
    </row>
    <row r="31">
      <c r="A31" s="15" t="n">
        <v>30</v>
      </c>
      <c r="B31" s="15" t="inlineStr">
        <is>
          <t>バルコニー雨漏り</t>
        </is>
      </c>
      <c r="C31" s="15" t="inlineStr">
        <is>
          <t>バルコニー雨漏り</t>
        </is>
      </c>
      <c r="D31" s="15" t="inlineStr">
        <is>
          <t>バルコニー雨漏りの原因と修理方法｜防水工事の費用目安も解説</t>
        </is>
      </c>
      <c r="E31" s="15" t="inlineStr">
        <is>
          <t>雨漏り</t>
        </is>
      </c>
      <c r="F31" s="15" t="inlineStr">
        <is>
          <t>原因・症状型</t>
        </is>
      </c>
      <c r="G31" s="15" t="inlineStr">
        <is>
          <t>地域サービス型</t>
        </is>
      </c>
      <c r="H31" s="15" t="inlineStr">
        <is>
          <t>4,500〜6,500字</t>
        </is>
      </c>
      <c r="I31" s="15" t="n">
        <v>4500</v>
      </c>
      <c r="J31" s="15" t="n">
        <v>6500</v>
      </c>
      <c r="K31" s="15" t="inlineStr">
        <is>
          <t>高</t>
        </is>
      </c>
      <c r="L31" s="15" t="inlineStr">
        <is>
          <t>第1ロット：雨漏り系</t>
        </is>
      </c>
      <c r="M31" s="15" t="inlineStr">
        <is>
          <t>030.md</t>
        </is>
      </c>
      <c r="N31" s="15" t="inlineStr">
        <is>
          <t>030.webp</t>
        </is>
      </c>
      <c r="O31" s="15" t="inlineStr">
        <is>
          <t>balcony-leak</t>
        </is>
      </c>
      <c r="P31" s="15" t="inlineStr">
        <is>
          <t>バルコニー雨漏りについて、主な原因、放置リスク、修理方法、業者選びのポイントを松山市で検討中の方向けに解説します。</t>
        </is>
      </c>
      <c r="Q31" s="15" t="inlineStr">
        <is>
          <t>雨漏り修理</t>
        </is>
      </c>
      <c r="R31" s="15" t="inlineStr">
        <is>
          <t>雨漏り、雨漏り修理</t>
        </is>
      </c>
      <c r="S31" s="15" t="inlineStr">
        <is>
          <t>雨漏り無料点検・無料見積り</t>
        </is>
      </c>
      <c r="T31" s="15" t="inlineStr">
        <is>
          <t>雨漏り無料点検CTA</t>
        </is>
      </c>
      <c r="U31" s="15" t="inlineStr">
        <is>
          <t>松山市で雨漏りが気になる方は、まずは無料点検・無料見積りをご利用ください。原因を確認し、必要な工事だけをご提案します。</t>
        </is>
      </c>
      <c r="V31" s="15" t="inlineStr">
        <is>
          <t>バルコニー雨漏り</t>
        </is>
      </c>
      <c r="W31" s="15" t="inlineStr">
        <is>
          <t>症状・費用・注意点を解説</t>
        </is>
      </c>
      <c r="X31" s="15" t="inlineStr">
        <is>
          <t>プロが分かりやすく解説</t>
        </is>
      </c>
      <c r="Y31" s="15" t="inlineStr">
        <is>
          <t>住宅外観・劣化箇所</t>
        </is>
      </c>
      <c r="Z31" s="15" t="inlineStr">
        <is>
          <t>職人</t>
        </is>
      </c>
      <c r="AA31" s="15" t="inlineStr">
        <is>
          <t>松山市版</t>
        </is>
      </c>
      <c r="AB31" s="15" t="inlineStr">
        <is>
          <t>汎用外装訴求</t>
        </is>
      </c>
      <c r="AC31" s="15" t="inlineStr">
        <is>
          <t>未着手</t>
        </is>
      </c>
      <c r="AD31" s="15" t="inlineStr">
        <is>
          <t>未着手</t>
        </is>
      </c>
      <c r="AE31" s="15" t="inlineStr">
        <is>
          <t>未反映</t>
        </is>
      </c>
      <c r="AF31" s="15" t="inlineStr">
        <is>
          <t>未投稿</t>
        </is>
      </c>
      <c r="AG31" s="15" t="inlineStr">
        <is>
          <t>create_only</t>
        </is>
      </c>
      <c r="AH31" s="15" t="str"/>
      <c r="AI31" s="15" t="str"/>
      <c r="AJ31" s="69" t="str"/>
      <c r="AK31" s="69" t="str"/>
      <c r="AL31" s="15" t="str"/>
      <c r="AM31" s="15">
        <f>IF(AL31="","",IF(AL31&lt;I31,"不足",IF(AL31&gt;J31,"超過","OK")))</f>
        <v/>
      </c>
      <c r="AN31" s="15" t="str"/>
      <c r="AO31" s="15" t="inlineStr">
        <is>
          <t>中心記事「松山市の雨漏り修理」へリンク。関連：雨漏り費用・調査・屋根雨漏り。</t>
        </is>
      </c>
      <c r="AP31" s="15" t="inlineStr">
        <is>
          <t>H1なし／この記事でわかること／地域事情／事例／原因・費用／CTA／FAQ</t>
        </is>
      </c>
      <c r="AQ31" s="15" t="str"/>
    </row>
    <row r="32">
      <c r="A32" s="15" t="n">
        <v>31</v>
      </c>
      <c r="B32" s="15" t="inlineStr">
        <is>
          <t>軒天雨漏り</t>
        </is>
      </c>
      <c r="C32" s="15" t="inlineStr">
        <is>
          <t>軒天雨漏り</t>
        </is>
      </c>
      <c r="D32" s="15" t="inlineStr">
        <is>
          <t>軒天の雨漏りは危険？シミ・剥がれの原因と補修方法</t>
        </is>
      </c>
      <c r="E32" s="15" t="inlineStr">
        <is>
          <t>雨漏り</t>
        </is>
      </c>
      <c r="F32" s="15" t="inlineStr">
        <is>
          <t>原因・症状型</t>
        </is>
      </c>
      <c r="G32" s="15" t="inlineStr">
        <is>
          <t>地域サービス型</t>
        </is>
      </c>
      <c r="H32" s="15" t="inlineStr">
        <is>
          <t>4,500〜6,500字</t>
        </is>
      </c>
      <c r="I32" s="15" t="n">
        <v>4500</v>
      </c>
      <c r="J32" s="15" t="n">
        <v>6500</v>
      </c>
      <c r="K32" s="15" t="inlineStr">
        <is>
          <t>高</t>
        </is>
      </c>
      <c r="L32" s="15" t="inlineStr">
        <is>
          <t>第1ロット：雨漏り系</t>
        </is>
      </c>
      <c r="M32" s="15" t="inlineStr">
        <is>
          <t>031.md</t>
        </is>
      </c>
      <c r="N32" s="15" t="inlineStr">
        <is>
          <t>031.webp</t>
        </is>
      </c>
      <c r="O32" s="15" t="inlineStr">
        <is>
          <t>soffit-leak</t>
        </is>
      </c>
      <c r="P32" s="15" t="inlineStr">
        <is>
          <t>軒天雨漏りについて、主な原因、放置リスク、修理方法、業者選びのポイントを松山市で検討中の方向けに解説します。</t>
        </is>
      </c>
      <c r="Q32" s="15" t="inlineStr">
        <is>
          <t>雨漏り修理</t>
        </is>
      </c>
      <c r="R32" s="15" t="inlineStr">
        <is>
          <t>雨漏り、軒天、雨漏り修理</t>
        </is>
      </c>
      <c r="S32" s="15" t="inlineStr">
        <is>
          <t>雨漏り無料点検・無料見積り</t>
        </is>
      </c>
      <c r="T32" s="15" t="inlineStr">
        <is>
          <t>雨漏り無料点検CTA</t>
        </is>
      </c>
      <c r="U32" s="15" t="inlineStr">
        <is>
          <t>松山市で雨漏りが気になる方は、まずは無料点検・無料見積りをご利用ください。原因を確認し、必要な工事だけをご提案します。</t>
        </is>
      </c>
      <c r="V32" s="15" t="inlineStr">
        <is>
          <t>軒天雨漏り</t>
        </is>
      </c>
      <c r="W32" s="15" t="inlineStr">
        <is>
          <t>シミ・黒ずみ・剥がれは要注意</t>
        </is>
      </c>
      <c r="X32" s="15" t="inlineStr">
        <is>
          <t>補修と塗装の判断ポイント</t>
        </is>
      </c>
      <c r="Y32" s="15" t="inlineStr">
        <is>
          <t>軒天シミ・黒ずみ・住宅軒下</t>
        </is>
      </c>
      <c r="Z32" s="15" t="inlineStr">
        <is>
          <t>見上げる住人＋職人</t>
        </is>
      </c>
      <c r="AA32" s="15" t="inlineStr">
        <is>
          <t>松山市版</t>
        </is>
      </c>
      <c r="AB32" s="15" t="inlineStr">
        <is>
          <t>軒天訴求</t>
        </is>
      </c>
      <c r="AC32" s="15" t="inlineStr">
        <is>
          <t>未着手</t>
        </is>
      </c>
      <c r="AD32" s="15" t="inlineStr">
        <is>
          <t>未着手</t>
        </is>
      </c>
      <c r="AE32" s="15" t="inlineStr">
        <is>
          <t>未反映</t>
        </is>
      </c>
      <c r="AF32" s="15" t="inlineStr">
        <is>
          <t>未投稿</t>
        </is>
      </c>
      <c r="AG32" s="15" t="inlineStr">
        <is>
          <t>create_only</t>
        </is>
      </c>
      <c r="AH32" s="15" t="str"/>
      <c r="AI32" s="15" t="str"/>
      <c r="AJ32" s="69" t="str"/>
      <c r="AK32" s="69" t="str"/>
      <c r="AL32" s="15" t="str"/>
      <c r="AM32" s="15">
        <f>IF(AL32="","",IF(AL32&lt;I32,"不足",IF(AL32&gt;J32,"超過","OK")))</f>
        <v/>
      </c>
      <c r="AN32" s="15" t="str"/>
      <c r="AO32" s="15" t="inlineStr">
        <is>
          <t>中心記事「松山市の雨漏り修理」へリンク。関連：雨漏り費用・調査・屋根雨漏り。</t>
        </is>
      </c>
      <c r="AP32" s="15" t="inlineStr">
        <is>
          <t>H1なし／この記事でわかること／地域事情／事例／原因・費用／CTA／FAQ</t>
        </is>
      </c>
      <c r="AQ32" s="15" t="str"/>
    </row>
    <row r="33">
      <c r="A33" s="15" t="n">
        <v>32</v>
      </c>
      <c r="B33" s="15" t="inlineStr">
        <is>
          <t>雨漏り火災保険</t>
        </is>
      </c>
      <c r="C33" s="15" t="inlineStr">
        <is>
          <t>雨漏り火災保険</t>
        </is>
      </c>
      <c r="D33" s="15" t="inlineStr">
        <is>
          <t>雨漏り修理に火災保険は使える？対象条件と申請前の注意点</t>
        </is>
      </c>
      <c r="E33" s="15" t="inlineStr">
        <is>
          <t>雨漏り</t>
        </is>
      </c>
      <c r="F33" s="15" t="inlineStr">
        <is>
          <t>原因・症状型</t>
        </is>
      </c>
      <c r="G33" s="15" t="inlineStr">
        <is>
          <t>地域サービス型</t>
        </is>
      </c>
      <c r="H33" s="15" t="inlineStr">
        <is>
          <t>5,000〜7,000字</t>
        </is>
      </c>
      <c r="I33" s="15" t="n">
        <v>5000</v>
      </c>
      <c r="J33" s="15" t="n">
        <v>7000</v>
      </c>
      <c r="K33" s="15" t="inlineStr">
        <is>
          <t>高</t>
        </is>
      </c>
      <c r="L33" s="15" t="inlineStr">
        <is>
          <t>第1ロット：雨漏り系</t>
        </is>
      </c>
      <c r="M33" s="15" t="inlineStr">
        <is>
          <t>032.md</t>
        </is>
      </c>
      <c r="N33" s="15" t="inlineStr">
        <is>
          <t>032.webp</t>
        </is>
      </c>
      <c r="O33" s="15" t="inlineStr">
        <is>
          <t>leak-fire-insurance</t>
        </is>
      </c>
      <c r="P33" s="15" t="inlineStr">
        <is>
          <t>雨漏り火災保険について、主な原因、放置リスク、修理方法、業者選びのポイントを松山市で検討中の方向けに解説します。</t>
        </is>
      </c>
      <c r="Q33" s="15" t="inlineStr">
        <is>
          <t>雨漏り修理</t>
        </is>
      </c>
      <c r="R33" s="15" t="inlineStr">
        <is>
          <t>雨漏り、雨漏り修理</t>
        </is>
      </c>
      <c r="S33" s="15" t="inlineStr">
        <is>
          <t>雨漏り無料点検・無料見積り</t>
        </is>
      </c>
      <c r="T33" s="15" t="inlineStr">
        <is>
          <t>雨漏り無料点検CTA</t>
        </is>
      </c>
      <c r="U33" s="15" t="inlineStr">
        <is>
          <t>松山市で雨漏りが気になる方は、まずは無料点検・無料見積りをご利用ください。原因を確認し、必要な工事だけをご提案します。</t>
        </is>
      </c>
      <c r="V33" s="15" t="inlineStr">
        <is>
          <t>雨漏り火災保険</t>
        </is>
      </c>
      <c r="W33" s="15" t="inlineStr">
        <is>
          <t>症状・費用・注意点を解説</t>
        </is>
      </c>
      <c r="X33" s="15" t="inlineStr">
        <is>
          <t>プロが分かりやすく解説</t>
        </is>
      </c>
      <c r="Y33" s="15" t="inlineStr">
        <is>
          <t>住宅外観・劣化箇所</t>
        </is>
      </c>
      <c r="Z33" s="15" t="inlineStr">
        <is>
          <t>職人</t>
        </is>
      </c>
      <c r="AA33" s="15" t="inlineStr">
        <is>
          <t>松山市版</t>
        </is>
      </c>
      <c r="AB33" s="15" t="inlineStr">
        <is>
          <t>汎用外装訴求</t>
        </is>
      </c>
      <c r="AC33" s="15" t="inlineStr">
        <is>
          <t>未着手</t>
        </is>
      </c>
      <c r="AD33" s="15" t="inlineStr">
        <is>
          <t>未着手</t>
        </is>
      </c>
      <c r="AE33" s="15" t="inlineStr">
        <is>
          <t>未反映</t>
        </is>
      </c>
      <c r="AF33" s="15" t="inlineStr">
        <is>
          <t>未投稿</t>
        </is>
      </c>
      <c r="AG33" s="15" t="inlineStr">
        <is>
          <t>create_only</t>
        </is>
      </c>
      <c r="AH33" s="15" t="str"/>
      <c r="AI33" s="15" t="str"/>
      <c r="AJ33" s="69" t="str"/>
      <c r="AK33" s="69" t="str"/>
      <c r="AL33" s="15" t="str"/>
      <c r="AM33" s="15">
        <f>IF(AL33="","",IF(AL33&lt;I33,"不足",IF(AL33&gt;J33,"超過","OK")))</f>
        <v/>
      </c>
      <c r="AN33" s="15" t="str"/>
      <c r="AO33" s="15" t="inlineStr">
        <is>
          <t>中心記事「松山市の雨漏り修理」へリンク。関連：雨漏り費用・調査・屋根雨漏り。</t>
        </is>
      </c>
      <c r="AP33" s="15" t="inlineStr">
        <is>
          <t>H1なし／この記事でわかること／地域事情／事例／原因・費用／CTA／FAQ</t>
        </is>
      </c>
      <c r="AQ33" s="15" t="str"/>
    </row>
    <row r="34">
      <c r="A34" s="15" t="n">
        <v>33</v>
      </c>
      <c r="B34" s="15" t="inlineStr">
        <is>
          <t>コーキング劣化 雨漏り</t>
        </is>
      </c>
      <c r="C34" s="15" t="inlineStr">
        <is>
          <t>コーキング劣化 雨漏り</t>
        </is>
      </c>
      <c r="D34" s="15" t="inlineStr">
        <is>
          <t>コーキング劣化で雨漏りする原因とは？補修時期と費用を解説</t>
        </is>
      </c>
      <c r="E34" s="15" t="inlineStr">
        <is>
          <t>防水・シーリング</t>
        </is>
      </c>
      <c r="F34" s="15" t="inlineStr">
        <is>
          <t>防水・シーリング型</t>
        </is>
      </c>
      <c r="G34" s="15" t="inlineStr">
        <is>
          <t>地域サービス型</t>
        </is>
      </c>
      <c r="H34" s="15" t="inlineStr">
        <is>
          <t>4,500〜6,000字</t>
        </is>
      </c>
      <c r="I34" s="15" t="n">
        <v>4500</v>
      </c>
      <c r="J34" s="15" t="n">
        <v>6000</v>
      </c>
      <c r="K34" s="15" t="inlineStr">
        <is>
          <t>中</t>
        </is>
      </c>
      <c r="L34" s="15" t="inlineStr">
        <is>
          <t>第3ロット：外壁塗装・防水系</t>
        </is>
      </c>
      <c r="M34" s="15" t="inlineStr">
        <is>
          <t>033.md</t>
        </is>
      </c>
      <c r="N34" s="15" t="inlineStr">
        <is>
          <t>033.webp</t>
        </is>
      </c>
      <c r="O34" s="15" t="inlineStr">
        <is>
          <t>caulking-deterioration-leak</t>
        </is>
      </c>
      <c r="P34" s="15" t="inlineStr">
        <is>
          <t>コーキング劣化 雨漏りについて、工事内容、耐用年数、費用目安、雨漏りを防ぐための注意点をわかりやすく解説します。</t>
        </is>
      </c>
      <c r="Q34" s="15" t="inlineStr">
        <is>
          <t>防水・シーリング</t>
        </is>
      </c>
      <c r="R34" s="15" t="inlineStr">
        <is>
          <t>雨漏り、防水・シーリング</t>
        </is>
      </c>
      <c r="S34" s="15" t="inlineStr">
        <is>
          <t>雨漏り無料点検・無料見積り</t>
        </is>
      </c>
      <c r="T34" s="15" t="inlineStr">
        <is>
          <t>雨漏り無料点検CTA</t>
        </is>
      </c>
      <c r="U34" s="15" t="inlineStr">
        <is>
          <t>松山市で雨漏りが気になる方は、まずは無料点検・無料見積りをご利用ください。原因を確認し、必要な工事だけをご提案します。</t>
        </is>
      </c>
      <c r="V34" s="15" t="inlineStr">
        <is>
          <t>コーキング劣化 雨漏り</t>
        </is>
      </c>
      <c r="W34" s="15" t="inlineStr">
        <is>
          <t>雨漏り前に防水状態をチェック</t>
        </is>
      </c>
      <c r="X34" s="15" t="inlineStr">
        <is>
          <t>費用・耐用年数を解説</t>
        </is>
      </c>
      <c r="Y34" s="15" t="inlineStr">
        <is>
          <t>ベランダ床・防水層・排水口</t>
        </is>
      </c>
      <c r="Z34" s="15" t="inlineStr">
        <is>
          <t>点検する職人</t>
        </is>
      </c>
      <c r="AA34" s="15" t="inlineStr">
        <is>
          <t>松山市版</t>
        </is>
      </c>
      <c r="AB34" s="15" t="inlineStr">
        <is>
          <t>防水訴求</t>
        </is>
      </c>
      <c r="AC34" s="15" t="inlineStr">
        <is>
          <t>未着手</t>
        </is>
      </c>
      <c r="AD34" s="15" t="inlineStr">
        <is>
          <t>未着手</t>
        </is>
      </c>
      <c r="AE34" s="15" t="inlineStr">
        <is>
          <t>未反映</t>
        </is>
      </c>
      <c r="AF34" s="15" t="inlineStr">
        <is>
          <t>未投稿</t>
        </is>
      </c>
      <c r="AG34" s="15" t="inlineStr">
        <is>
          <t>create_only</t>
        </is>
      </c>
      <c r="AH34" s="15" t="str"/>
      <c r="AI34" s="15" t="str"/>
      <c r="AJ34" s="69" t="str"/>
      <c r="AK34" s="69" t="str"/>
      <c r="AL34" s="15" t="str"/>
      <c r="AM34" s="15">
        <f>IF(AL34="","",IF(AL34&lt;I34,"不足",IF(AL34&gt;J34,"超過","OK")))</f>
        <v/>
      </c>
      <c r="AN34" s="15" t="str"/>
      <c r="AO34" s="15" t="inlineStr">
        <is>
          <t>関連：ベランダ防水費用、シーリング打ち替え費用、外壁雨漏りへリンク。</t>
        </is>
      </c>
      <c r="AP34" s="15" t="inlineStr">
        <is>
          <t>H1なし／この記事でわかること／地域事情／事例／原因・費用／CTA／FAQ</t>
        </is>
      </c>
      <c r="AQ34" s="15" t="str"/>
    </row>
    <row r="35">
      <c r="A35" s="15" t="n">
        <v>34</v>
      </c>
      <c r="B35" s="15" t="inlineStr">
        <is>
          <t>外壁ひび割れ 雨漏り</t>
        </is>
      </c>
      <c r="C35" s="15" t="inlineStr">
        <is>
          <t>外壁ひび割れ 雨漏り</t>
        </is>
      </c>
      <c r="D35" s="15" t="inlineStr">
        <is>
          <t>外壁ひび割れで雨漏りする？危険な症状と補修方法を解説</t>
        </is>
      </c>
      <c r="E35" s="15" t="inlineStr">
        <is>
          <t>防水・シーリング</t>
        </is>
      </c>
      <c r="F35" s="15" t="inlineStr">
        <is>
          <t>防水・シーリング型</t>
        </is>
      </c>
      <c r="G35" s="15" t="inlineStr">
        <is>
          <t>地域サービス型</t>
        </is>
      </c>
      <c r="H35" s="15" t="inlineStr">
        <is>
          <t>4,500〜6,000字</t>
        </is>
      </c>
      <c r="I35" s="15" t="n">
        <v>4500</v>
      </c>
      <c r="J35" s="15" t="n">
        <v>6000</v>
      </c>
      <c r="K35" s="15" t="inlineStr">
        <is>
          <t>中</t>
        </is>
      </c>
      <c r="L35" s="15" t="inlineStr">
        <is>
          <t>第3ロット：外壁塗装・防水系</t>
        </is>
      </c>
      <c r="M35" s="15" t="inlineStr">
        <is>
          <t>034.md</t>
        </is>
      </c>
      <c r="N35" s="15" t="inlineStr">
        <is>
          <t>034.webp</t>
        </is>
      </c>
      <c r="O35" s="15" t="inlineStr">
        <is>
          <t>exterior-wall-crack-leak</t>
        </is>
      </c>
      <c r="P35" s="15" t="inlineStr">
        <is>
          <t>外壁ひび割れ 雨漏りについて、工事内容、耐用年数、費用目安、雨漏りを防ぐための注意点をわかりやすく解説します。</t>
        </is>
      </c>
      <c r="Q35" s="15" t="inlineStr">
        <is>
          <t>防水・シーリング</t>
        </is>
      </c>
      <c r="R35" s="15" t="inlineStr">
        <is>
          <t>雨漏り、防水・シーリング</t>
        </is>
      </c>
      <c r="S35" s="15" t="inlineStr">
        <is>
          <t>雨漏り無料点検・無料見積り</t>
        </is>
      </c>
      <c r="T35" s="15" t="inlineStr">
        <is>
          <t>雨漏り無料点検CTA</t>
        </is>
      </c>
      <c r="U35" s="15" t="inlineStr">
        <is>
          <t>松山市で雨漏りが気になる方は、まずは無料点検・無料見積りをご利用ください。原因を確認し、必要な工事だけをご提案します。</t>
        </is>
      </c>
      <c r="V35" s="15" t="inlineStr">
        <is>
          <t>外壁ひび割れ 雨漏り</t>
        </is>
      </c>
      <c r="W35" s="15" t="inlineStr">
        <is>
          <t>雨漏り前に防水状態をチェック</t>
        </is>
      </c>
      <c r="X35" s="15" t="inlineStr">
        <is>
          <t>費用・耐用年数を解説</t>
        </is>
      </c>
      <c r="Y35" s="15" t="inlineStr">
        <is>
          <t>ベランダ床・防水層・排水口</t>
        </is>
      </c>
      <c r="Z35" s="15" t="inlineStr">
        <is>
          <t>点検する職人</t>
        </is>
      </c>
      <c r="AA35" s="15" t="inlineStr">
        <is>
          <t>松山市版</t>
        </is>
      </c>
      <c r="AB35" s="15" t="inlineStr">
        <is>
          <t>防水訴求</t>
        </is>
      </c>
      <c r="AC35" s="15" t="inlineStr">
        <is>
          <t>未着手</t>
        </is>
      </c>
      <c r="AD35" s="15" t="inlineStr">
        <is>
          <t>未着手</t>
        </is>
      </c>
      <c r="AE35" s="15" t="inlineStr">
        <is>
          <t>未反映</t>
        </is>
      </c>
      <c r="AF35" s="15" t="inlineStr">
        <is>
          <t>未投稿</t>
        </is>
      </c>
      <c r="AG35" s="15" t="inlineStr">
        <is>
          <t>create_only</t>
        </is>
      </c>
      <c r="AH35" s="15" t="str"/>
      <c r="AI35" s="15" t="str"/>
      <c r="AJ35" s="69" t="str"/>
      <c r="AK35" s="69" t="str"/>
      <c r="AL35" s="15" t="str"/>
      <c r="AM35" s="15">
        <f>IF(AL35="","",IF(AL35&lt;I35,"不足",IF(AL35&gt;J35,"超過","OK")))</f>
        <v/>
      </c>
      <c r="AN35" s="15" t="str"/>
      <c r="AO35" s="15" t="inlineStr">
        <is>
          <t>関連：ベランダ防水費用、シーリング打ち替え費用、外壁雨漏りへリンク。</t>
        </is>
      </c>
      <c r="AP35" s="15" t="inlineStr">
        <is>
          <t>H1なし／この記事でわかること／地域事情／事例／原因・費用／CTA／FAQ</t>
        </is>
      </c>
      <c r="AQ35" s="15" t="str"/>
    </row>
    <row r="36">
      <c r="A36" s="15" t="n">
        <v>35</v>
      </c>
      <c r="B36" s="15" t="inlineStr">
        <is>
          <t>シーリング打ち替え 費用</t>
        </is>
      </c>
      <c r="C36" s="15" t="inlineStr">
        <is>
          <t>シーリング打ち替え 費用</t>
        </is>
      </c>
      <c r="D36" s="15" t="inlineStr">
        <is>
          <t>シーリング打ち替え費用はいくら？相場・内訳・注意点を解説</t>
        </is>
      </c>
      <c r="E36" s="15" t="inlineStr">
        <is>
          <t>防水・シーリング</t>
        </is>
      </c>
      <c r="F36" s="15" t="inlineStr">
        <is>
          <t>費用・相場型</t>
        </is>
      </c>
      <c r="G36" s="15" t="inlineStr">
        <is>
          <t>費用・相場型</t>
        </is>
      </c>
      <c r="H36" s="15" t="inlineStr">
        <is>
          <t>5,000〜7,000字</t>
        </is>
      </c>
      <c r="I36" s="15" t="n">
        <v>5000</v>
      </c>
      <c r="J36" s="15" t="n">
        <v>7000</v>
      </c>
      <c r="K36" s="15" t="inlineStr">
        <is>
          <t>中</t>
        </is>
      </c>
      <c r="L36" s="15" t="inlineStr">
        <is>
          <t>第3ロット：外壁塗装・防水系</t>
        </is>
      </c>
      <c r="M36" s="15" t="inlineStr">
        <is>
          <t>035.md</t>
        </is>
      </c>
      <c r="N36" s="15" t="inlineStr">
        <is>
          <t>035.webp</t>
        </is>
      </c>
      <c r="O36" s="15" t="inlineStr">
        <is>
          <t>sealing-replacement-cost</t>
        </is>
      </c>
      <c r="P36" s="15" t="inlineStr">
        <is>
          <t>シーリング打ち替え 費用について、費用相場、内訳、金額が変わる要因、見積もり時の注意点をわかりやすく解説します。</t>
        </is>
      </c>
      <c r="Q36" s="15" t="inlineStr">
        <is>
          <t>防水・シーリング</t>
        </is>
      </c>
      <c r="R36" s="15" t="inlineStr">
        <is>
          <t>シーリング、費用、防水・シーリング</t>
        </is>
      </c>
      <c r="S36" s="15" t="inlineStr">
        <is>
          <t>無料見積り・費用根拠の見える化</t>
        </is>
      </c>
      <c r="T36" s="15" t="inlineStr">
        <is>
          <t>無料見積りCTA</t>
        </is>
      </c>
      <c r="U36" s="15" t="inlineStr">
        <is>
          <t>費用は原因箇所や補修範囲で変わります。現地調査で状態を確認し、見積もりの根拠を写真付きでご説明します。</t>
        </is>
      </c>
      <c r="V36" s="15" t="inlineStr">
        <is>
          <t>シーリング打ち替え 費用</t>
        </is>
      </c>
      <c r="W36" s="15" t="inlineStr">
        <is>
          <t>雨漏り前に防水状態をチェック</t>
        </is>
      </c>
      <c r="X36" s="15" t="inlineStr">
        <is>
          <t>費用・耐用年数を解説</t>
        </is>
      </c>
      <c r="Y36" s="15" t="inlineStr">
        <is>
          <t>ベランダ床・防水層・排水口</t>
        </is>
      </c>
      <c r="Z36" s="15" t="inlineStr">
        <is>
          <t>点検する職人</t>
        </is>
      </c>
      <c r="AA36" s="15" t="inlineStr">
        <is>
          <t>松山市版</t>
        </is>
      </c>
      <c r="AB36" s="15" t="inlineStr">
        <is>
          <t>防水訴求</t>
        </is>
      </c>
      <c r="AC36" s="15" t="inlineStr">
        <is>
          <t>未着手</t>
        </is>
      </c>
      <c r="AD36" s="15" t="inlineStr">
        <is>
          <t>未着手</t>
        </is>
      </c>
      <c r="AE36" s="15" t="inlineStr">
        <is>
          <t>未反映</t>
        </is>
      </c>
      <c r="AF36" s="15" t="inlineStr">
        <is>
          <t>未投稿</t>
        </is>
      </c>
      <c r="AG36" s="15" t="inlineStr">
        <is>
          <t>create_only</t>
        </is>
      </c>
      <c r="AH36" s="15" t="str"/>
      <c r="AI36" s="15" t="str"/>
      <c r="AJ36" s="69" t="str"/>
      <c r="AK36" s="69" t="str"/>
      <c r="AL36" s="15" t="str"/>
      <c r="AM36" s="15">
        <f>IF(AL36="","",IF(AL36&lt;I36,"不足",IF(AL36&gt;J36,"超過","OK")))</f>
        <v/>
      </c>
      <c r="AN36" s="15" t="str"/>
      <c r="AO36" s="15" t="inlineStr">
        <is>
          <t>関連：ベランダ防水費用、シーリング打ち替え費用、外壁雨漏りへリンク。</t>
        </is>
      </c>
      <c r="AP36" s="15" t="inlineStr">
        <is>
          <t>H1なし／この記事でわかること／地域事情／事例／原因・費用／CTA／FAQ</t>
        </is>
      </c>
      <c r="AQ36" s="15" t="str"/>
    </row>
    <row r="37">
      <c r="A37" s="15" t="n">
        <v>36</v>
      </c>
      <c r="B37" s="15" t="inlineStr">
        <is>
          <t>オートンイクシード 費用</t>
        </is>
      </c>
      <c r="C37" s="15" t="inlineStr">
        <is>
          <t>オートンイクシード 費用</t>
        </is>
      </c>
      <c r="D37" s="15" t="inlineStr">
        <is>
          <t>オートンイクシードの費用は高い？特徴・相場・向いている住宅</t>
        </is>
      </c>
      <c r="E37" s="15" t="inlineStr">
        <is>
          <t>防水・シーリング</t>
        </is>
      </c>
      <c r="F37" s="15" t="inlineStr">
        <is>
          <t>費用・相場型</t>
        </is>
      </c>
      <c r="G37" s="15" t="inlineStr">
        <is>
          <t>費用・相場型</t>
        </is>
      </c>
      <c r="H37" s="15" t="inlineStr">
        <is>
          <t>5,000〜7,000字</t>
        </is>
      </c>
      <c r="I37" s="15" t="n">
        <v>5000</v>
      </c>
      <c r="J37" s="15" t="n">
        <v>7000</v>
      </c>
      <c r="K37" s="15" t="inlineStr">
        <is>
          <t>中</t>
        </is>
      </c>
      <c r="L37" s="15" t="inlineStr">
        <is>
          <t>第3ロット：外壁塗装・防水系</t>
        </is>
      </c>
      <c r="M37" s="15" t="inlineStr">
        <is>
          <t>036.md</t>
        </is>
      </c>
      <c r="N37" s="15" t="inlineStr">
        <is>
          <t>036.webp</t>
        </is>
      </c>
      <c r="O37" s="15" t="inlineStr">
        <is>
          <t>auton-exceed-cost</t>
        </is>
      </c>
      <c r="P37" s="15" t="inlineStr">
        <is>
          <t>オートンイクシード 費用について、費用相場、内訳、金額が変わる要因、見積もり時の注意点をわかりやすく解説します。</t>
        </is>
      </c>
      <c r="Q37" s="15" t="inlineStr">
        <is>
          <t>防水・シーリング</t>
        </is>
      </c>
      <c r="R37" s="15" t="inlineStr">
        <is>
          <t>費用、防水・シーリング</t>
        </is>
      </c>
      <c r="S37" s="15" t="inlineStr">
        <is>
          <t>無料見積り・費用根拠の見える化</t>
        </is>
      </c>
      <c r="T37" s="15" t="inlineStr">
        <is>
          <t>無料見積りCTA</t>
        </is>
      </c>
      <c r="U37" s="15" t="inlineStr">
        <is>
          <t>費用は原因箇所や補修範囲で変わります。現地調査で状態を確認し、見積もりの根拠を写真付きでご説明します。</t>
        </is>
      </c>
      <c r="V37" s="15" t="inlineStr">
        <is>
          <t>オートンイクシード 費用</t>
        </is>
      </c>
      <c r="W37" s="15" t="inlineStr">
        <is>
          <t>雨漏り前に防水状態をチェック</t>
        </is>
      </c>
      <c r="X37" s="15" t="inlineStr">
        <is>
          <t>費用・耐用年数を解説</t>
        </is>
      </c>
      <c r="Y37" s="15" t="inlineStr">
        <is>
          <t>ベランダ床・防水層・排水口</t>
        </is>
      </c>
      <c r="Z37" s="15" t="inlineStr">
        <is>
          <t>点検する職人</t>
        </is>
      </c>
      <c r="AA37" s="15" t="inlineStr">
        <is>
          <t>松山市版</t>
        </is>
      </c>
      <c r="AB37" s="15" t="inlineStr">
        <is>
          <t>防水訴求</t>
        </is>
      </c>
      <c r="AC37" s="15" t="inlineStr">
        <is>
          <t>未着手</t>
        </is>
      </c>
      <c r="AD37" s="15" t="inlineStr">
        <is>
          <t>未着手</t>
        </is>
      </c>
      <c r="AE37" s="15" t="inlineStr">
        <is>
          <t>未反映</t>
        </is>
      </c>
      <c r="AF37" s="15" t="inlineStr">
        <is>
          <t>未投稿</t>
        </is>
      </c>
      <c r="AG37" s="15" t="inlineStr">
        <is>
          <t>create_only</t>
        </is>
      </c>
      <c r="AH37" s="15" t="str"/>
      <c r="AI37" s="15" t="str"/>
      <c r="AJ37" s="69" t="str"/>
      <c r="AK37" s="69" t="str"/>
      <c r="AL37" s="15" t="str"/>
      <c r="AM37" s="15">
        <f>IF(AL37="","",IF(AL37&lt;I37,"不足",IF(AL37&gt;J37,"超過","OK")))</f>
        <v/>
      </c>
      <c r="AN37" s="15" t="str"/>
      <c r="AO37" s="15" t="inlineStr">
        <is>
          <t>関連：ベランダ防水費用、シーリング打ち替え費用、外壁雨漏りへリンク。</t>
        </is>
      </c>
      <c r="AP37" s="15" t="inlineStr">
        <is>
          <t>H1なし／この記事でわかること／地域事情／事例／原因・費用／CTA／FAQ</t>
        </is>
      </c>
      <c r="AQ37" s="15" t="str"/>
    </row>
    <row r="38">
      <c r="A38" s="15" t="n">
        <v>37</v>
      </c>
      <c r="B38" s="15" t="inlineStr">
        <is>
          <t>ベランダ防水 費用</t>
        </is>
      </c>
      <c r="C38" s="15" t="inlineStr">
        <is>
          <t>ベランダ防水 費用</t>
        </is>
      </c>
      <c r="D38" s="15" t="inlineStr">
        <is>
          <t>ベランダ防水の費用相場はいくら？工法別の違いと注意点</t>
        </is>
      </c>
      <c r="E38" s="15" t="inlineStr">
        <is>
          <t>防水・シーリング</t>
        </is>
      </c>
      <c r="F38" s="15" t="inlineStr">
        <is>
          <t>費用・相場型</t>
        </is>
      </c>
      <c r="G38" s="15" t="inlineStr">
        <is>
          <t>費用・相場型</t>
        </is>
      </c>
      <c r="H38" s="15" t="inlineStr">
        <is>
          <t>5,000〜7,000字</t>
        </is>
      </c>
      <c r="I38" s="15" t="n">
        <v>5000</v>
      </c>
      <c r="J38" s="15" t="n">
        <v>7000</v>
      </c>
      <c r="K38" s="15" t="inlineStr">
        <is>
          <t>中</t>
        </is>
      </c>
      <c r="L38" s="15" t="inlineStr">
        <is>
          <t>第3ロット：外壁塗装・防水系</t>
        </is>
      </c>
      <c r="M38" s="15" t="inlineStr">
        <is>
          <t>037.md</t>
        </is>
      </c>
      <c r="N38" s="15" t="inlineStr">
        <is>
          <t>037.webp</t>
        </is>
      </c>
      <c r="O38" s="15" t="inlineStr">
        <is>
          <t>balcony-waterproof-cost</t>
        </is>
      </c>
      <c r="P38" s="15" t="inlineStr">
        <is>
          <t>ベランダ防水 費用について、費用相場、内訳、金額が変わる要因、見積もり時の注意点をわかりやすく解説します。</t>
        </is>
      </c>
      <c r="Q38" s="15" t="inlineStr">
        <is>
          <t>防水・シーリング</t>
        </is>
      </c>
      <c r="R38" s="15" t="inlineStr">
        <is>
          <t>防水、費用、防水・シーリング</t>
        </is>
      </c>
      <c r="S38" s="15" t="inlineStr">
        <is>
          <t>無料見積り・費用根拠の見える化</t>
        </is>
      </c>
      <c r="T38" s="15" t="inlineStr">
        <is>
          <t>無料見積りCTA</t>
        </is>
      </c>
      <c r="U38" s="15" t="inlineStr">
        <is>
          <t>費用は原因箇所や補修範囲で変わります。現地調査で状態を確認し、見積もりの根拠を写真付きでご説明します。</t>
        </is>
      </c>
      <c r="V38" s="15" t="inlineStr">
        <is>
          <t>ベランダ防水 費用</t>
        </is>
      </c>
      <c r="W38" s="15" t="inlineStr">
        <is>
          <t>雨漏り前に防水状態をチェック</t>
        </is>
      </c>
      <c r="X38" s="15" t="inlineStr">
        <is>
          <t>費用・耐用年数を解説</t>
        </is>
      </c>
      <c r="Y38" s="15" t="inlineStr">
        <is>
          <t>ベランダ床・防水層・排水口</t>
        </is>
      </c>
      <c r="Z38" s="15" t="inlineStr">
        <is>
          <t>点検する職人</t>
        </is>
      </c>
      <c r="AA38" s="15" t="inlineStr">
        <is>
          <t>松山市版</t>
        </is>
      </c>
      <c r="AB38" s="15" t="inlineStr">
        <is>
          <t>防水訴求</t>
        </is>
      </c>
      <c r="AC38" s="15" t="inlineStr">
        <is>
          <t>未着手</t>
        </is>
      </c>
      <c r="AD38" s="15" t="inlineStr">
        <is>
          <t>未着手</t>
        </is>
      </c>
      <c r="AE38" s="15" t="inlineStr">
        <is>
          <t>未反映</t>
        </is>
      </c>
      <c r="AF38" s="15" t="inlineStr">
        <is>
          <t>未投稿</t>
        </is>
      </c>
      <c r="AG38" s="15" t="inlineStr">
        <is>
          <t>create_only</t>
        </is>
      </c>
      <c r="AH38" s="15" t="str"/>
      <c r="AI38" s="15" t="str"/>
      <c r="AJ38" s="69" t="str"/>
      <c r="AK38" s="69" t="str"/>
      <c r="AL38" s="15" t="str"/>
      <c r="AM38" s="15">
        <f>IF(AL38="","",IF(AL38&lt;I38,"不足",IF(AL38&gt;J38,"超過","OK")))</f>
        <v/>
      </c>
      <c r="AN38" s="15" t="str"/>
      <c r="AO38" s="15" t="inlineStr">
        <is>
          <t>関連：ベランダ防水費用、シーリング打ち替え費用、外壁雨漏りへリンク。</t>
        </is>
      </c>
      <c r="AP38" s="15" t="inlineStr">
        <is>
          <t>H1なし／この記事でわかること／地域事情／事例／原因・費用／CTA／FAQ</t>
        </is>
      </c>
      <c r="AQ38" s="15" t="str"/>
    </row>
    <row r="39">
      <c r="A39" s="15" t="n">
        <v>38</v>
      </c>
      <c r="B39" s="15" t="inlineStr">
        <is>
          <t>FRP防水 耐用年数</t>
        </is>
      </c>
      <c r="C39" s="15" t="inlineStr">
        <is>
          <t>FRP防水 耐用年数</t>
        </is>
      </c>
      <c r="D39" s="15" t="inlineStr">
        <is>
          <t>FRP防水の耐用年数はどれくらい？劣化症状とメンテナンス時期</t>
        </is>
      </c>
      <c r="E39" s="15" t="inlineStr">
        <is>
          <t>防水・シーリング</t>
        </is>
      </c>
      <c r="F39" s="15" t="inlineStr">
        <is>
          <t>防水・シーリング型</t>
        </is>
      </c>
      <c r="G39" s="15" t="inlineStr">
        <is>
          <t>地域サービス型</t>
        </is>
      </c>
      <c r="H39" s="15" t="inlineStr">
        <is>
          <t>4,500〜6,000字</t>
        </is>
      </c>
      <c r="I39" s="15" t="n">
        <v>4500</v>
      </c>
      <c r="J39" s="15" t="n">
        <v>6000</v>
      </c>
      <c r="K39" s="15" t="inlineStr">
        <is>
          <t>中</t>
        </is>
      </c>
      <c r="L39" s="15" t="inlineStr">
        <is>
          <t>第3ロット：外壁塗装・防水系</t>
        </is>
      </c>
      <c r="M39" s="15" t="inlineStr">
        <is>
          <t>038.md</t>
        </is>
      </c>
      <c r="N39" s="15" t="inlineStr">
        <is>
          <t>038.webp</t>
        </is>
      </c>
      <c r="O39" s="15" t="inlineStr">
        <is>
          <t>frp-waterproof-lifespan</t>
        </is>
      </c>
      <c r="P39" s="15" t="inlineStr">
        <is>
          <t>FRP防水 耐用年数について、工事内容、耐用年数、費用目安、雨漏りを防ぐための注意点をわかりやすく解説します。</t>
        </is>
      </c>
      <c r="Q39" s="15" t="inlineStr">
        <is>
          <t>防水・シーリング</t>
        </is>
      </c>
      <c r="R39" s="15" t="inlineStr">
        <is>
          <t>防水、防水・シーリング</t>
        </is>
      </c>
      <c r="S39" s="15" t="inlineStr">
        <is>
          <t>防水工事・シーリング工事</t>
        </is>
      </c>
      <c r="T39" s="15" t="inlineStr">
        <is>
          <t>防水点検CTA</t>
        </is>
      </c>
      <c r="U39" s="15" t="inlineStr">
        <is>
          <t>ベランダや外壁目地の防水状態を確認し、雨漏り前の早めのメンテナンスをご提案します。</t>
        </is>
      </c>
      <c r="V39" s="15" t="inlineStr">
        <is>
          <t>FRP防水 耐用年数</t>
        </is>
      </c>
      <c r="W39" s="15" t="inlineStr">
        <is>
          <t>雨漏り前に防水状態をチェック</t>
        </is>
      </c>
      <c r="X39" s="15" t="inlineStr">
        <is>
          <t>費用・耐用年数を解説</t>
        </is>
      </c>
      <c r="Y39" s="15" t="inlineStr">
        <is>
          <t>ベランダ床・防水層・排水口</t>
        </is>
      </c>
      <c r="Z39" s="15" t="inlineStr">
        <is>
          <t>点検する職人</t>
        </is>
      </c>
      <c r="AA39" s="15" t="inlineStr">
        <is>
          <t>松山市版</t>
        </is>
      </c>
      <c r="AB39" s="15" t="inlineStr">
        <is>
          <t>防水訴求</t>
        </is>
      </c>
      <c r="AC39" s="15" t="inlineStr">
        <is>
          <t>未着手</t>
        </is>
      </c>
      <c r="AD39" s="15" t="inlineStr">
        <is>
          <t>未着手</t>
        </is>
      </c>
      <c r="AE39" s="15" t="inlineStr">
        <is>
          <t>未反映</t>
        </is>
      </c>
      <c r="AF39" s="15" t="inlineStr">
        <is>
          <t>未投稿</t>
        </is>
      </c>
      <c r="AG39" s="15" t="inlineStr">
        <is>
          <t>create_only</t>
        </is>
      </c>
      <c r="AH39" s="15" t="str"/>
      <c r="AI39" s="15" t="str"/>
      <c r="AJ39" s="69" t="str"/>
      <c r="AK39" s="69" t="str"/>
      <c r="AL39" s="15" t="str"/>
      <c r="AM39" s="15">
        <f>IF(AL39="","",IF(AL39&lt;I39,"不足",IF(AL39&gt;J39,"超過","OK")))</f>
        <v/>
      </c>
      <c r="AN39" s="15" t="str"/>
      <c r="AO39" s="15" t="inlineStr">
        <is>
          <t>関連：ベランダ防水費用、シーリング打ち替え費用、外壁雨漏りへリンク。</t>
        </is>
      </c>
      <c r="AP39" s="15" t="inlineStr">
        <is>
          <t>H1なし／この記事でわかること／地域事情／事例／原因・費用／CTA／FAQ</t>
        </is>
      </c>
      <c r="AQ39" s="15" t="str"/>
    </row>
    <row r="40">
      <c r="A40" s="15" t="n">
        <v>39</v>
      </c>
      <c r="B40" s="15" t="inlineStr">
        <is>
          <t>ウレタン防水 耐用年数</t>
        </is>
      </c>
      <c r="C40" s="15" t="inlineStr">
        <is>
          <t>ウレタン防水 耐用年数</t>
        </is>
      </c>
      <c r="D40" s="15" t="inlineStr">
        <is>
          <t>ウレタン防水の耐用年数は？メリット・劣化症状・補修時期</t>
        </is>
      </c>
      <c r="E40" s="15" t="inlineStr">
        <is>
          <t>防水・シーリング</t>
        </is>
      </c>
      <c r="F40" s="15" t="inlineStr">
        <is>
          <t>防水・シーリング型</t>
        </is>
      </c>
      <c r="G40" s="15" t="inlineStr">
        <is>
          <t>地域サービス型</t>
        </is>
      </c>
      <c r="H40" s="15" t="inlineStr">
        <is>
          <t>4,500〜6,000字</t>
        </is>
      </c>
      <c r="I40" s="15" t="n">
        <v>4500</v>
      </c>
      <c r="J40" s="15" t="n">
        <v>6000</v>
      </c>
      <c r="K40" s="15" t="inlineStr">
        <is>
          <t>中</t>
        </is>
      </c>
      <c r="L40" s="15" t="inlineStr">
        <is>
          <t>第3ロット：外壁塗装・防水系</t>
        </is>
      </c>
      <c r="M40" s="15" t="inlineStr">
        <is>
          <t>039.md</t>
        </is>
      </c>
      <c r="N40" s="15" t="inlineStr">
        <is>
          <t>039.webp</t>
        </is>
      </c>
      <c r="O40" s="15" t="inlineStr">
        <is>
          <t>urethane-waterproof-lifespan</t>
        </is>
      </c>
      <c r="P40" s="15" t="inlineStr">
        <is>
          <t>ウレタン防水 耐用年数について、工事内容、耐用年数、費用目安、雨漏りを防ぐための注意点をわかりやすく解説します。</t>
        </is>
      </c>
      <c r="Q40" s="15" t="inlineStr">
        <is>
          <t>防水・シーリング</t>
        </is>
      </c>
      <c r="R40" s="15" t="inlineStr">
        <is>
          <t>防水、防水・シーリング</t>
        </is>
      </c>
      <c r="S40" s="15" t="inlineStr">
        <is>
          <t>防水工事・シーリング工事</t>
        </is>
      </c>
      <c r="T40" s="15" t="inlineStr">
        <is>
          <t>防水点検CTA</t>
        </is>
      </c>
      <c r="U40" s="15" t="inlineStr">
        <is>
          <t>ベランダや外壁目地の防水状態を確認し、雨漏り前の早めのメンテナンスをご提案します。</t>
        </is>
      </c>
      <c r="V40" s="15" t="inlineStr">
        <is>
          <t>ウレタン防水 耐用年数</t>
        </is>
      </c>
      <c r="W40" s="15" t="inlineStr">
        <is>
          <t>雨漏り前に防水状態をチェック</t>
        </is>
      </c>
      <c r="X40" s="15" t="inlineStr">
        <is>
          <t>費用・耐用年数を解説</t>
        </is>
      </c>
      <c r="Y40" s="15" t="inlineStr">
        <is>
          <t>ベランダ床・防水層・排水口</t>
        </is>
      </c>
      <c r="Z40" s="15" t="inlineStr">
        <is>
          <t>点検する職人</t>
        </is>
      </c>
      <c r="AA40" s="15" t="inlineStr">
        <is>
          <t>松山市版</t>
        </is>
      </c>
      <c r="AB40" s="15" t="inlineStr">
        <is>
          <t>防水訴求</t>
        </is>
      </c>
      <c r="AC40" s="15" t="inlineStr">
        <is>
          <t>未着手</t>
        </is>
      </c>
      <c r="AD40" s="15" t="inlineStr">
        <is>
          <t>未着手</t>
        </is>
      </c>
      <c r="AE40" s="15" t="inlineStr">
        <is>
          <t>未反映</t>
        </is>
      </c>
      <c r="AF40" s="15" t="inlineStr">
        <is>
          <t>未投稿</t>
        </is>
      </c>
      <c r="AG40" s="15" t="inlineStr">
        <is>
          <t>create_only</t>
        </is>
      </c>
      <c r="AH40" s="15" t="str"/>
      <c r="AI40" s="15" t="str"/>
      <c r="AJ40" s="69" t="str"/>
      <c r="AK40" s="69" t="str"/>
      <c r="AL40" s="15" t="str"/>
      <c r="AM40" s="15">
        <f>IF(AL40="","",IF(AL40&lt;I40,"不足",IF(AL40&gt;J40,"超過","OK")))</f>
        <v/>
      </c>
      <c r="AN40" s="15" t="str"/>
      <c r="AO40" s="15" t="inlineStr">
        <is>
          <t>関連：ベランダ防水費用、シーリング打ち替え費用、外壁雨漏りへリンク。</t>
        </is>
      </c>
      <c r="AP40" s="15" t="inlineStr">
        <is>
          <t>H1なし／この記事でわかること／地域事情／事例／原因・費用／CTA／FAQ</t>
        </is>
      </c>
      <c r="AQ40" s="15" t="str"/>
    </row>
    <row r="41">
      <c r="A41" s="15" t="n">
        <v>40</v>
      </c>
      <c r="B41" s="15" t="inlineStr">
        <is>
          <t>塩ビシート防水 耐用年数</t>
        </is>
      </c>
      <c r="C41" s="15" t="inlineStr">
        <is>
          <t>塩ビシート防水 耐用年数</t>
        </is>
      </c>
      <c r="D41" s="15" t="inlineStr">
        <is>
          <t>塩ビシート防水の耐用年数は？特徴・劣化症状・注意点</t>
        </is>
      </c>
      <c r="E41" s="15" t="inlineStr">
        <is>
          <t>防水・シーリング</t>
        </is>
      </c>
      <c r="F41" s="15" t="inlineStr">
        <is>
          <t>防水・シーリング型</t>
        </is>
      </c>
      <c r="G41" s="15" t="inlineStr">
        <is>
          <t>地域サービス型</t>
        </is>
      </c>
      <c r="H41" s="15" t="inlineStr">
        <is>
          <t>4,500〜6,000字</t>
        </is>
      </c>
      <c r="I41" s="15" t="n">
        <v>4500</v>
      </c>
      <c r="J41" s="15" t="n">
        <v>6000</v>
      </c>
      <c r="K41" s="15" t="inlineStr">
        <is>
          <t>中</t>
        </is>
      </c>
      <c r="L41" s="15" t="inlineStr">
        <is>
          <t>第3ロット：外壁塗装・防水系</t>
        </is>
      </c>
      <c r="M41" s="15" t="inlineStr">
        <is>
          <t>040.md</t>
        </is>
      </c>
      <c r="N41" s="15" t="inlineStr">
        <is>
          <t>040.webp</t>
        </is>
      </c>
      <c r="O41" s="15" t="inlineStr">
        <is>
          <t>pvc-sheet-waterproof-lifespan</t>
        </is>
      </c>
      <c r="P41" s="15" t="inlineStr">
        <is>
          <t>塩ビシート防水 耐用年数について、工事内容、耐用年数、費用目安、雨漏りを防ぐための注意点をわかりやすく解説します。</t>
        </is>
      </c>
      <c r="Q41" s="15" t="inlineStr">
        <is>
          <t>防水・シーリング</t>
        </is>
      </c>
      <c r="R41" s="15" t="inlineStr">
        <is>
          <t>防水、防水・シーリング</t>
        </is>
      </c>
      <c r="S41" s="15" t="inlineStr">
        <is>
          <t>防水工事・シーリング工事</t>
        </is>
      </c>
      <c r="T41" s="15" t="inlineStr">
        <is>
          <t>防水点検CTA</t>
        </is>
      </c>
      <c r="U41" s="15" t="inlineStr">
        <is>
          <t>ベランダや外壁目地の防水状態を確認し、雨漏り前の早めのメンテナンスをご提案します。</t>
        </is>
      </c>
      <c r="V41" s="15" t="inlineStr">
        <is>
          <t>塩ビシート防水 耐用年数</t>
        </is>
      </c>
      <c r="W41" s="15" t="inlineStr">
        <is>
          <t>雨漏り前に防水状態をチェック</t>
        </is>
      </c>
      <c r="X41" s="15" t="inlineStr">
        <is>
          <t>費用・耐用年数を解説</t>
        </is>
      </c>
      <c r="Y41" s="15" t="inlineStr">
        <is>
          <t>ベランダ床・防水層・排水口</t>
        </is>
      </c>
      <c r="Z41" s="15" t="inlineStr">
        <is>
          <t>点検する職人</t>
        </is>
      </c>
      <c r="AA41" s="15" t="inlineStr">
        <is>
          <t>松山市版</t>
        </is>
      </c>
      <c r="AB41" s="15" t="inlineStr">
        <is>
          <t>防水訴求</t>
        </is>
      </c>
      <c r="AC41" s="15" t="inlineStr">
        <is>
          <t>未着手</t>
        </is>
      </c>
      <c r="AD41" s="15" t="inlineStr">
        <is>
          <t>未着手</t>
        </is>
      </c>
      <c r="AE41" s="15" t="inlineStr">
        <is>
          <t>未反映</t>
        </is>
      </c>
      <c r="AF41" s="15" t="inlineStr">
        <is>
          <t>未投稿</t>
        </is>
      </c>
      <c r="AG41" s="15" t="inlineStr">
        <is>
          <t>create_only</t>
        </is>
      </c>
      <c r="AH41" s="15" t="str"/>
      <c r="AI41" s="15" t="str"/>
      <c r="AJ41" s="69" t="str"/>
      <c r="AK41" s="69" t="str"/>
      <c r="AL41" s="15" t="str"/>
      <c r="AM41" s="15">
        <f>IF(AL41="","",IF(AL41&lt;I41,"不足",IF(AL41&gt;J41,"超過","OK")))</f>
        <v/>
      </c>
      <c r="AN41" s="15" t="str"/>
      <c r="AO41" s="15" t="inlineStr">
        <is>
          <t>関連：ベランダ防水費用、シーリング打ち替え費用、外壁雨漏りへリンク。</t>
        </is>
      </c>
      <c r="AP41" s="15" t="inlineStr">
        <is>
          <t>H1なし／この記事でわかること／地域事情／事例／原因・費用／CTA／FAQ</t>
        </is>
      </c>
      <c r="AQ41" s="15" t="str"/>
    </row>
    <row r="42">
      <c r="A42" s="15" t="n">
        <v>41</v>
      </c>
      <c r="B42" s="15" t="inlineStr">
        <is>
          <t>屋根カバー メリット</t>
        </is>
      </c>
      <c r="C42" s="15" t="inlineStr">
        <is>
          <t>屋根カバー メリット</t>
        </is>
      </c>
      <c r="D42" s="15" t="inlineStr">
        <is>
          <t>屋根カバー工法のメリットとは？費用・注意点・向いている屋根</t>
        </is>
      </c>
      <c r="E42" s="15" t="inlineStr">
        <is>
          <t>屋根修理・屋根材</t>
        </is>
      </c>
      <c r="F42" s="15" t="inlineStr">
        <is>
          <t>地域サービス型</t>
        </is>
      </c>
      <c r="G42" s="15" t="inlineStr">
        <is>
          <t>地域サービス型</t>
        </is>
      </c>
      <c r="H42" s="15" t="inlineStr">
        <is>
          <t>5,000〜7,000字</t>
        </is>
      </c>
      <c r="I42" s="15" t="n">
        <v>5000</v>
      </c>
      <c r="J42" s="15" t="n">
        <v>7000</v>
      </c>
      <c r="K42" s="15" t="inlineStr">
        <is>
          <t>高</t>
        </is>
      </c>
      <c r="L42" s="15" t="inlineStr">
        <is>
          <t>第2ロット：屋根修理・屋根材系</t>
        </is>
      </c>
      <c r="M42" s="15" t="inlineStr">
        <is>
          <t>041.md</t>
        </is>
      </c>
      <c r="N42" s="15" t="inlineStr">
        <is>
          <t>041.webp</t>
        </is>
      </c>
      <c r="O42" s="15" t="inlineStr">
        <is>
          <t>roof-cover-method-merit</t>
        </is>
      </c>
      <c r="P42" s="15" t="inlineStr">
        <is>
          <t>屋根カバー メリットについて、劣化症状、修理方法、費用目安、依頼前に確認したいポイントをわかりやすく解説します。</t>
        </is>
      </c>
      <c r="Q42" s="15" t="inlineStr">
        <is>
          <t>屋根修理</t>
        </is>
      </c>
      <c r="R42" s="15" t="inlineStr">
        <is>
          <t>屋根修理</t>
        </is>
      </c>
      <c r="S42" s="15" t="inlineStr">
        <is>
          <t>屋根無料点検・屋根修理</t>
        </is>
      </c>
      <c r="T42" s="15" t="inlineStr">
        <is>
          <t>屋根点検CTA</t>
        </is>
      </c>
      <c r="U42" s="15" t="inlineStr">
        <is>
          <t>屋根材・板金・瓦の状態を点検し、雨漏りリスクや修理方法を職人目線で確認します。</t>
        </is>
      </c>
      <c r="V42" s="15" t="inlineStr">
        <is>
          <t>屋根カバー メリット</t>
        </is>
      </c>
      <c r="W42" s="15" t="inlineStr">
        <is>
          <t>雨漏り前に劣化を確認</t>
        </is>
      </c>
      <c r="X42" s="15" t="inlineStr">
        <is>
          <t>屋根点検・修理方法を解説</t>
        </is>
      </c>
      <c r="Y42" s="15" t="inlineStr">
        <is>
          <t>屋根材・瓦・板金・雨空</t>
        </is>
      </c>
      <c r="Z42" s="15" t="inlineStr">
        <is>
          <t>屋根を点検する職人</t>
        </is>
      </c>
      <c r="AA42" s="15" t="inlineStr">
        <is>
          <t>松山市版</t>
        </is>
      </c>
      <c r="AB42" s="15" t="inlineStr">
        <is>
          <t>屋根修理訴求</t>
        </is>
      </c>
      <c r="AC42" s="15" t="inlineStr">
        <is>
          <t>未着手</t>
        </is>
      </c>
      <c r="AD42" s="15" t="inlineStr">
        <is>
          <t>未着手</t>
        </is>
      </c>
      <c r="AE42" s="15" t="inlineStr">
        <is>
          <t>未反映</t>
        </is>
      </c>
      <c r="AF42" s="15" t="inlineStr">
        <is>
          <t>未投稿</t>
        </is>
      </c>
      <c r="AG42" s="15" t="inlineStr">
        <is>
          <t>create_only</t>
        </is>
      </c>
      <c r="AH42" s="15" t="str"/>
      <c r="AI42" s="15" t="str"/>
      <c r="AJ42" s="69" t="str"/>
      <c r="AK42" s="69" t="str"/>
      <c r="AL42" s="15" t="str"/>
      <c r="AM42" s="15">
        <f>IF(AL42="","",IF(AL42&lt;I42,"不足",IF(AL42&gt;J42,"超過","OK")))</f>
        <v/>
      </c>
      <c r="AN42" s="15" t="str"/>
      <c r="AO42" s="15" t="inlineStr">
        <is>
          <t>中心記事「松山市の屋根修理」へリンク。関連：屋根カバー・屋根材注意記事。</t>
        </is>
      </c>
      <c r="AP42" s="15" t="inlineStr">
        <is>
          <t>H1なし／この記事でわかること／地域事情／事例／原因・費用／CTA／FAQ</t>
        </is>
      </c>
      <c r="AQ42" s="15" t="str"/>
    </row>
    <row r="43">
      <c r="A43" s="15" t="n">
        <v>42</v>
      </c>
      <c r="B43" s="15" t="inlineStr">
        <is>
          <t>ガルテクト デメリット</t>
        </is>
      </c>
      <c r="C43" s="15" t="inlineStr">
        <is>
          <t>ガルテクト デメリット</t>
        </is>
      </c>
      <c r="D43" s="15" t="inlineStr">
        <is>
          <t>ガルテクトのデメリットとは？屋根カバー前に知りたい注意点</t>
        </is>
      </c>
      <c r="E43" s="15" t="inlineStr">
        <is>
          <t>屋根修理・屋根材</t>
        </is>
      </c>
      <c r="F43" s="15" t="inlineStr">
        <is>
          <t>屋根材注意型</t>
        </is>
      </c>
      <c r="G43" s="15" t="inlineStr">
        <is>
          <t>建材・屋根材注意喚起型</t>
        </is>
      </c>
      <c r="H43" s="15" t="inlineStr">
        <is>
          <t>5,000〜7,000字</t>
        </is>
      </c>
      <c r="I43" s="15" t="n">
        <v>5000</v>
      </c>
      <c r="J43" s="15" t="n">
        <v>7000</v>
      </c>
      <c r="K43" s="15" t="inlineStr">
        <is>
          <t>高</t>
        </is>
      </c>
      <c r="L43" s="15" t="inlineStr">
        <is>
          <t>第2ロット：屋根修理・屋根材系</t>
        </is>
      </c>
      <c r="M43" s="15" t="inlineStr">
        <is>
          <t>042.md</t>
        </is>
      </c>
      <c r="N43" s="15" t="inlineStr">
        <is>
          <t>042.webp</t>
        </is>
      </c>
      <c r="O43" s="15" t="inlineStr">
        <is>
          <t>galtect-demerit</t>
        </is>
      </c>
      <c r="P43" s="15" t="inlineStr">
        <is>
          <t>ガルテクト デメリットについて、劣化症状、修理方法、費用目安、依頼前に確認したいポイントをわかりやすく解説します。</t>
        </is>
      </c>
      <c r="Q43" s="15" t="inlineStr">
        <is>
          <t>屋根修理</t>
        </is>
      </c>
      <c r="R43" s="15" t="inlineStr">
        <is>
          <t>屋根修理</t>
        </is>
      </c>
      <c r="S43" s="15" t="inlineStr">
        <is>
          <t>屋根無料点検・屋根修理</t>
        </is>
      </c>
      <c r="T43" s="15" t="inlineStr">
        <is>
          <t>屋根点検CTA</t>
        </is>
      </c>
      <c r="U43" s="15" t="inlineStr">
        <is>
          <t>屋根材・板金・瓦の状態を点検し、雨漏りリスクや修理方法を職人目線で確認します。</t>
        </is>
      </c>
      <c r="V43" s="15" t="inlineStr">
        <is>
          <t>ガルテクト デメリット</t>
        </is>
      </c>
      <c r="W43" s="15" t="inlineStr">
        <is>
          <t>雨漏り前に劣化を確認</t>
        </is>
      </c>
      <c r="X43" s="15" t="inlineStr">
        <is>
          <t>屋根点検・修理方法を解説</t>
        </is>
      </c>
      <c r="Y43" s="15" t="inlineStr">
        <is>
          <t>屋根材・瓦・板金・雨空</t>
        </is>
      </c>
      <c r="Z43" s="15" t="inlineStr">
        <is>
          <t>屋根を点検する職人</t>
        </is>
      </c>
      <c r="AA43" s="15" t="inlineStr">
        <is>
          <t>松山市版</t>
        </is>
      </c>
      <c r="AB43" s="15" t="inlineStr">
        <is>
          <t>屋根修理訴求</t>
        </is>
      </c>
      <c r="AC43" s="15" t="inlineStr">
        <is>
          <t>未着手</t>
        </is>
      </c>
      <c r="AD43" s="15" t="inlineStr">
        <is>
          <t>未着手</t>
        </is>
      </c>
      <c r="AE43" s="15" t="inlineStr">
        <is>
          <t>未反映</t>
        </is>
      </c>
      <c r="AF43" s="15" t="inlineStr">
        <is>
          <t>未投稿</t>
        </is>
      </c>
      <c r="AG43" s="15" t="inlineStr">
        <is>
          <t>create_only</t>
        </is>
      </c>
      <c r="AH43" s="15" t="str"/>
      <c r="AI43" s="15" t="str"/>
      <c r="AJ43" s="69" t="str"/>
      <c r="AK43" s="69" t="str"/>
      <c r="AL43" s="15" t="str"/>
      <c r="AM43" s="15">
        <f>IF(AL43="","",IF(AL43&lt;I43,"不足",IF(AL43&gt;J43,"超過","OK")))</f>
        <v/>
      </c>
      <c r="AN43" s="15" t="str"/>
      <c r="AO43" s="15" t="inlineStr">
        <is>
          <t>中心記事「松山市の屋根修理」へリンク。関連：屋根カバー・屋根材注意記事。</t>
        </is>
      </c>
      <c r="AP43" s="15" t="inlineStr">
        <is>
          <t>H1なし／この記事でわかること／地域事情／事例／原因・費用／CTA／FAQ</t>
        </is>
      </c>
      <c r="AQ43" s="15" t="str"/>
    </row>
    <row r="44">
      <c r="A44" s="15" t="n">
        <v>43</v>
      </c>
      <c r="B44" s="15" t="inlineStr">
        <is>
          <t>ヴェルウッド デメリット</t>
        </is>
      </c>
      <c r="C44" s="15" t="inlineStr">
        <is>
          <t>ヴェルウッド デメリット</t>
        </is>
      </c>
      <c r="D44" s="15" t="inlineStr">
        <is>
          <t>ヴェルウッドのデメリットとは？屋根材選びで確認したいポイント</t>
        </is>
      </c>
      <c r="E44" s="15" t="inlineStr">
        <is>
          <t>屋根修理・屋根材</t>
        </is>
      </c>
      <c r="F44" s="15" t="inlineStr">
        <is>
          <t>屋根材注意型</t>
        </is>
      </c>
      <c r="G44" s="15" t="inlineStr">
        <is>
          <t>地域サービス型</t>
        </is>
      </c>
      <c r="H44" s="15" t="inlineStr">
        <is>
          <t>5,000〜7,000字</t>
        </is>
      </c>
      <c r="I44" s="15" t="n">
        <v>5000</v>
      </c>
      <c r="J44" s="15" t="n">
        <v>7000</v>
      </c>
      <c r="K44" s="15" t="inlineStr">
        <is>
          <t>高</t>
        </is>
      </c>
      <c r="L44" s="15" t="inlineStr">
        <is>
          <t>第2ロット：屋根修理・屋根材系</t>
        </is>
      </c>
      <c r="M44" s="15" t="inlineStr">
        <is>
          <t>043.md</t>
        </is>
      </c>
      <c r="N44" s="15" t="inlineStr">
        <is>
          <t>043.webp</t>
        </is>
      </c>
      <c r="O44" s="15" t="inlineStr">
        <is>
          <t>velwood-demerit</t>
        </is>
      </c>
      <c r="P44" s="15" t="inlineStr">
        <is>
          <t>ヴェルウッド デメリットについて、劣化症状、修理方法、費用目安、依頼前に確認したいポイントをわかりやすく解説します。</t>
        </is>
      </c>
      <c r="Q44" s="15" t="inlineStr">
        <is>
          <t>屋根修理</t>
        </is>
      </c>
      <c r="R44" s="15" t="inlineStr">
        <is>
          <t>屋根修理</t>
        </is>
      </c>
      <c r="S44" s="15" t="inlineStr">
        <is>
          <t>屋根無料点検・屋根修理</t>
        </is>
      </c>
      <c r="T44" s="15" t="inlineStr">
        <is>
          <t>屋根点検CTA</t>
        </is>
      </c>
      <c r="U44" s="15" t="inlineStr">
        <is>
          <t>屋根材・板金・瓦の状態を点検し、雨漏りリスクや修理方法を職人目線で確認します。</t>
        </is>
      </c>
      <c r="V44" s="15" t="inlineStr">
        <is>
          <t>ヴェルウッド デメリット</t>
        </is>
      </c>
      <c r="W44" s="15" t="inlineStr">
        <is>
          <t>雨漏り前に劣化を確認</t>
        </is>
      </c>
      <c r="X44" s="15" t="inlineStr">
        <is>
          <t>屋根点検・修理方法を解説</t>
        </is>
      </c>
      <c r="Y44" s="15" t="inlineStr">
        <is>
          <t>屋根材・瓦・板金・雨空</t>
        </is>
      </c>
      <c r="Z44" s="15" t="inlineStr">
        <is>
          <t>屋根を点検する職人</t>
        </is>
      </c>
      <c r="AA44" s="15" t="inlineStr">
        <is>
          <t>松山市版</t>
        </is>
      </c>
      <c r="AB44" s="15" t="inlineStr">
        <is>
          <t>屋根修理訴求</t>
        </is>
      </c>
      <c r="AC44" s="15" t="inlineStr">
        <is>
          <t>未着手</t>
        </is>
      </c>
      <c r="AD44" s="15" t="inlineStr">
        <is>
          <t>未着手</t>
        </is>
      </c>
      <c r="AE44" s="15" t="inlineStr">
        <is>
          <t>未反映</t>
        </is>
      </c>
      <c r="AF44" s="15" t="inlineStr">
        <is>
          <t>未投稿</t>
        </is>
      </c>
      <c r="AG44" s="15" t="inlineStr">
        <is>
          <t>create_only</t>
        </is>
      </c>
      <c r="AH44" s="15" t="str"/>
      <c r="AI44" s="15" t="str"/>
      <c r="AJ44" s="69" t="str"/>
      <c r="AK44" s="69" t="str"/>
      <c r="AL44" s="15" t="str"/>
      <c r="AM44" s="15">
        <f>IF(AL44="","",IF(AL44&lt;I44,"不足",IF(AL44&gt;J44,"超過","OK")))</f>
        <v/>
      </c>
      <c r="AN44" s="15" t="str"/>
      <c r="AO44" s="15" t="inlineStr">
        <is>
          <t>中心記事「松山市の屋根修理」へリンク。関連：屋根カバー・屋根材注意記事。</t>
        </is>
      </c>
      <c r="AP44" s="15" t="inlineStr">
        <is>
          <t>H1なし／この記事でわかること／地域事情／事例／原因・費用／CTA／FAQ</t>
        </is>
      </c>
      <c r="AQ44" s="15" t="str"/>
    </row>
    <row r="45">
      <c r="A45" s="15" t="n">
        <v>44</v>
      </c>
      <c r="B45" s="15" t="inlineStr">
        <is>
          <t>パミール 屋根 対策</t>
        </is>
      </c>
      <c r="C45" s="15" t="inlineStr">
        <is>
          <t>パミール 屋根 対策</t>
        </is>
      </c>
      <c r="D45" s="15" t="inlineStr">
        <is>
          <t>パミール屋根の対策とは？塗装できない理由と修理方法を解説</t>
        </is>
      </c>
      <c r="E45" s="15" t="inlineStr">
        <is>
          <t>屋根修理・屋根材</t>
        </is>
      </c>
      <c r="F45" s="15" t="inlineStr">
        <is>
          <t>屋根材注意型</t>
        </is>
      </c>
      <c r="G45" s="15" t="inlineStr">
        <is>
          <t>建材・屋根材注意喚起型</t>
        </is>
      </c>
      <c r="H45" s="15" t="inlineStr">
        <is>
          <t>5,000〜7,000字</t>
        </is>
      </c>
      <c r="I45" s="15" t="n">
        <v>5000</v>
      </c>
      <c r="J45" s="15" t="n">
        <v>7000</v>
      </c>
      <c r="K45" s="15" t="inlineStr">
        <is>
          <t>高</t>
        </is>
      </c>
      <c r="L45" s="15" t="inlineStr">
        <is>
          <t>第2ロット：屋根修理・屋根材系</t>
        </is>
      </c>
      <c r="M45" s="15" t="inlineStr">
        <is>
          <t>044.md</t>
        </is>
      </c>
      <c r="N45" s="15" t="inlineStr">
        <is>
          <t>044.webp</t>
        </is>
      </c>
      <c r="O45" s="15" t="inlineStr">
        <is>
          <t>pamir-roof-countermeasure</t>
        </is>
      </c>
      <c r="P45" s="15" t="inlineStr">
        <is>
          <t>パミール 屋根 対策について、劣化症状、修理方法、費用目安、依頼前に確認したいポイントをわかりやすく解説します。</t>
        </is>
      </c>
      <c r="Q45" s="15" t="inlineStr">
        <is>
          <t>屋根修理</t>
        </is>
      </c>
      <c r="R45" s="15" t="inlineStr">
        <is>
          <t>屋根修理</t>
        </is>
      </c>
      <c r="S45" s="15" t="inlineStr">
        <is>
          <t>屋根無料点検・屋根修理</t>
        </is>
      </c>
      <c r="T45" s="15" t="inlineStr">
        <is>
          <t>屋根点検CTA</t>
        </is>
      </c>
      <c r="U45" s="15" t="inlineStr">
        <is>
          <t>屋根材・板金・瓦の状態を点検し、雨漏りリスクや修理方法を職人目線で確認します。</t>
        </is>
      </c>
      <c r="V45" s="15" t="inlineStr">
        <is>
          <t>パミール 屋根 対策</t>
        </is>
      </c>
      <c r="W45" s="15" t="inlineStr">
        <is>
          <t>雨漏り前に劣化を確認</t>
        </is>
      </c>
      <c r="X45" s="15" t="inlineStr">
        <is>
          <t>屋根点検・修理方法を解説</t>
        </is>
      </c>
      <c r="Y45" s="15" t="inlineStr">
        <is>
          <t>屋根材・瓦・板金・雨空</t>
        </is>
      </c>
      <c r="Z45" s="15" t="inlineStr">
        <is>
          <t>屋根を点検する職人</t>
        </is>
      </c>
      <c r="AA45" s="15" t="inlineStr">
        <is>
          <t>松山市版</t>
        </is>
      </c>
      <c r="AB45" s="15" t="inlineStr">
        <is>
          <t>屋根修理訴求</t>
        </is>
      </c>
      <c r="AC45" s="15" t="inlineStr">
        <is>
          <t>未着手</t>
        </is>
      </c>
      <c r="AD45" s="15" t="inlineStr">
        <is>
          <t>未着手</t>
        </is>
      </c>
      <c r="AE45" s="15" t="inlineStr">
        <is>
          <t>未反映</t>
        </is>
      </c>
      <c r="AF45" s="15" t="inlineStr">
        <is>
          <t>未投稿</t>
        </is>
      </c>
      <c r="AG45" s="15" t="inlineStr">
        <is>
          <t>create_only</t>
        </is>
      </c>
      <c r="AH45" s="15" t="str"/>
      <c r="AI45" s="15" t="str"/>
      <c r="AJ45" s="69" t="str"/>
      <c r="AK45" s="69" t="str"/>
      <c r="AL45" s="15" t="str"/>
      <c r="AM45" s="15">
        <f>IF(AL45="","",IF(AL45&lt;I45,"不足",IF(AL45&gt;J45,"超過","OK")))</f>
        <v/>
      </c>
      <c r="AN45" s="15" t="str"/>
      <c r="AO45" s="15" t="inlineStr">
        <is>
          <t>中心記事「松山市の屋根修理」へリンク。関連：屋根カバー・屋根材注意記事。</t>
        </is>
      </c>
      <c r="AP45" s="15" t="inlineStr">
        <is>
          <t>H1なし／この記事でわかること／地域事情／事例／原因・費用／CTA／FAQ</t>
        </is>
      </c>
      <c r="AQ45" s="15" t="str"/>
    </row>
    <row r="46">
      <c r="A46" s="15" t="n">
        <v>45</v>
      </c>
      <c r="B46" s="15" t="inlineStr">
        <is>
          <t>コロニアルNEO 雨漏り</t>
        </is>
      </c>
      <c r="C46" s="15" t="inlineStr">
        <is>
          <t>コロニアルNEO 雨漏り</t>
        </is>
      </c>
      <c r="D46" s="15" t="inlineStr">
        <is>
          <t>コロニアルNEOは雨漏りしやすい？劣化症状と対策を解説</t>
        </is>
      </c>
      <c r="E46" s="15" t="inlineStr">
        <is>
          <t>屋根修理・屋根材</t>
        </is>
      </c>
      <c r="F46" s="15" t="inlineStr">
        <is>
          <t>屋根材注意型</t>
        </is>
      </c>
      <c r="G46" s="15" t="inlineStr">
        <is>
          <t>建材・屋根材注意喚起型</t>
        </is>
      </c>
      <c r="H46" s="15" t="inlineStr">
        <is>
          <t>5,000〜7,000字</t>
        </is>
      </c>
      <c r="I46" s="15" t="n">
        <v>5000</v>
      </c>
      <c r="J46" s="15" t="n">
        <v>7000</v>
      </c>
      <c r="K46" s="15" t="inlineStr">
        <is>
          <t>高</t>
        </is>
      </c>
      <c r="L46" s="15" t="inlineStr">
        <is>
          <t>第2ロット：屋根修理・屋根材系</t>
        </is>
      </c>
      <c r="M46" s="15" t="inlineStr">
        <is>
          <t>045.md</t>
        </is>
      </c>
      <c r="N46" s="15" t="inlineStr">
        <is>
          <t>045.webp</t>
        </is>
      </c>
      <c r="O46" s="15" t="inlineStr">
        <is>
          <t>colonial-neo-leak</t>
        </is>
      </c>
      <c r="P46" s="15" t="inlineStr">
        <is>
          <t>コロニアルNEO 雨漏りについて、劣化症状、修理方法、費用目安、依頼前に確認したいポイントをわかりやすく解説します。</t>
        </is>
      </c>
      <c r="Q46" s="15" t="inlineStr">
        <is>
          <t>屋根修理</t>
        </is>
      </c>
      <c r="R46" s="15" t="inlineStr">
        <is>
          <t>雨漏り、屋根修理</t>
        </is>
      </c>
      <c r="S46" s="15" t="inlineStr">
        <is>
          <t>雨漏り無料点検・無料見積り</t>
        </is>
      </c>
      <c r="T46" s="15" t="inlineStr">
        <is>
          <t>雨漏り無料点検CTA</t>
        </is>
      </c>
      <c r="U46" s="15" t="inlineStr">
        <is>
          <t>松山市で雨漏りが気になる方は、まずは無料点検・無料見積りをご利用ください。原因を確認し、必要な工事だけをご提案します。</t>
        </is>
      </c>
      <c r="V46" s="15" t="inlineStr">
        <is>
          <t>コロニアルNEO 雨漏り</t>
        </is>
      </c>
      <c r="W46" s="15" t="inlineStr">
        <is>
          <t>雨漏り前に劣化を確認</t>
        </is>
      </c>
      <c r="X46" s="15" t="inlineStr">
        <is>
          <t>屋根点検・修理方法を解説</t>
        </is>
      </c>
      <c r="Y46" s="15" t="inlineStr">
        <is>
          <t>屋根材・瓦・板金・雨空</t>
        </is>
      </c>
      <c r="Z46" s="15" t="inlineStr">
        <is>
          <t>屋根を点検する職人</t>
        </is>
      </c>
      <c r="AA46" s="15" t="inlineStr">
        <is>
          <t>松山市版</t>
        </is>
      </c>
      <c r="AB46" s="15" t="inlineStr">
        <is>
          <t>屋根修理訴求</t>
        </is>
      </c>
      <c r="AC46" s="15" t="inlineStr">
        <is>
          <t>未着手</t>
        </is>
      </c>
      <c r="AD46" s="15" t="inlineStr">
        <is>
          <t>未着手</t>
        </is>
      </c>
      <c r="AE46" s="15" t="inlineStr">
        <is>
          <t>未反映</t>
        </is>
      </c>
      <c r="AF46" s="15" t="inlineStr">
        <is>
          <t>未投稿</t>
        </is>
      </c>
      <c r="AG46" s="15" t="inlineStr">
        <is>
          <t>create_only</t>
        </is>
      </c>
      <c r="AH46" s="15" t="str"/>
      <c r="AI46" s="15" t="str"/>
      <c r="AJ46" s="69" t="str"/>
      <c r="AK46" s="69" t="str"/>
      <c r="AL46" s="15" t="str"/>
      <c r="AM46" s="15">
        <f>IF(AL46="","",IF(AL46&lt;I46,"不足",IF(AL46&gt;J46,"超過","OK")))</f>
        <v/>
      </c>
      <c r="AN46" s="15" t="str"/>
      <c r="AO46" s="15" t="inlineStr">
        <is>
          <t>中心記事「松山市の屋根修理」へリンク。関連：屋根カバー・屋根材注意記事。</t>
        </is>
      </c>
      <c r="AP46" s="15" t="inlineStr">
        <is>
          <t>H1なし／この記事でわかること／地域事情／事例／原因・費用／CTA／FAQ</t>
        </is>
      </c>
      <c r="AQ46" s="15" t="str"/>
    </row>
    <row r="47">
      <c r="A47" s="15" t="n">
        <v>46</v>
      </c>
      <c r="B47" s="15" t="inlineStr">
        <is>
          <t>アーバニー 屋根 修理</t>
        </is>
      </c>
      <c r="C47" s="15" t="inlineStr">
        <is>
          <t>アーバニー 屋根 修理</t>
        </is>
      </c>
      <c r="D47" s="15" t="inlineStr">
        <is>
          <t>アーバニー屋根の修理方法｜割れ・剥がれ・雨漏り対策</t>
        </is>
      </c>
      <c r="E47" s="15" t="inlineStr">
        <is>
          <t>屋根修理・屋根材</t>
        </is>
      </c>
      <c r="F47" s="15" t="inlineStr">
        <is>
          <t>屋根材注意型</t>
        </is>
      </c>
      <c r="G47" s="15" t="inlineStr">
        <is>
          <t>建材・屋根材注意喚起型</t>
        </is>
      </c>
      <c r="H47" s="15" t="inlineStr">
        <is>
          <t>5,000〜7,000字</t>
        </is>
      </c>
      <c r="I47" s="15" t="n">
        <v>5000</v>
      </c>
      <c r="J47" s="15" t="n">
        <v>7000</v>
      </c>
      <c r="K47" s="15" t="inlineStr">
        <is>
          <t>高</t>
        </is>
      </c>
      <c r="L47" s="15" t="inlineStr">
        <is>
          <t>第2ロット：屋根修理・屋根材系</t>
        </is>
      </c>
      <c r="M47" s="15" t="inlineStr">
        <is>
          <t>046.md</t>
        </is>
      </c>
      <c r="N47" s="15" t="inlineStr">
        <is>
          <t>046.webp</t>
        </is>
      </c>
      <c r="O47" s="15" t="inlineStr">
        <is>
          <t>urbany-roof-repair</t>
        </is>
      </c>
      <c r="P47" s="15" t="inlineStr">
        <is>
          <t>アーバニー 屋根 修理について、劣化症状、修理方法、費用目安、依頼前に確認したいポイントをわかりやすく解説します。</t>
        </is>
      </c>
      <c r="Q47" s="15" t="inlineStr">
        <is>
          <t>屋根修理</t>
        </is>
      </c>
      <c r="R47" s="15" t="inlineStr">
        <is>
          <t>屋根修理</t>
        </is>
      </c>
      <c r="S47" s="15" t="inlineStr">
        <is>
          <t>屋根無料点検・屋根修理</t>
        </is>
      </c>
      <c r="T47" s="15" t="inlineStr">
        <is>
          <t>屋根点検CTA</t>
        </is>
      </c>
      <c r="U47" s="15" t="inlineStr">
        <is>
          <t>屋根材・板金・瓦の状態を点検し、雨漏りリスクや修理方法を職人目線で確認します。</t>
        </is>
      </c>
      <c r="V47" s="15" t="inlineStr">
        <is>
          <t>アーバニー 屋根 修理</t>
        </is>
      </c>
      <c r="W47" s="15" t="inlineStr">
        <is>
          <t>雨漏り前に劣化を確認</t>
        </is>
      </c>
      <c r="X47" s="15" t="inlineStr">
        <is>
          <t>屋根点検・修理方法を解説</t>
        </is>
      </c>
      <c r="Y47" s="15" t="inlineStr">
        <is>
          <t>屋根材・瓦・板金・雨空</t>
        </is>
      </c>
      <c r="Z47" s="15" t="inlineStr">
        <is>
          <t>屋根を点検する職人</t>
        </is>
      </c>
      <c r="AA47" s="15" t="inlineStr">
        <is>
          <t>松山市版</t>
        </is>
      </c>
      <c r="AB47" s="15" t="inlineStr">
        <is>
          <t>屋根修理訴求</t>
        </is>
      </c>
      <c r="AC47" s="15" t="inlineStr">
        <is>
          <t>未着手</t>
        </is>
      </c>
      <c r="AD47" s="15" t="inlineStr">
        <is>
          <t>未着手</t>
        </is>
      </c>
      <c r="AE47" s="15" t="inlineStr">
        <is>
          <t>未反映</t>
        </is>
      </c>
      <c r="AF47" s="15" t="inlineStr">
        <is>
          <t>未投稿</t>
        </is>
      </c>
      <c r="AG47" s="15" t="inlineStr">
        <is>
          <t>create_only</t>
        </is>
      </c>
      <c r="AH47" s="15" t="str"/>
      <c r="AI47" s="15" t="str"/>
      <c r="AJ47" s="69" t="str"/>
      <c r="AK47" s="69" t="str"/>
      <c r="AL47" s="15" t="str"/>
      <c r="AM47" s="15">
        <f>IF(AL47="","",IF(AL47&lt;I47,"不足",IF(AL47&gt;J47,"超過","OK")))</f>
        <v/>
      </c>
      <c r="AN47" s="15" t="str"/>
      <c r="AO47" s="15" t="inlineStr">
        <is>
          <t>中心記事「松山市の屋根修理」へリンク。関連：屋根カバー・屋根材注意記事。</t>
        </is>
      </c>
      <c r="AP47" s="15" t="inlineStr">
        <is>
          <t>H1なし／この記事でわかること／地域事情／事例／原因・費用／CTA／FAQ</t>
        </is>
      </c>
      <c r="AQ47" s="15" t="str"/>
    </row>
    <row r="48">
      <c r="A48" s="15" t="n">
        <v>47</v>
      </c>
      <c r="B48" s="15" t="inlineStr">
        <is>
          <t>セキスイかわらU 修理</t>
        </is>
      </c>
      <c r="C48" s="15" t="inlineStr">
        <is>
          <t>セキスイかわらU 修理</t>
        </is>
      </c>
      <c r="D48" s="15" t="inlineStr">
        <is>
          <t>セキスイかわらUの修理はどうする？塗装前に知るべき注意点</t>
        </is>
      </c>
      <c r="E48" s="15" t="inlineStr">
        <is>
          <t>屋根修理・屋根材</t>
        </is>
      </c>
      <c r="F48" s="15" t="inlineStr">
        <is>
          <t>屋根材注意型</t>
        </is>
      </c>
      <c r="G48" s="15" t="inlineStr">
        <is>
          <t>建材・屋根材注意喚起型</t>
        </is>
      </c>
      <c r="H48" s="15" t="inlineStr">
        <is>
          <t>5,000〜7,000字</t>
        </is>
      </c>
      <c r="I48" s="15" t="n">
        <v>5000</v>
      </c>
      <c r="J48" s="15" t="n">
        <v>7000</v>
      </c>
      <c r="K48" s="15" t="inlineStr">
        <is>
          <t>高</t>
        </is>
      </c>
      <c r="L48" s="15" t="inlineStr">
        <is>
          <t>第2ロット：屋根修理・屋根材系</t>
        </is>
      </c>
      <c r="M48" s="15" t="inlineStr">
        <is>
          <t>047.md</t>
        </is>
      </c>
      <c r="N48" s="15" t="inlineStr">
        <is>
          <t>047.webp</t>
        </is>
      </c>
      <c r="O48" s="15" t="inlineStr">
        <is>
          <t>sekisui-kawara-u-repair</t>
        </is>
      </c>
      <c r="P48" s="15" t="inlineStr">
        <is>
          <t>セキスイかわらU 修理について、劣化症状、修理方法、費用目安、依頼前に確認したいポイントをわかりやすく解説します。</t>
        </is>
      </c>
      <c r="Q48" s="15" t="inlineStr">
        <is>
          <t>屋根修理</t>
        </is>
      </c>
      <c r="R48" s="15" t="inlineStr">
        <is>
          <t>屋根修理</t>
        </is>
      </c>
      <c r="S48" s="15" t="inlineStr">
        <is>
          <t>屋根無料点検・屋根修理</t>
        </is>
      </c>
      <c r="T48" s="15" t="inlineStr">
        <is>
          <t>屋根点検CTA</t>
        </is>
      </c>
      <c r="U48" s="15" t="inlineStr">
        <is>
          <t>屋根材・板金・瓦の状態を点検し、雨漏りリスクや修理方法を職人目線で確認します。</t>
        </is>
      </c>
      <c r="V48" s="15" t="inlineStr">
        <is>
          <t>セキスイかわらU 修理</t>
        </is>
      </c>
      <c r="W48" s="15" t="inlineStr">
        <is>
          <t>雨漏り前に劣化を確認</t>
        </is>
      </c>
      <c r="X48" s="15" t="inlineStr">
        <is>
          <t>屋根点検・修理方法を解説</t>
        </is>
      </c>
      <c r="Y48" s="15" t="inlineStr">
        <is>
          <t>屋根材・瓦・板金・雨空</t>
        </is>
      </c>
      <c r="Z48" s="15" t="inlineStr">
        <is>
          <t>屋根を点検する職人</t>
        </is>
      </c>
      <c r="AA48" s="15" t="inlineStr">
        <is>
          <t>松山市版</t>
        </is>
      </c>
      <c r="AB48" s="15" t="inlineStr">
        <is>
          <t>屋根修理訴求</t>
        </is>
      </c>
      <c r="AC48" s="15" t="inlineStr">
        <is>
          <t>未着手</t>
        </is>
      </c>
      <c r="AD48" s="15" t="inlineStr">
        <is>
          <t>未着手</t>
        </is>
      </c>
      <c r="AE48" s="15" t="inlineStr">
        <is>
          <t>未反映</t>
        </is>
      </c>
      <c r="AF48" s="15" t="inlineStr">
        <is>
          <t>未投稿</t>
        </is>
      </c>
      <c r="AG48" s="15" t="inlineStr">
        <is>
          <t>create_only</t>
        </is>
      </c>
      <c r="AH48" s="15" t="str"/>
      <c r="AI48" s="15" t="str"/>
      <c r="AJ48" s="69" t="str"/>
      <c r="AK48" s="69" t="str"/>
      <c r="AL48" s="15" t="str"/>
      <c r="AM48" s="15">
        <f>IF(AL48="","",IF(AL48&lt;I48,"不足",IF(AL48&gt;J48,"超過","OK")))</f>
        <v/>
      </c>
      <c r="AN48" s="15" t="str"/>
      <c r="AO48" s="15" t="inlineStr">
        <is>
          <t>中心記事「松山市の屋根修理」へリンク。関連：屋根カバー・屋根材注意記事。</t>
        </is>
      </c>
      <c r="AP48" s="15" t="inlineStr">
        <is>
          <t>H1なし／この記事でわかること／地域事情／事例／原因・費用／CTA／FAQ</t>
        </is>
      </c>
      <c r="AQ48" s="15" t="str"/>
    </row>
    <row r="49">
      <c r="A49" s="15" t="n">
        <v>48</v>
      </c>
      <c r="B49" s="15" t="inlineStr">
        <is>
          <t>モニエル瓦 塗装</t>
        </is>
      </c>
      <c r="C49" s="15" t="inlineStr">
        <is>
          <t>モニエル瓦 塗装</t>
        </is>
      </c>
      <c r="D49" s="15" t="inlineStr">
        <is>
          <t>モニエル瓦の塗装は難しい？特徴・注意点・業者選びを解説</t>
        </is>
      </c>
      <c r="E49" s="15" t="inlineStr">
        <is>
          <t>屋根修理・屋根材</t>
        </is>
      </c>
      <c r="F49" s="15" t="inlineStr">
        <is>
          <t>屋根材注意型</t>
        </is>
      </c>
      <c r="G49" s="15" t="inlineStr">
        <is>
          <t>地域サービス型</t>
        </is>
      </c>
      <c r="H49" s="15" t="inlineStr">
        <is>
          <t>5,000〜7,000字</t>
        </is>
      </c>
      <c r="I49" s="15" t="n">
        <v>5000</v>
      </c>
      <c r="J49" s="15" t="n">
        <v>7000</v>
      </c>
      <c r="K49" s="15" t="inlineStr">
        <is>
          <t>高</t>
        </is>
      </c>
      <c r="L49" s="15" t="inlineStr">
        <is>
          <t>第2ロット：屋根修理・屋根材系</t>
        </is>
      </c>
      <c r="M49" s="15" t="inlineStr">
        <is>
          <t>048.md</t>
        </is>
      </c>
      <c r="N49" s="15" t="inlineStr">
        <is>
          <t>048.webp</t>
        </is>
      </c>
      <c r="O49" s="15" t="inlineStr">
        <is>
          <t>monier-tile-paint</t>
        </is>
      </c>
      <c r="P49" s="15" t="inlineStr">
        <is>
          <t>モニエル瓦 塗装について、劣化症状、修理方法、費用目安、依頼前に確認したいポイントをわかりやすく解説します。</t>
        </is>
      </c>
      <c r="Q49" s="15" t="inlineStr">
        <is>
          <t>屋根修理</t>
        </is>
      </c>
      <c r="R49" s="15" t="inlineStr">
        <is>
          <t>屋根修理</t>
        </is>
      </c>
      <c r="S49" s="15" t="inlineStr">
        <is>
          <t>屋根無料点検・屋根修理</t>
        </is>
      </c>
      <c r="T49" s="15" t="inlineStr">
        <is>
          <t>屋根点検CTA</t>
        </is>
      </c>
      <c r="U49" s="15" t="inlineStr">
        <is>
          <t>屋根材・板金・瓦の状態を点検し、雨漏りリスクや修理方法を職人目線で確認します。</t>
        </is>
      </c>
      <c r="V49" s="15" t="inlineStr">
        <is>
          <t>モニエル瓦 塗装</t>
        </is>
      </c>
      <c r="W49" s="15" t="inlineStr">
        <is>
          <t>雨漏り前に劣化を確認</t>
        </is>
      </c>
      <c r="X49" s="15" t="inlineStr">
        <is>
          <t>屋根点検・修理方法を解説</t>
        </is>
      </c>
      <c r="Y49" s="15" t="inlineStr">
        <is>
          <t>屋根材・瓦・板金・雨空</t>
        </is>
      </c>
      <c r="Z49" s="15" t="inlineStr">
        <is>
          <t>屋根を点検する職人</t>
        </is>
      </c>
      <c r="AA49" s="15" t="inlineStr">
        <is>
          <t>松山市版</t>
        </is>
      </c>
      <c r="AB49" s="15" t="inlineStr">
        <is>
          <t>屋根修理訴求</t>
        </is>
      </c>
      <c r="AC49" s="15" t="inlineStr">
        <is>
          <t>未着手</t>
        </is>
      </c>
      <c r="AD49" s="15" t="inlineStr">
        <is>
          <t>未着手</t>
        </is>
      </c>
      <c r="AE49" s="15" t="inlineStr">
        <is>
          <t>未反映</t>
        </is>
      </c>
      <c r="AF49" s="15" t="inlineStr">
        <is>
          <t>未投稿</t>
        </is>
      </c>
      <c r="AG49" s="15" t="inlineStr">
        <is>
          <t>create_only</t>
        </is>
      </c>
      <c r="AH49" s="15" t="str"/>
      <c r="AI49" s="15" t="str"/>
      <c r="AJ49" s="69" t="str"/>
      <c r="AK49" s="69" t="str"/>
      <c r="AL49" s="15" t="str"/>
      <c r="AM49" s="15">
        <f>IF(AL49="","",IF(AL49&lt;I49,"不足",IF(AL49&gt;J49,"超過","OK")))</f>
        <v/>
      </c>
      <c r="AN49" s="15" t="str"/>
      <c r="AO49" s="15" t="inlineStr">
        <is>
          <t>中心記事「松山市の屋根修理」へリンク。関連：屋根カバー・屋根材注意記事。</t>
        </is>
      </c>
      <c r="AP49" s="15" t="inlineStr">
        <is>
          <t>H1なし／この記事でわかること／地域事情／事例／原因・費用／CTA／FAQ</t>
        </is>
      </c>
      <c r="AQ49" s="15" t="str"/>
    </row>
    <row r="50">
      <c r="A50" s="15" t="n">
        <v>49</v>
      </c>
      <c r="B50" s="15" t="inlineStr">
        <is>
          <t>屋根塗装しない方がいい屋根</t>
        </is>
      </c>
      <c r="C50" s="15" t="inlineStr">
        <is>
          <t>屋根塗装しない方がいい屋根</t>
        </is>
      </c>
      <c r="D50" s="15" t="inlineStr">
        <is>
          <t>屋根塗装しない方がいい屋根とは？塗装できない屋根材と対策</t>
        </is>
      </c>
      <c r="E50" s="15" t="inlineStr">
        <is>
          <t>屋根修理・屋根材</t>
        </is>
      </c>
      <c r="F50" s="15" t="inlineStr">
        <is>
          <t>屋根材注意型</t>
        </is>
      </c>
      <c r="G50" s="15" t="inlineStr">
        <is>
          <t>地域サービス型</t>
        </is>
      </c>
      <c r="H50" s="15" t="inlineStr">
        <is>
          <t>5,000〜7,000字</t>
        </is>
      </c>
      <c r="I50" s="15" t="n">
        <v>5000</v>
      </c>
      <c r="J50" s="15" t="n">
        <v>7000</v>
      </c>
      <c r="K50" s="15" t="inlineStr">
        <is>
          <t>高</t>
        </is>
      </c>
      <c r="L50" s="15" t="inlineStr">
        <is>
          <t>第2ロット：屋根修理・屋根材系</t>
        </is>
      </c>
      <c r="M50" s="15" t="inlineStr">
        <is>
          <t>049.md</t>
        </is>
      </c>
      <c r="N50" s="15" t="inlineStr">
        <is>
          <t>049.webp</t>
        </is>
      </c>
      <c r="O50" s="15" t="inlineStr">
        <is>
          <t>roof-not-suitable-for-painting</t>
        </is>
      </c>
      <c r="P50" s="15" t="inlineStr">
        <is>
          <t>屋根塗装しない方がいい屋根について、劣化症状、修理方法、費用目安、依頼前に確認したいポイントをわかりやすく解説します。</t>
        </is>
      </c>
      <c r="Q50" s="15" t="inlineStr">
        <is>
          <t>屋根修理</t>
        </is>
      </c>
      <c r="R50" s="15" t="inlineStr">
        <is>
          <t>屋根修理</t>
        </is>
      </c>
      <c r="S50" s="15" t="inlineStr">
        <is>
          <t>屋根無料点検・屋根修理</t>
        </is>
      </c>
      <c r="T50" s="15" t="inlineStr">
        <is>
          <t>屋根点検CTA</t>
        </is>
      </c>
      <c r="U50" s="15" t="inlineStr">
        <is>
          <t>屋根材・板金・瓦の状態を点検し、雨漏りリスクや修理方法を職人目線で確認します。</t>
        </is>
      </c>
      <c r="V50" s="15" t="inlineStr">
        <is>
          <t>屋根塗装しない方がいい屋根</t>
        </is>
      </c>
      <c r="W50" s="15" t="inlineStr">
        <is>
          <t>雨漏り前に劣化を確認</t>
        </is>
      </c>
      <c r="X50" s="15" t="inlineStr">
        <is>
          <t>屋根点検・修理方法を解説</t>
        </is>
      </c>
      <c r="Y50" s="15" t="inlineStr">
        <is>
          <t>屋根材・瓦・板金・雨空</t>
        </is>
      </c>
      <c r="Z50" s="15" t="inlineStr">
        <is>
          <t>屋根を点検する職人</t>
        </is>
      </c>
      <c r="AA50" s="15" t="inlineStr">
        <is>
          <t>松山市版</t>
        </is>
      </c>
      <c r="AB50" s="15" t="inlineStr">
        <is>
          <t>屋根修理訴求</t>
        </is>
      </c>
      <c r="AC50" s="15" t="inlineStr">
        <is>
          <t>未着手</t>
        </is>
      </c>
      <c r="AD50" s="15" t="inlineStr">
        <is>
          <t>未着手</t>
        </is>
      </c>
      <c r="AE50" s="15" t="inlineStr">
        <is>
          <t>未反映</t>
        </is>
      </c>
      <c r="AF50" s="15" t="inlineStr">
        <is>
          <t>未投稿</t>
        </is>
      </c>
      <c r="AG50" s="15" t="inlineStr">
        <is>
          <t>create_only</t>
        </is>
      </c>
      <c r="AH50" s="15" t="str"/>
      <c r="AI50" s="15" t="str"/>
      <c r="AJ50" s="69" t="str"/>
      <c r="AK50" s="69" t="str"/>
      <c r="AL50" s="15" t="str"/>
      <c r="AM50" s="15">
        <f>IF(AL50="","",IF(AL50&lt;I50,"不足",IF(AL50&gt;J50,"超過","OK")))</f>
        <v/>
      </c>
      <c r="AN50" s="15" t="str"/>
      <c r="AO50" s="15" t="inlineStr">
        <is>
          <t>中心記事「松山市の屋根修理」へリンク。関連：屋根カバー・屋根材注意記事。</t>
        </is>
      </c>
      <c r="AP50" s="15" t="inlineStr">
        <is>
          <t>H1なし／この記事でわかること／地域事情／事例／原因・費用／CTA／FAQ</t>
        </is>
      </c>
      <c r="AQ50" s="15" t="str"/>
    </row>
    <row r="51">
      <c r="A51" s="15" t="n">
        <v>50</v>
      </c>
      <c r="B51" s="15" t="inlineStr">
        <is>
          <t>外壁塗装と防水工事</t>
        </is>
      </c>
      <c r="C51" s="15" t="inlineStr">
        <is>
          <t>外壁塗装と防水工事</t>
        </is>
      </c>
      <c r="D51" s="15" t="inlineStr">
        <is>
          <t>外壁塗装と防水工事は同時にできる？違い・費用・注意点</t>
        </is>
      </c>
      <c r="E51" s="15" t="inlineStr">
        <is>
          <t>防水・シーリング</t>
        </is>
      </c>
      <c r="F51" s="15" t="inlineStr">
        <is>
          <t>防水・シーリング型</t>
        </is>
      </c>
      <c r="G51" s="15" t="inlineStr">
        <is>
          <t>地域サービス型</t>
        </is>
      </c>
      <c r="H51" s="15" t="inlineStr">
        <is>
          <t>4,500〜6,000字</t>
        </is>
      </c>
      <c r="I51" s="15" t="n">
        <v>4500</v>
      </c>
      <c r="J51" s="15" t="n">
        <v>6000</v>
      </c>
      <c r="K51" s="15" t="inlineStr">
        <is>
          <t>中</t>
        </is>
      </c>
      <c r="L51" s="15" t="inlineStr">
        <is>
          <t>第3ロット：外壁塗装・防水系</t>
        </is>
      </c>
      <c r="M51" s="15" t="inlineStr">
        <is>
          <t>050.md</t>
        </is>
      </c>
      <c r="N51" s="15" t="inlineStr">
        <is>
          <t>050.webp</t>
        </is>
      </c>
      <c r="O51" s="15" t="inlineStr">
        <is>
          <t>exterior-paint-waterproofing</t>
        </is>
      </c>
      <c r="P51" s="15" t="inlineStr">
        <is>
          <t>外壁塗装と防水工事について、工事内容、耐用年数、費用目安、雨漏りを防ぐための注意点をわかりやすく解説します。</t>
        </is>
      </c>
      <c r="Q51" s="15" t="inlineStr">
        <is>
          <t>防水・シーリング</t>
        </is>
      </c>
      <c r="R51" s="15" t="inlineStr">
        <is>
          <t>外壁塗装、防水、防水・シーリング</t>
        </is>
      </c>
      <c r="S51" s="15" t="inlineStr">
        <is>
          <t>防水工事・シーリング工事</t>
        </is>
      </c>
      <c r="T51" s="15" t="inlineStr">
        <is>
          <t>防水点検CTA</t>
        </is>
      </c>
      <c r="U51" s="15" t="inlineStr">
        <is>
          <t>ベランダや外壁目地の防水状態を確認し、雨漏り前の早めのメンテナンスをご提案します。</t>
        </is>
      </c>
      <c r="V51" s="15" t="inlineStr">
        <is>
          <t>外壁塗装と防水工事</t>
        </is>
      </c>
      <c r="W51" s="15" t="inlineStr">
        <is>
          <t>雨漏り前に防水状態をチェック</t>
        </is>
      </c>
      <c r="X51" s="15" t="inlineStr">
        <is>
          <t>費用・耐用年数を解説</t>
        </is>
      </c>
      <c r="Y51" s="15" t="inlineStr">
        <is>
          <t>ベランダ床・防水層・排水口</t>
        </is>
      </c>
      <c r="Z51" s="15" t="inlineStr">
        <is>
          <t>点検する職人</t>
        </is>
      </c>
      <c r="AA51" s="15" t="inlineStr">
        <is>
          <t>松山市版</t>
        </is>
      </c>
      <c r="AB51" s="15" t="inlineStr">
        <is>
          <t>防水訴求</t>
        </is>
      </c>
      <c r="AC51" s="15" t="inlineStr">
        <is>
          <t>未着手</t>
        </is>
      </c>
      <c r="AD51" s="15" t="inlineStr">
        <is>
          <t>未着手</t>
        </is>
      </c>
      <c r="AE51" s="15" t="inlineStr">
        <is>
          <t>未反映</t>
        </is>
      </c>
      <c r="AF51" s="15" t="inlineStr">
        <is>
          <t>未投稿</t>
        </is>
      </c>
      <c r="AG51" s="15" t="inlineStr">
        <is>
          <t>create_only</t>
        </is>
      </c>
      <c r="AH51" s="15" t="str"/>
      <c r="AI51" s="15" t="str"/>
      <c r="AJ51" s="69" t="str"/>
      <c r="AK51" s="69" t="str"/>
      <c r="AL51" s="15" t="str"/>
      <c r="AM51" s="15">
        <f>IF(AL51="","",IF(AL51&lt;I51,"不足",IF(AL51&gt;J51,"超過","OK")))</f>
        <v/>
      </c>
      <c r="AN51" s="15" t="str"/>
      <c r="AO51" s="15" t="inlineStr">
        <is>
          <t>関連：ベランダ防水費用、シーリング打ち替え費用、外壁雨漏りへリンク。</t>
        </is>
      </c>
      <c r="AP51" s="15" t="inlineStr">
        <is>
          <t>H1なし／この記事でわかること／地域事情／事例／原因・費用／CTA／FAQ</t>
        </is>
      </c>
      <c r="AQ51" s="15" t="str"/>
    </row>
    <row r="52">
      <c r="A52" s="15" t="n">
        <v>51</v>
      </c>
      <c r="B52" s="15" t="inlineStr">
        <is>
          <t>外壁塗装と屋根カバー</t>
        </is>
      </c>
      <c r="C52" s="15" t="inlineStr">
        <is>
          <t>外壁塗装と屋根カバー</t>
        </is>
      </c>
      <c r="D52" s="15" t="inlineStr">
        <is>
          <t>屋根カバー工法のメリットとは？費用・注意点・向いている屋根</t>
        </is>
      </c>
      <c r="E52" s="15" t="inlineStr">
        <is>
          <t>屋根修理・屋根材</t>
        </is>
      </c>
      <c r="F52" s="15" t="inlineStr">
        <is>
          <t>地域サービス型</t>
        </is>
      </c>
      <c r="G52" s="15" t="inlineStr">
        <is>
          <t>地域サービス型</t>
        </is>
      </c>
      <c r="H52" s="15" t="inlineStr">
        <is>
          <t>5,000〜7,000字</t>
        </is>
      </c>
      <c r="I52" s="15" t="n">
        <v>5000</v>
      </c>
      <c r="J52" s="15" t="n">
        <v>7000</v>
      </c>
      <c r="K52" s="15" t="inlineStr">
        <is>
          <t>高</t>
        </is>
      </c>
      <c r="L52" s="15" t="inlineStr">
        <is>
          <t>第2ロット：屋根修理・屋根材系</t>
        </is>
      </c>
      <c r="M52" s="15" t="inlineStr">
        <is>
          <t>051.md</t>
        </is>
      </c>
      <c r="N52" s="15" t="inlineStr">
        <is>
          <t>051.webp</t>
        </is>
      </c>
      <c r="O52" s="15" t="inlineStr">
        <is>
          <t>exterior-paint-roof-cover</t>
        </is>
      </c>
      <c r="P52" s="15" t="inlineStr">
        <is>
          <t>外壁塗装と屋根カバーについて、劣化症状、修理方法、費用目安、依頼前に確認したいポイントをわかりやすく解説します。</t>
        </is>
      </c>
      <c r="Q52" s="15" t="inlineStr">
        <is>
          <t>屋根修理</t>
        </is>
      </c>
      <c r="R52" s="15" t="inlineStr">
        <is>
          <t>外壁塗装、屋根修理</t>
        </is>
      </c>
      <c r="S52" s="15" t="inlineStr">
        <is>
          <t>屋根無料点検・屋根修理</t>
        </is>
      </c>
      <c r="T52" s="15" t="inlineStr">
        <is>
          <t>屋根点検CTA</t>
        </is>
      </c>
      <c r="U52" s="15" t="inlineStr">
        <is>
          <t>屋根材・板金・瓦の状態を点検し、雨漏りリスクや修理方法を職人目線で確認します。</t>
        </is>
      </c>
      <c r="V52" s="15" t="inlineStr">
        <is>
          <t>外壁塗装と屋根カバー</t>
        </is>
      </c>
      <c r="W52" s="15" t="inlineStr">
        <is>
          <t>雨漏り前に劣化を確認</t>
        </is>
      </c>
      <c r="X52" s="15" t="inlineStr">
        <is>
          <t>屋根点検・修理方法を解説</t>
        </is>
      </c>
      <c r="Y52" s="15" t="inlineStr">
        <is>
          <t>屋根材・瓦・板金・雨空</t>
        </is>
      </c>
      <c r="Z52" s="15" t="inlineStr">
        <is>
          <t>屋根を点検する職人</t>
        </is>
      </c>
      <c r="AA52" s="15" t="inlineStr">
        <is>
          <t>松山市版</t>
        </is>
      </c>
      <c r="AB52" s="15" t="inlineStr">
        <is>
          <t>屋根修理訴求</t>
        </is>
      </c>
      <c r="AC52" s="15" t="inlineStr">
        <is>
          <t>未着手</t>
        </is>
      </c>
      <c r="AD52" s="15" t="inlineStr">
        <is>
          <t>未着手</t>
        </is>
      </c>
      <c r="AE52" s="15" t="inlineStr">
        <is>
          <t>未反映</t>
        </is>
      </c>
      <c r="AF52" s="15" t="inlineStr">
        <is>
          <t>未投稿</t>
        </is>
      </c>
      <c r="AG52" s="15" t="inlineStr">
        <is>
          <t>create_only</t>
        </is>
      </c>
      <c r="AH52" s="15" t="str"/>
      <c r="AI52" s="15" t="str"/>
      <c r="AJ52" s="69" t="str"/>
      <c r="AK52" s="69" t="str"/>
      <c r="AL52" s="15" t="str"/>
      <c r="AM52" s="15">
        <f>IF(AL52="","",IF(AL52&lt;I52,"不足",IF(AL52&gt;J52,"超過","OK")))</f>
        <v/>
      </c>
      <c r="AN52" s="15" t="str"/>
      <c r="AO52" s="15" t="inlineStr">
        <is>
          <t>中心記事「松山市の屋根修理」へリンク。関連：屋根カバー・屋根材注意記事。</t>
        </is>
      </c>
      <c r="AP52" s="15" t="inlineStr">
        <is>
          <t>H1なし／この記事でわかること／地域事情／事例／原因・費用／CTA／FAQ</t>
        </is>
      </c>
      <c r="AQ52" s="15" t="str"/>
    </row>
    <row r="53">
      <c r="A53" s="15" t="n">
        <v>52</v>
      </c>
      <c r="B53" s="15" t="inlineStr">
        <is>
          <t>外壁塗装 雨の日</t>
        </is>
      </c>
      <c r="C53" s="15" t="inlineStr">
        <is>
          <t>外壁塗装 雨の日</t>
        </is>
      </c>
      <c r="D53" s="15" t="inlineStr">
        <is>
          <t>外壁塗装は雨の日にできる？季節ごとの注意点を解説</t>
        </is>
      </c>
      <c r="E53" s="15" t="inlineStr">
        <is>
          <t>外壁塗装</t>
        </is>
      </c>
      <c r="F53" s="15" t="inlineStr">
        <is>
          <t>季節・時期型</t>
        </is>
      </c>
      <c r="G53" s="15" t="inlineStr">
        <is>
          <t>地域サービス型</t>
        </is>
      </c>
      <c r="H53" s="15" t="inlineStr">
        <is>
          <t>4,500〜6,000字</t>
        </is>
      </c>
      <c r="I53" s="15" t="n">
        <v>4500</v>
      </c>
      <c r="J53" s="15" t="n">
        <v>6000</v>
      </c>
      <c r="K53" s="15" t="inlineStr">
        <is>
          <t>中</t>
        </is>
      </c>
      <c r="L53" s="15" t="inlineStr">
        <is>
          <t>第3ロット：外壁塗装・防水系</t>
        </is>
      </c>
      <c r="M53" s="15" t="inlineStr">
        <is>
          <t>052.md</t>
        </is>
      </c>
      <c r="N53" s="15" t="inlineStr">
        <is>
          <t>052.webp</t>
        </is>
      </c>
      <c r="O53" s="15" t="inlineStr">
        <is>
          <t>exterior-paint-rainy-day</t>
        </is>
      </c>
      <c r="P53" s="15" t="inlineStr">
        <is>
          <t>外壁塗装 雨の日について、特徴、注意点、費用目安、業者選びのポイントを初心者にもわかりやすく解説します。</t>
        </is>
      </c>
      <c r="Q53" s="15" t="inlineStr">
        <is>
          <t>外壁塗装</t>
        </is>
      </c>
      <c r="R53" s="15" t="inlineStr">
        <is>
          <t>外壁塗装</t>
        </is>
      </c>
      <c r="S53" s="15" t="inlineStr">
        <is>
          <t>外装劣化診断・外壁塗装無料見積り</t>
        </is>
      </c>
      <c r="T53" s="15" t="inlineStr">
        <is>
          <t>無料見積りCTA</t>
        </is>
      </c>
      <c r="U53" s="15" t="inlineStr">
        <is>
          <t>費用は原因箇所や補修範囲で変わります。現地調査で状態を確認し、見積もりの根拠を写真付きでご説明します。</t>
        </is>
      </c>
      <c r="V53" s="15" t="inlineStr">
        <is>
          <t>外壁塗装 雨の日</t>
        </is>
      </c>
      <c r="W53" s="15" t="inlineStr">
        <is>
          <t>放置リスクと判断基準を解説</t>
        </is>
      </c>
      <c r="X53" s="15" t="inlineStr">
        <is>
          <t>無料診断で状態確認</t>
        </is>
      </c>
      <c r="Y53" s="15" t="inlineStr">
        <is>
          <t>外壁ひび割れ・チョーキング・住宅外観</t>
        </is>
      </c>
      <c r="Z53" s="15" t="inlineStr">
        <is>
          <t>職人＋困った住人</t>
        </is>
      </c>
      <c r="AA53" s="15" t="inlineStr">
        <is>
          <t>松山市版</t>
        </is>
      </c>
      <c r="AB53" s="15" t="inlineStr">
        <is>
          <t>外壁塗装訴求</t>
        </is>
      </c>
      <c r="AC53" s="15" t="inlineStr">
        <is>
          <t>未着手</t>
        </is>
      </c>
      <c r="AD53" s="15" t="inlineStr">
        <is>
          <t>未着手</t>
        </is>
      </c>
      <c r="AE53" s="15" t="inlineStr">
        <is>
          <t>未反映</t>
        </is>
      </c>
      <c r="AF53" s="15" t="inlineStr">
        <is>
          <t>未投稿</t>
        </is>
      </c>
      <c r="AG53" s="15" t="inlineStr">
        <is>
          <t>create_only</t>
        </is>
      </c>
      <c r="AH53" s="15" t="str"/>
      <c r="AI53" s="15" t="str"/>
      <c r="AJ53" s="69" t="str"/>
      <c r="AK53" s="69" t="str"/>
      <c r="AL53" s="15" t="str"/>
      <c r="AM53" s="15">
        <f>IF(AL53="","",IF(AL53&lt;I53,"不足",IF(AL53&gt;J53,"超過","OK")))</f>
        <v/>
      </c>
      <c r="AN53" s="15" t="str"/>
      <c r="AO53" s="15" t="inlineStr">
        <is>
          <t>関連：外壁塗装工期、足場代、防水工事、屋根カバーへリンク。</t>
        </is>
      </c>
      <c r="AP53" s="15" t="inlineStr">
        <is>
          <t>H1なし／この記事でわかること／地域事情／事例／原因・費用／CTA／FAQ</t>
        </is>
      </c>
      <c r="AQ53" s="15" t="str"/>
    </row>
    <row r="54">
      <c r="A54" s="15" t="n">
        <v>53</v>
      </c>
      <c r="B54" s="15" t="inlineStr">
        <is>
          <t>外壁塗装 梅雨</t>
        </is>
      </c>
      <c r="C54" s="15" t="inlineStr">
        <is>
          <t>外壁塗装 梅雨</t>
        </is>
      </c>
      <c r="D54" s="15" t="inlineStr">
        <is>
          <t>外壁塗装は梅雨にできる？季節ごとの注意点を解説</t>
        </is>
      </c>
      <c r="E54" s="15" t="inlineStr">
        <is>
          <t>外壁塗装</t>
        </is>
      </c>
      <c r="F54" s="15" t="inlineStr">
        <is>
          <t>季節・時期型</t>
        </is>
      </c>
      <c r="G54" s="15" t="inlineStr">
        <is>
          <t>地域サービス型</t>
        </is>
      </c>
      <c r="H54" s="15" t="inlineStr">
        <is>
          <t>4,500〜6,000字</t>
        </is>
      </c>
      <c r="I54" s="15" t="n">
        <v>4500</v>
      </c>
      <c r="J54" s="15" t="n">
        <v>6000</v>
      </c>
      <c r="K54" s="15" t="inlineStr">
        <is>
          <t>中</t>
        </is>
      </c>
      <c r="L54" s="15" t="inlineStr">
        <is>
          <t>第3ロット：外壁塗装・防水系</t>
        </is>
      </c>
      <c r="M54" s="15" t="inlineStr">
        <is>
          <t>053.md</t>
        </is>
      </c>
      <c r="N54" s="15" t="inlineStr">
        <is>
          <t>053.webp</t>
        </is>
      </c>
      <c r="O54" s="15" t="inlineStr">
        <is>
          <t>exterior-paint-rainy-season</t>
        </is>
      </c>
      <c r="P54" s="15" t="inlineStr">
        <is>
          <t>外壁塗装 梅雨について、特徴、注意点、費用目安、業者選びのポイントを初心者にもわかりやすく解説します。</t>
        </is>
      </c>
      <c r="Q54" s="15" t="inlineStr">
        <is>
          <t>外壁塗装</t>
        </is>
      </c>
      <c r="R54" s="15" t="inlineStr">
        <is>
          <t>外壁塗装</t>
        </is>
      </c>
      <c r="S54" s="15" t="inlineStr">
        <is>
          <t>外装劣化診断・外壁塗装無料見積り</t>
        </is>
      </c>
      <c r="T54" s="15" t="inlineStr">
        <is>
          <t>無料見積りCTA</t>
        </is>
      </c>
      <c r="U54" s="15" t="inlineStr">
        <is>
          <t>費用は原因箇所や補修範囲で変わります。現地調査で状態を確認し、見積もりの根拠を写真付きでご説明します。</t>
        </is>
      </c>
      <c r="V54" s="15" t="inlineStr">
        <is>
          <t>外壁塗装 梅雨</t>
        </is>
      </c>
      <c r="W54" s="15" t="inlineStr">
        <is>
          <t>放置リスクと判断基準を解説</t>
        </is>
      </c>
      <c r="X54" s="15" t="inlineStr">
        <is>
          <t>無料診断で状態確認</t>
        </is>
      </c>
      <c r="Y54" s="15" t="inlineStr">
        <is>
          <t>外壁ひび割れ・チョーキング・住宅外観</t>
        </is>
      </c>
      <c r="Z54" s="15" t="inlineStr">
        <is>
          <t>職人＋困った住人</t>
        </is>
      </c>
      <c r="AA54" s="15" t="inlineStr">
        <is>
          <t>松山市版</t>
        </is>
      </c>
      <c r="AB54" s="15" t="inlineStr">
        <is>
          <t>外壁塗装訴求</t>
        </is>
      </c>
      <c r="AC54" s="15" t="inlineStr">
        <is>
          <t>未着手</t>
        </is>
      </c>
      <c r="AD54" s="15" t="inlineStr">
        <is>
          <t>未着手</t>
        </is>
      </c>
      <c r="AE54" s="15" t="inlineStr">
        <is>
          <t>未反映</t>
        </is>
      </c>
      <c r="AF54" s="15" t="inlineStr">
        <is>
          <t>未投稿</t>
        </is>
      </c>
      <c r="AG54" s="15" t="inlineStr">
        <is>
          <t>create_only</t>
        </is>
      </c>
      <c r="AH54" s="15" t="str"/>
      <c r="AI54" s="15" t="str"/>
      <c r="AJ54" s="69" t="str"/>
      <c r="AK54" s="69" t="str"/>
      <c r="AL54" s="15" t="str"/>
      <c r="AM54" s="15">
        <f>IF(AL54="","",IF(AL54&lt;I54,"不足",IF(AL54&gt;J54,"超過","OK")))</f>
        <v/>
      </c>
      <c r="AN54" s="15" t="str"/>
      <c r="AO54" s="15" t="inlineStr">
        <is>
          <t>関連：外壁塗装工期、足場代、防水工事、屋根カバーへリンク。</t>
        </is>
      </c>
      <c r="AP54" s="15" t="inlineStr">
        <is>
          <t>H1なし／この記事でわかること／地域事情／事例／原因・費用／CTA／FAQ</t>
        </is>
      </c>
      <c r="AQ54" s="15" t="str"/>
    </row>
    <row r="55">
      <c r="A55" s="15" t="n">
        <v>54</v>
      </c>
      <c r="B55" s="15" t="inlineStr">
        <is>
          <t>外壁塗装 台風前</t>
        </is>
      </c>
      <c r="C55" s="15" t="inlineStr">
        <is>
          <t>外壁塗装 台風前</t>
        </is>
      </c>
      <c r="D55" s="15" t="inlineStr">
        <is>
          <t>外壁塗装は台風前にできる？季節ごとの注意点を解説</t>
        </is>
      </c>
      <c r="E55" s="15" t="inlineStr">
        <is>
          <t>外壁塗装</t>
        </is>
      </c>
      <c r="F55" s="15" t="inlineStr">
        <is>
          <t>季節・時期型</t>
        </is>
      </c>
      <c r="G55" s="15" t="inlineStr">
        <is>
          <t>地域サービス型</t>
        </is>
      </c>
      <c r="H55" s="15" t="inlineStr">
        <is>
          <t>4,500〜6,000字</t>
        </is>
      </c>
      <c r="I55" s="15" t="n">
        <v>4500</v>
      </c>
      <c r="J55" s="15" t="n">
        <v>6000</v>
      </c>
      <c r="K55" s="15" t="inlineStr">
        <is>
          <t>中</t>
        </is>
      </c>
      <c r="L55" s="15" t="inlineStr">
        <is>
          <t>第3ロット：外壁塗装・防水系</t>
        </is>
      </c>
      <c r="M55" s="15" t="inlineStr">
        <is>
          <t>054.md</t>
        </is>
      </c>
      <c r="N55" s="15" t="inlineStr">
        <is>
          <t>054.webp</t>
        </is>
      </c>
      <c r="O55" s="15" t="inlineStr">
        <is>
          <t>exterior-paint-before-typhoon</t>
        </is>
      </c>
      <c r="P55" s="15" t="inlineStr">
        <is>
          <t>外壁塗装 台風前について、特徴、注意点、費用目安、業者選びのポイントを初心者にもわかりやすく解説します。</t>
        </is>
      </c>
      <c r="Q55" s="15" t="inlineStr">
        <is>
          <t>外壁塗装</t>
        </is>
      </c>
      <c r="R55" s="15" t="inlineStr">
        <is>
          <t>外壁塗装</t>
        </is>
      </c>
      <c r="S55" s="15" t="inlineStr">
        <is>
          <t>外装劣化診断・外壁塗装無料見積り</t>
        </is>
      </c>
      <c r="T55" s="15" t="inlineStr">
        <is>
          <t>無料見積りCTA</t>
        </is>
      </c>
      <c r="U55" s="15" t="inlineStr">
        <is>
          <t>費用は原因箇所や補修範囲で変わります。現地調査で状態を確認し、見積もりの根拠を写真付きでご説明します。</t>
        </is>
      </c>
      <c r="V55" s="15" t="inlineStr">
        <is>
          <t>外壁塗装 台風前</t>
        </is>
      </c>
      <c r="W55" s="15" t="inlineStr">
        <is>
          <t>放置リスクと判断基準を解説</t>
        </is>
      </c>
      <c r="X55" s="15" t="inlineStr">
        <is>
          <t>無料診断で状態確認</t>
        </is>
      </c>
      <c r="Y55" s="15" t="inlineStr">
        <is>
          <t>外壁ひび割れ・チョーキング・住宅外観</t>
        </is>
      </c>
      <c r="Z55" s="15" t="inlineStr">
        <is>
          <t>職人＋困った住人</t>
        </is>
      </c>
      <c r="AA55" s="15" t="inlineStr">
        <is>
          <t>松山市版</t>
        </is>
      </c>
      <c r="AB55" s="15" t="inlineStr">
        <is>
          <t>外壁塗装訴求</t>
        </is>
      </c>
      <c r="AC55" s="15" t="inlineStr">
        <is>
          <t>未着手</t>
        </is>
      </c>
      <c r="AD55" s="15" t="inlineStr">
        <is>
          <t>未着手</t>
        </is>
      </c>
      <c r="AE55" s="15" t="inlineStr">
        <is>
          <t>未反映</t>
        </is>
      </c>
      <c r="AF55" s="15" t="inlineStr">
        <is>
          <t>未投稿</t>
        </is>
      </c>
      <c r="AG55" s="15" t="inlineStr">
        <is>
          <t>create_only</t>
        </is>
      </c>
      <c r="AH55" s="15" t="str"/>
      <c r="AI55" s="15" t="str"/>
      <c r="AJ55" s="69" t="str"/>
      <c r="AK55" s="69" t="str"/>
      <c r="AL55" s="15" t="str"/>
      <c r="AM55" s="15">
        <f>IF(AL55="","",IF(AL55&lt;I55,"不足",IF(AL55&gt;J55,"超過","OK")))</f>
        <v/>
      </c>
      <c r="AN55" s="15" t="str"/>
      <c r="AO55" s="15" t="inlineStr">
        <is>
          <t>関連：外壁塗装工期、足場代、防水工事、屋根カバーへリンク。</t>
        </is>
      </c>
      <c r="AP55" s="15" t="inlineStr">
        <is>
          <t>H1なし／この記事でわかること／地域事情／事例／原因・費用／CTA／FAQ</t>
        </is>
      </c>
      <c r="AQ55" s="15" t="str"/>
    </row>
    <row r="56">
      <c r="A56" s="15" t="n">
        <v>55</v>
      </c>
      <c r="B56" s="15" t="inlineStr">
        <is>
          <t>外壁塗装 冬</t>
        </is>
      </c>
      <c r="C56" s="15" t="inlineStr">
        <is>
          <t>外壁塗装 冬</t>
        </is>
      </c>
      <c r="D56" s="15" t="inlineStr">
        <is>
          <t>外壁塗装は冬にできる？季節ごとの注意点を解説</t>
        </is>
      </c>
      <c r="E56" s="15" t="inlineStr">
        <is>
          <t>外壁塗装</t>
        </is>
      </c>
      <c r="F56" s="15" t="inlineStr">
        <is>
          <t>季節・時期型</t>
        </is>
      </c>
      <c r="G56" s="15" t="inlineStr">
        <is>
          <t>地域サービス型</t>
        </is>
      </c>
      <c r="H56" s="15" t="inlineStr">
        <is>
          <t>4,500〜6,000字</t>
        </is>
      </c>
      <c r="I56" s="15" t="n">
        <v>4500</v>
      </c>
      <c r="J56" s="15" t="n">
        <v>6000</v>
      </c>
      <c r="K56" s="15" t="inlineStr">
        <is>
          <t>中</t>
        </is>
      </c>
      <c r="L56" s="15" t="inlineStr">
        <is>
          <t>第3ロット：外壁塗装・防水系</t>
        </is>
      </c>
      <c r="M56" s="15" t="inlineStr">
        <is>
          <t>055.md</t>
        </is>
      </c>
      <c r="N56" s="15" t="inlineStr">
        <is>
          <t>055.webp</t>
        </is>
      </c>
      <c r="O56" s="15" t="inlineStr">
        <is>
          <t>exterior-paint-winter</t>
        </is>
      </c>
      <c r="P56" s="15" t="inlineStr">
        <is>
          <t>外壁塗装 冬について、特徴、注意点、費用目安、業者選びのポイントを初心者にもわかりやすく解説します。</t>
        </is>
      </c>
      <c r="Q56" s="15" t="inlineStr">
        <is>
          <t>外壁塗装</t>
        </is>
      </c>
      <c r="R56" s="15" t="inlineStr">
        <is>
          <t>外壁塗装</t>
        </is>
      </c>
      <c r="S56" s="15" t="inlineStr">
        <is>
          <t>外装劣化診断・外壁塗装無料見積り</t>
        </is>
      </c>
      <c r="T56" s="15" t="inlineStr">
        <is>
          <t>無料見積りCTA</t>
        </is>
      </c>
      <c r="U56" s="15" t="inlineStr">
        <is>
          <t>費用は原因箇所や補修範囲で変わります。現地調査で状態を確認し、見積もりの根拠を写真付きでご説明します。</t>
        </is>
      </c>
      <c r="V56" s="15" t="inlineStr">
        <is>
          <t>外壁塗装 冬</t>
        </is>
      </c>
      <c r="W56" s="15" t="inlineStr">
        <is>
          <t>放置リスクと判断基準を解説</t>
        </is>
      </c>
      <c r="X56" s="15" t="inlineStr">
        <is>
          <t>無料診断で状態確認</t>
        </is>
      </c>
      <c r="Y56" s="15" t="inlineStr">
        <is>
          <t>外壁ひび割れ・チョーキング・住宅外観</t>
        </is>
      </c>
      <c r="Z56" s="15" t="inlineStr">
        <is>
          <t>職人＋困った住人</t>
        </is>
      </c>
      <c r="AA56" s="15" t="inlineStr">
        <is>
          <t>松山市版</t>
        </is>
      </c>
      <c r="AB56" s="15" t="inlineStr">
        <is>
          <t>外壁塗装訴求</t>
        </is>
      </c>
      <c r="AC56" s="15" t="inlineStr">
        <is>
          <t>未着手</t>
        </is>
      </c>
      <c r="AD56" s="15" t="inlineStr">
        <is>
          <t>未着手</t>
        </is>
      </c>
      <c r="AE56" s="15" t="inlineStr">
        <is>
          <t>未反映</t>
        </is>
      </c>
      <c r="AF56" s="15" t="inlineStr">
        <is>
          <t>未投稿</t>
        </is>
      </c>
      <c r="AG56" s="15" t="inlineStr">
        <is>
          <t>create_only</t>
        </is>
      </c>
      <c r="AH56" s="15" t="str"/>
      <c r="AI56" s="15" t="str"/>
      <c r="AJ56" s="69" t="str"/>
      <c r="AK56" s="69" t="str"/>
      <c r="AL56" s="15" t="str"/>
      <c r="AM56" s="15">
        <f>IF(AL56="","",IF(AL56&lt;I56,"不足",IF(AL56&gt;J56,"超過","OK")))</f>
        <v/>
      </c>
      <c r="AN56" s="15" t="str"/>
      <c r="AO56" s="15" t="inlineStr">
        <is>
          <t>関連：外壁塗装工期、足場代、防水工事、屋根カバーへリンク。</t>
        </is>
      </c>
      <c r="AP56" s="15" t="inlineStr">
        <is>
          <t>H1なし／この記事でわかること／地域事情／事例／原因・費用／CTA／FAQ</t>
        </is>
      </c>
      <c r="AQ56" s="15" t="str"/>
    </row>
    <row r="57">
      <c r="A57" s="15" t="n">
        <v>56</v>
      </c>
      <c r="B57" s="15" t="inlineStr">
        <is>
          <t>外壁塗装 夏</t>
        </is>
      </c>
      <c r="C57" s="15" t="inlineStr">
        <is>
          <t>外壁塗装 夏</t>
        </is>
      </c>
      <c r="D57" s="15" t="inlineStr">
        <is>
          <t>外壁塗装は夏にできる？季節ごとの注意点を解説</t>
        </is>
      </c>
      <c r="E57" s="15" t="inlineStr">
        <is>
          <t>外壁塗装</t>
        </is>
      </c>
      <c r="F57" s="15" t="inlineStr">
        <is>
          <t>季節・時期型</t>
        </is>
      </c>
      <c r="G57" s="15" t="inlineStr">
        <is>
          <t>地域サービス型</t>
        </is>
      </c>
      <c r="H57" s="15" t="inlineStr">
        <is>
          <t>4,500〜6,000字</t>
        </is>
      </c>
      <c r="I57" s="15" t="n">
        <v>4500</v>
      </c>
      <c r="J57" s="15" t="n">
        <v>6000</v>
      </c>
      <c r="K57" s="15" t="inlineStr">
        <is>
          <t>中</t>
        </is>
      </c>
      <c r="L57" s="15" t="inlineStr">
        <is>
          <t>第3ロット：外壁塗装・防水系</t>
        </is>
      </c>
      <c r="M57" s="15" t="inlineStr">
        <is>
          <t>056.md</t>
        </is>
      </c>
      <c r="N57" s="15" t="inlineStr">
        <is>
          <t>056.webp</t>
        </is>
      </c>
      <c r="O57" s="15" t="inlineStr">
        <is>
          <t>exterior-paint-summer</t>
        </is>
      </c>
      <c r="P57" s="15" t="inlineStr">
        <is>
          <t>外壁塗装 夏について、特徴、注意点、費用目安、業者選びのポイントを初心者にもわかりやすく解説します。</t>
        </is>
      </c>
      <c r="Q57" s="15" t="inlineStr">
        <is>
          <t>外壁塗装</t>
        </is>
      </c>
      <c r="R57" s="15" t="inlineStr">
        <is>
          <t>外壁塗装</t>
        </is>
      </c>
      <c r="S57" s="15" t="inlineStr">
        <is>
          <t>外装劣化診断・外壁塗装無料見積り</t>
        </is>
      </c>
      <c r="T57" s="15" t="inlineStr">
        <is>
          <t>無料見積りCTA</t>
        </is>
      </c>
      <c r="U57" s="15" t="inlineStr">
        <is>
          <t>費用は原因箇所や補修範囲で変わります。現地調査で状態を確認し、見積もりの根拠を写真付きでご説明します。</t>
        </is>
      </c>
      <c r="V57" s="15" t="inlineStr">
        <is>
          <t>外壁塗装 夏</t>
        </is>
      </c>
      <c r="W57" s="15" t="inlineStr">
        <is>
          <t>放置リスクと判断基準を解説</t>
        </is>
      </c>
      <c r="X57" s="15" t="inlineStr">
        <is>
          <t>無料診断で状態確認</t>
        </is>
      </c>
      <c r="Y57" s="15" t="inlineStr">
        <is>
          <t>外壁ひび割れ・チョーキング・住宅外観</t>
        </is>
      </c>
      <c r="Z57" s="15" t="inlineStr">
        <is>
          <t>職人＋困った住人</t>
        </is>
      </c>
      <c r="AA57" s="15" t="inlineStr">
        <is>
          <t>松山市版</t>
        </is>
      </c>
      <c r="AB57" s="15" t="inlineStr">
        <is>
          <t>外壁塗装訴求</t>
        </is>
      </c>
      <c r="AC57" s="15" t="inlineStr">
        <is>
          <t>未着手</t>
        </is>
      </c>
      <c r="AD57" s="15" t="inlineStr">
        <is>
          <t>未着手</t>
        </is>
      </c>
      <c r="AE57" s="15" t="inlineStr">
        <is>
          <t>未反映</t>
        </is>
      </c>
      <c r="AF57" s="15" t="inlineStr">
        <is>
          <t>未投稿</t>
        </is>
      </c>
      <c r="AG57" s="15" t="inlineStr">
        <is>
          <t>create_only</t>
        </is>
      </c>
      <c r="AH57" s="15" t="str"/>
      <c r="AI57" s="15" t="str"/>
      <c r="AJ57" s="69" t="str"/>
      <c r="AK57" s="69" t="str"/>
      <c r="AL57" s="15" t="str"/>
      <c r="AM57" s="15">
        <f>IF(AL57="","",IF(AL57&lt;I57,"不足",IF(AL57&gt;J57,"超過","OK")))</f>
        <v/>
      </c>
      <c r="AN57" s="15" t="str"/>
      <c r="AO57" s="15" t="inlineStr">
        <is>
          <t>関連：外壁塗装工期、足場代、防水工事、屋根カバーへリンク。</t>
        </is>
      </c>
      <c r="AP57" s="15" t="inlineStr">
        <is>
          <t>H1なし／この記事でわかること／地域事情／事例／原因・費用／CTA／FAQ</t>
        </is>
      </c>
      <c r="AQ57" s="15" t="str"/>
    </row>
    <row r="58">
      <c r="A58" s="15" t="n">
        <v>57</v>
      </c>
      <c r="B58" s="15" t="inlineStr">
        <is>
          <t>外壁塗装 春</t>
        </is>
      </c>
      <c r="C58" s="15" t="inlineStr">
        <is>
          <t>外壁塗装 春</t>
        </is>
      </c>
      <c r="D58" s="15" t="inlineStr">
        <is>
          <t>外壁塗装は春にできる？季節ごとの注意点を解説</t>
        </is>
      </c>
      <c r="E58" s="15" t="inlineStr">
        <is>
          <t>外壁塗装</t>
        </is>
      </c>
      <c r="F58" s="15" t="inlineStr">
        <is>
          <t>季節・時期型</t>
        </is>
      </c>
      <c r="G58" s="15" t="inlineStr">
        <is>
          <t>地域サービス型</t>
        </is>
      </c>
      <c r="H58" s="15" t="inlineStr">
        <is>
          <t>4,500〜6,000字</t>
        </is>
      </c>
      <c r="I58" s="15" t="n">
        <v>4500</v>
      </c>
      <c r="J58" s="15" t="n">
        <v>6000</v>
      </c>
      <c r="K58" s="15" t="inlineStr">
        <is>
          <t>中</t>
        </is>
      </c>
      <c r="L58" s="15" t="inlineStr">
        <is>
          <t>第3ロット：外壁塗装・防水系</t>
        </is>
      </c>
      <c r="M58" s="15" t="inlineStr">
        <is>
          <t>057.md</t>
        </is>
      </c>
      <c r="N58" s="15" t="inlineStr">
        <is>
          <t>057.webp</t>
        </is>
      </c>
      <c r="O58" s="15" t="inlineStr">
        <is>
          <t>exterior-paint-spring</t>
        </is>
      </c>
      <c r="P58" s="15" t="inlineStr">
        <is>
          <t>外壁塗装 春について、特徴、注意点、費用目安、業者選びのポイントを初心者にもわかりやすく解説します。</t>
        </is>
      </c>
      <c r="Q58" s="15" t="inlineStr">
        <is>
          <t>外壁塗装</t>
        </is>
      </c>
      <c r="R58" s="15" t="inlineStr">
        <is>
          <t>外壁塗装</t>
        </is>
      </c>
      <c r="S58" s="15" t="inlineStr">
        <is>
          <t>外装劣化診断・外壁塗装無料見積り</t>
        </is>
      </c>
      <c r="T58" s="15" t="inlineStr">
        <is>
          <t>無料見積りCTA</t>
        </is>
      </c>
      <c r="U58" s="15" t="inlineStr">
        <is>
          <t>費用は原因箇所や補修範囲で変わります。現地調査で状態を確認し、見積もりの根拠を写真付きでご説明します。</t>
        </is>
      </c>
      <c r="V58" s="15" t="inlineStr">
        <is>
          <t>外壁塗装 春</t>
        </is>
      </c>
      <c r="W58" s="15" t="inlineStr">
        <is>
          <t>放置リスクと判断基準を解説</t>
        </is>
      </c>
      <c r="X58" s="15" t="inlineStr">
        <is>
          <t>無料診断で状態確認</t>
        </is>
      </c>
      <c r="Y58" s="15" t="inlineStr">
        <is>
          <t>外壁ひび割れ・チョーキング・住宅外観</t>
        </is>
      </c>
      <c r="Z58" s="15" t="inlineStr">
        <is>
          <t>職人＋困った住人</t>
        </is>
      </c>
      <c r="AA58" s="15" t="inlineStr">
        <is>
          <t>松山市版</t>
        </is>
      </c>
      <c r="AB58" s="15" t="inlineStr">
        <is>
          <t>外壁塗装訴求</t>
        </is>
      </c>
      <c r="AC58" s="15" t="inlineStr">
        <is>
          <t>未着手</t>
        </is>
      </c>
      <c r="AD58" s="15" t="inlineStr">
        <is>
          <t>未着手</t>
        </is>
      </c>
      <c r="AE58" s="15" t="inlineStr">
        <is>
          <t>未反映</t>
        </is>
      </c>
      <c r="AF58" s="15" t="inlineStr">
        <is>
          <t>未投稿</t>
        </is>
      </c>
      <c r="AG58" s="15" t="inlineStr">
        <is>
          <t>create_only</t>
        </is>
      </c>
      <c r="AH58" s="15" t="str"/>
      <c r="AI58" s="15" t="str"/>
      <c r="AJ58" s="69" t="str"/>
      <c r="AK58" s="69" t="str"/>
      <c r="AL58" s="15" t="str"/>
      <c r="AM58" s="15">
        <f>IF(AL58="","",IF(AL58&lt;I58,"不足",IF(AL58&gt;J58,"超過","OK")))</f>
        <v/>
      </c>
      <c r="AN58" s="15" t="str"/>
      <c r="AO58" s="15" t="inlineStr">
        <is>
          <t>関連：外壁塗装工期、足場代、防水工事、屋根カバーへリンク。</t>
        </is>
      </c>
      <c r="AP58" s="15" t="inlineStr">
        <is>
          <t>H1なし／この記事でわかること／地域事情／事例／原因・費用／CTA／FAQ</t>
        </is>
      </c>
      <c r="AQ58" s="15" t="str"/>
    </row>
    <row r="59">
      <c r="A59" s="15" t="n">
        <v>58</v>
      </c>
      <c r="B59" s="15" t="inlineStr">
        <is>
          <t>外壁塗装 秋</t>
        </is>
      </c>
      <c r="C59" s="15" t="inlineStr">
        <is>
          <t>外壁塗装 秋</t>
        </is>
      </c>
      <c r="D59" s="15" t="inlineStr">
        <is>
          <t>外壁塗装は秋にできる？季節ごとの注意点を解説</t>
        </is>
      </c>
      <c r="E59" s="15" t="inlineStr">
        <is>
          <t>外壁塗装</t>
        </is>
      </c>
      <c r="F59" s="15" t="inlineStr">
        <is>
          <t>季節・時期型</t>
        </is>
      </c>
      <c r="G59" s="15" t="inlineStr">
        <is>
          <t>地域サービス型</t>
        </is>
      </c>
      <c r="H59" s="15" t="inlineStr">
        <is>
          <t>4,500〜6,000字</t>
        </is>
      </c>
      <c r="I59" s="15" t="n">
        <v>4500</v>
      </c>
      <c r="J59" s="15" t="n">
        <v>6000</v>
      </c>
      <c r="K59" s="15" t="inlineStr">
        <is>
          <t>中</t>
        </is>
      </c>
      <c r="L59" s="15" t="inlineStr">
        <is>
          <t>第3ロット：外壁塗装・防水系</t>
        </is>
      </c>
      <c r="M59" s="15" t="inlineStr">
        <is>
          <t>058.md</t>
        </is>
      </c>
      <c r="N59" s="15" t="inlineStr">
        <is>
          <t>058.webp</t>
        </is>
      </c>
      <c r="O59" s="15" t="inlineStr">
        <is>
          <t>exterior-paint-autumn</t>
        </is>
      </c>
      <c r="P59" s="15" t="inlineStr">
        <is>
          <t>外壁塗装 秋について、特徴、注意点、費用目安、業者選びのポイントを初心者にもわかりやすく解説します。</t>
        </is>
      </c>
      <c r="Q59" s="15" t="inlineStr">
        <is>
          <t>外壁塗装</t>
        </is>
      </c>
      <c r="R59" s="15" t="inlineStr">
        <is>
          <t>外壁塗装</t>
        </is>
      </c>
      <c r="S59" s="15" t="inlineStr">
        <is>
          <t>外装劣化診断・外壁塗装無料見積り</t>
        </is>
      </c>
      <c r="T59" s="15" t="inlineStr">
        <is>
          <t>無料見積りCTA</t>
        </is>
      </c>
      <c r="U59" s="15" t="inlineStr">
        <is>
          <t>費用は原因箇所や補修範囲で変わります。現地調査で状態を確認し、見積もりの根拠を写真付きでご説明します。</t>
        </is>
      </c>
      <c r="V59" s="15" t="inlineStr">
        <is>
          <t>外壁塗装 秋</t>
        </is>
      </c>
      <c r="W59" s="15" t="inlineStr">
        <is>
          <t>放置リスクと判断基準を解説</t>
        </is>
      </c>
      <c r="X59" s="15" t="inlineStr">
        <is>
          <t>無料診断で状態確認</t>
        </is>
      </c>
      <c r="Y59" s="15" t="inlineStr">
        <is>
          <t>外壁ひび割れ・チョーキング・住宅外観</t>
        </is>
      </c>
      <c r="Z59" s="15" t="inlineStr">
        <is>
          <t>職人＋困った住人</t>
        </is>
      </c>
      <c r="AA59" s="15" t="inlineStr">
        <is>
          <t>松山市版</t>
        </is>
      </c>
      <c r="AB59" s="15" t="inlineStr">
        <is>
          <t>外壁塗装訴求</t>
        </is>
      </c>
      <c r="AC59" s="15" t="inlineStr">
        <is>
          <t>未着手</t>
        </is>
      </c>
      <c r="AD59" s="15" t="inlineStr">
        <is>
          <t>未着手</t>
        </is>
      </c>
      <c r="AE59" s="15" t="inlineStr">
        <is>
          <t>未反映</t>
        </is>
      </c>
      <c r="AF59" s="15" t="inlineStr">
        <is>
          <t>未投稿</t>
        </is>
      </c>
      <c r="AG59" s="15" t="inlineStr">
        <is>
          <t>create_only</t>
        </is>
      </c>
      <c r="AH59" s="15" t="str"/>
      <c r="AI59" s="15" t="str"/>
      <c r="AJ59" s="69" t="str"/>
      <c r="AK59" s="69" t="str"/>
      <c r="AL59" s="15" t="str"/>
      <c r="AM59" s="15">
        <f>IF(AL59="","",IF(AL59&lt;I59,"不足",IF(AL59&gt;J59,"超過","OK")))</f>
        <v/>
      </c>
      <c r="AN59" s="15" t="str"/>
      <c r="AO59" s="15" t="inlineStr">
        <is>
          <t>関連：外壁塗装工期、足場代、防水工事、屋根カバーへリンク。</t>
        </is>
      </c>
      <c r="AP59" s="15" t="inlineStr">
        <is>
          <t>H1なし／この記事でわかること／地域事情／事例／原因・費用／CTA／FAQ</t>
        </is>
      </c>
      <c r="AQ59" s="15" t="str"/>
    </row>
    <row r="60">
      <c r="A60" s="15" t="n">
        <v>59</v>
      </c>
      <c r="B60" s="15" t="inlineStr">
        <is>
          <t>外壁塗装 工期</t>
        </is>
      </c>
      <c r="C60" s="15" t="inlineStr">
        <is>
          <t>外壁塗装 工期</t>
        </is>
      </c>
      <c r="D60" s="15" t="inlineStr">
        <is>
          <t>外壁塗装の工期はどれくらい？工程・日数・遅れる原因を解説</t>
        </is>
      </c>
      <c r="E60" s="15" t="inlineStr">
        <is>
          <t>外壁塗装</t>
        </is>
      </c>
      <c r="F60" s="15" t="inlineStr">
        <is>
          <t>季節・時期型</t>
        </is>
      </c>
      <c r="G60" s="15" t="inlineStr">
        <is>
          <t>地域サービス型</t>
        </is>
      </c>
      <c r="H60" s="15" t="inlineStr">
        <is>
          <t>4,500〜6,000字</t>
        </is>
      </c>
      <c r="I60" s="15" t="n">
        <v>4500</v>
      </c>
      <c r="J60" s="15" t="n">
        <v>6000</v>
      </c>
      <c r="K60" s="15" t="inlineStr">
        <is>
          <t>中</t>
        </is>
      </c>
      <c r="L60" s="15" t="inlineStr">
        <is>
          <t>第3ロット：外壁塗装・防水系</t>
        </is>
      </c>
      <c r="M60" s="15" t="inlineStr">
        <is>
          <t>059.md</t>
        </is>
      </c>
      <c r="N60" s="15" t="inlineStr">
        <is>
          <t>059.webp</t>
        </is>
      </c>
      <c r="O60" s="15" t="inlineStr">
        <is>
          <t>exterior-paint-duration</t>
        </is>
      </c>
      <c r="P60" s="15" t="inlineStr">
        <is>
          <t>外壁塗装 工期について、特徴、注意点、費用目安、業者選びのポイントを初心者にもわかりやすく解説します。</t>
        </is>
      </c>
      <c r="Q60" s="15" t="inlineStr">
        <is>
          <t>外壁塗装</t>
        </is>
      </c>
      <c r="R60" s="15" t="inlineStr">
        <is>
          <t>外壁塗装</t>
        </is>
      </c>
      <c r="S60" s="15" t="inlineStr">
        <is>
          <t>外装劣化診断・外壁塗装無料見積り</t>
        </is>
      </c>
      <c r="T60" s="15" t="inlineStr">
        <is>
          <t>無料見積りCTA</t>
        </is>
      </c>
      <c r="U60" s="15" t="inlineStr">
        <is>
          <t>費用は原因箇所や補修範囲で変わります。現地調査で状態を確認し、見積もりの根拠を写真付きでご説明します。</t>
        </is>
      </c>
      <c r="V60" s="15" t="inlineStr">
        <is>
          <t>外壁塗装 工期</t>
        </is>
      </c>
      <c r="W60" s="15" t="inlineStr">
        <is>
          <t>放置リスクと判断基準を解説</t>
        </is>
      </c>
      <c r="X60" s="15" t="inlineStr">
        <is>
          <t>無料診断で状態確認</t>
        </is>
      </c>
      <c r="Y60" s="15" t="inlineStr">
        <is>
          <t>外壁ひび割れ・チョーキング・住宅外観</t>
        </is>
      </c>
      <c r="Z60" s="15" t="inlineStr">
        <is>
          <t>職人＋困った住人</t>
        </is>
      </c>
      <c r="AA60" s="15" t="inlineStr">
        <is>
          <t>松山市版</t>
        </is>
      </c>
      <c r="AB60" s="15" t="inlineStr">
        <is>
          <t>外壁塗装訴求</t>
        </is>
      </c>
      <c r="AC60" s="15" t="inlineStr">
        <is>
          <t>未着手</t>
        </is>
      </c>
      <c r="AD60" s="15" t="inlineStr">
        <is>
          <t>未着手</t>
        </is>
      </c>
      <c r="AE60" s="15" t="inlineStr">
        <is>
          <t>未反映</t>
        </is>
      </c>
      <c r="AF60" s="15" t="inlineStr">
        <is>
          <t>未投稿</t>
        </is>
      </c>
      <c r="AG60" s="15" t="inlineStr">
        <is>
          <t>create_only</t>
        </is>
      </c>
      <c r="AH60" s="15" t="str"/>
      <c r="AI60" s="15" t="str"/>
      <c r="AJ60" s="69" t="str"/>
      <c r="AK60" s="69" t="str"/>
      <c r="AL60" s="15" t="str"/>
      <c r="AM60" s="15">
        <f>IF(AL60="","",IF(AL60&lt;I60,"不足",IF(AL60&gt;J60,"超過","OK")))</f>
        <v/>
      </c>
      <c r="AN60" s="15" t="str"/>
      <c r="AO60" s="15" t="inlineStr">
        <is>
          <t>関連：外壁塗装工期、足場代、防水工事、屋根カバーへリンク。</t>
        </is>
      </c>
      <c r="AP60" s="15" t="inlineStr">
        <is>
          <t>H1なし／この記事でわかること／地域事情／事例／原因・費用／CTA／FAQ</t>
        </is>
      </c>
      <c r="AQ60" s="15" t="str"/>
    </row>
    <row r="61">
      <c r="A61" s="15" t="n">
        <v>60</v>
      </c>
      <c r="B61" s="15" t="inlineStr">
        <is>
          <t>外壁塗装 足場代</t>
        </is>
      </c>
      <c r="C61" s="15" t="inlineStr">
        <is>
          <t>外壁塗装 足場代</t>
        </is>
      </c>
      <c r="D61" s="15" t="inlineStr">
        <is>
          <t>外壁塗装の足場代はいくら？費用相場と節約の考え方</t>
        </is>
      </c>
      <c r="E61" s="15" t="inlineStr">
        <is>
          <t>外壁塗装</t>
        </is>
      </c>
      <c r="F61" s="15" t="inlineStr">
        <is>
          <t>費用・相場型</t>
        </is>
      </c>
      <c r="G61" s="15" t="inlineStr">
        <is>
          <t>費用・相場型</t>
        </is>
      </c>
      <c r="H61" s="15" t="inlineStr">
        <is>
          <t>4,500〜6,000字</t>
        </is>
      </c>
      <c r="I61" s="15" t="n">
        <v>4500</v>
      </c>
      <c r="J61" s="15" t="n">
        <v>6000</v>
      </c>
      <c r="K61" s="15" t="inlineStr">
        <is>
          <t>中</t>
        </is>
      </c>
      <c r="L61" s="15" t="inlineStr">
        <is>
          <t>第3ロット：外壁塗装・防水系</t>
        </is>
      </c>
      <c r="M61" s="15" t="inlineStr">
        <is>
          <t>060.md</t>
        </is>
      </c>
      <c r="N61" s="15" t="inlineStr">
        <is>
          <t>060.webp</t>
        </is>
      </c>
      <c r="O61" s="15" t="inlineStr">
        <is>
          <t>exterior-paint-scaffold-cost</t>
        </is>
      </c>
      <c r="P61" s="15" t="inlineStr">
        <is>
          <t>外壁塗装 足場代について、費用相場、内訳、金額が変わる要因、見積もり時の注意点をわかりやすく解説します。</t>
        </is>
      </c>
      <c r="Q61" s="15" t="inlineStr">
        <is>
          <t>外壁塗装</t>
        </is>
      </c>
      <c r="R61" s="15" t="inlineStr">
        <is>
          <t>外壁塗装</t>
        </is>
      </c>
      <c r="S61" s="15" t="inlineStr">
        <is>
          <t>無料見積り・費用根拠の見える化</t>
        </is>
      </c>
      <c r="T61" s="15" t="inlineStr">
        <is>
          <t>無料見積りCTA</t>
        </is>
      </c>
      <c r="U61" s="15" t="inlineStr">
        <is>
          <t>費用は原因箇所や補修範囲で変わります。現地調査で状態を確認し、見積もりの根拠を写真付きでご説明します。</t>
        </is>
      </c>
      <c r="V61" s="15" t="inlineStr">
        <is>
          <t>外壁塗装 足場代</t>
        </is>
      </c>
      <c r="W61" s="15" t="inlineStr">
        <is>
          <t>放置リスクと判断基準を解説</t>
        </is>
      </c>
      <c r="X61" s="15" t="inlineStr">
        <is>
          <t>無料診断で状態確認</t>
        </is>
      </c>
      <c r="Y61" s="15" t="inlineStr">
        <is>
          <t>外壁ひび割れ・チョーキング・住宅外観</t>
        </is>
      </c>
      <c r="Z61" s="15" t="inlineStr">
        <is>
          <t>職人＋困った住人</t>
        </is>
      </c>
      <c r="AA61" s="15" t="inlineStr">
        <is>
          <t>松山市版</t>
        </is>
      </c>
      <c r="AB61" s="15" t="inlineStr">
        <is>
          <t>外壁塗装訴求</t>
        </is>
      </c>
      <c r="AC61" s="15" t="inlineStr">
        <is>
          <t>未着手</t>
        </is>
      </c>
      <c r="AD61" s="15" t="inlineStr">
        <is>
          <t>未着手</t>
        </is>
      </c>
      <c r="AE61" s="15" t="inlineStr">
        <is>
          <t>未反映</t>
        </is>
      </c>
      <c r="AF61" s="15" t="inlineStr">
        <is>
          <t>未投稿</t>
        </is>
      </c>
      <c r="AG61" s="15" t="inlineStr">
        <is>
          <t>create_only</t>
        </is>
      </c>
      <c r="AH61" s="15" t="str"/>
      <c r="AI61" s="15" t="str"/>
      <c r="AJ61" s="69" t="str"/>
      <c r="AK61" s="69" t="str"/>
      <c r="AL61" s="15" t="str"/>
      <c r="AM61" s="15">
        <f>IF(AL61="","",IF(AL61&lt;I61,"不足",IF(AL61&gt;J61,"超過","OK")))</f>
        <v/>
      </c>
      <c r="AN61" s="15" t="str"/>
      <c r="AO61" s="15" t="inlineStr">
        <is>
          <t>関連：外壁塗装工期、足場代、防水工事、屋根カバーへリンク。</t>
        </is>
      </c>
      <c r="AP61" s="15" t="inlineStr">
        <is>
          <t>H1なし／この記事でわかること／地域事情／事例／原因・費用／CTA／FAQ</t>
        </is>
      </c>
      <c r="AQ61" s="15" t="str"/>
    </row>
    <row r="62">
      <c r="A62" s="15" t="n">
        <v>61</v>
      </c>
      <c r="B62" s="15" t="inlineStr">
        <is>
          <t>樋 塗装 松山市</t>
        </is>
      </c>
      <c r="C62" s="15" t="inlineStr">
        <is>
          <t>雨樋 塗装 松山市</t>
        </is>
      </c>
      <c r="D62" s="15" t="inlineStr">
        <is>
          <t>松山市の雨樋塗装は必要？費用・劣化症状・塗り替え時期を解説</t>
        </is>
      </c>
      <c r="E62" s="15" t="inlineStr">
        <is>
          <t>付帯部</t>
        </is>
      </c>
      <c r="F62" s="15" t="inlineStr">
        <is>
          <t>付帯部型</t>
        </is>
      </c>
      <c r="G62" s="15" t="inlineStr">
        <is>
          <t>地域サービス型</t>
        </is>
      </c>
      <c r="H62" s="15" t="inlineStr">
        <is>
          <t>4,500〜6,000字</t>
        </is>
      </c>
      <c r="I62" s="15" t="n">
        <v>4500</v>
      </c>
      <c r="J62" s="15" t="n">
        <v>6000</v>
      </c>
      <c r="K62" s="15" t="inlineStr">
        <is>
          <t>中</t>
        </is>
      </c>
      <c r="L62" s="15" t="inlineStr">
        <is>
          <t>第4ロット：雨樋・軒天・付帯部系</t>
        </is>
      </c>
      <c r="M62" s="15" t="inlineStr">
        <is>
          <t>061.md</t>
        </is>
      </c>
      <c r="N62" s="15" t="inlineStr">
        <is>
          <t>061.webp</t>
        </is>
      </c>
      <c r="O62" s="15" t="inlineStr">
        <is>
          <t>gutter-paint-matsuyama</t>
        </is>
      </c>
      <c r="P62" s="15" t="inlineStr">
        <is>
          <t>雨樋 塗装 松山市について、劣化症状、補修・塗装の判断基準、費用目安、外壁塗装と同時施工するメリットを解説します。</t>
        </is>
      </c>
      <c r="Q62" s="15" t="inlineStr">
        <is>
          <t>付帯部</t>
        </is>
      </c>
      <c r="R62" s="15" t="inlineStr">
        <is>
          <t>松山市、雨樋、付帯部</t>
        </is>
      </c>
      <c r="S62" s="15" t="inlineStr">
        <is>
          <t>付帯部点検・外装劣化診断</t>
        </is>
      </c>
      <c r="T62" s="15" t="inlineStr">
        <is>
          <t>付帯部点検CTA</t>
        </is>
      </c>
      <c r="U62" s="15" t="inlineStr">
        <is>
          <t>外壁・屋根・付帯部を無料現地調査し、今すぐ必要な工事と様子を見られる箇所を分けてご案内します。</t>
        </is>
      </c>
      <c r="V62" s="15" t="inlineStr">
        <is>
          <t>樋 塗装 松山市</t>
        </is>
      </c>
      <c r="W62" s="15" t="inlineStr">
        <is>
          <t>割れ・外れ・劣化を放置NG</t>
        </is>
      </c>
      <c r="X62" s="15" t="inlineStr">
        <is>
          <t>交換と塗装の判断ポイント</t>
        </is>
      </c>
      <c r="Y62" s="15" t="inlineStr">
        <is>
          <t>雨樋の割れ・外れ・雨水</t>
        </is>
      </c>
      <c r="Z62" s="15" t="inlineStr">
        <is>
          <t>点検する職人</t>
        </is>
      </c>
      <c r="AA62" s="15" t="inlineStr">
        <is>
          <t>松山市版</t>
        </is>
      </c>
      <c r="AB62" s="15" t="inlineStr">
        <is>
          <t>付帯部訴求</t>
        </is>
      </c>
      <c r="AC62" s="15" t="inlineStr">
        <is>
          <t>未着手</t>
        </is>
      </c>
      <c r="AD62" s="15" t="inlineStr">
        <is>
          <t>未着手</t>
        </is>
      </c>
      <c r="AE62" s="15" t="inlineStr">
        <is>
          <t>未反映</t>
        </is>
      </c>
      <c r="AF62" s="15" t="inlineStr">
        <is>
          <t>未投稿</t>
        </is>
      </c>
      <c r="AG62" s="15" t="inlineStr">
        <is>
          <t>create_only</t>
        </is>
      </c>
      <c r="AH62" s="15" t="str"/>
      <c r="AI62" s="15" t="str"/>
      <c r="AJ62" s="69" t="str"/>
      <c r="AK62" s="69" t="str"/>
      <c r="AL62" s="15" t="str"/>
      <c r="AM62" s="15">
        <f>IF(AL62="","",IF(AL62&lt;I62,"不足",IF(AL62&gt;J62,"超過","OK")))</f>
        <v/>
      </c>
      <c r="AN62" s="15" t="str"/>
      <c r="AO62" s="15" t="inlineStr">
        <is>
          <t>関連：外壁塗装、雨樋、軒天、付帯部補修記事へリンク。</t>
        </is>
      </c>
      <c r="AP62" s="15" t="inlineStr">
        <is>
          <t>H1なし／この記事でわかること／地域事情／事例／原因・費用／CTA／FAQ</t>
        </is>
      </c>
      <c r="AQ62" s="15" t="str"/>
    </row>
    <row r="63">
      <c r="A63" s="15" t="n">
        <v>62</v>
      </c>
      <c r="B63" s="15" t="inlineStr">
        <is>
          <t>雨樋 交換 松山市</t>
        </is>
      </c>
      <c r="C63" s="15" t="inlineStr">
        <is>
          <t>雨樋 交換 松山市</t>
        </is>
      </c>
      <c r="D63" s="15" t="inlineStr">
        <is>
          <t>松山市の雨樋交換はいつ必要？費用・修理との違いを解説</t>
        </is>
      </c>
      <c r="E63" s="15" t="inlineStr">
        <is>
          <t>付帯部</t>
        </is>
      </c>
      <c r="F63" s="15" t="inlineStr">
        <is>
          <t>付帯部型</t>
        </is>
      </c>
      <c r="G63" s="15" t="inlineStr">
        <is>
          <t>地域サービス型</t>
        </is>
      </c>
      <c r="H63" s="15" t="inlineStr">
        <is>
          <t>4,500〜6,000字</t>
        </is>
      </c>
      <c r="I63" s="15" t="n">
        <v>4500</v>
      </c>
      <c r="J63" s="15" t="n">
        <v>6000</v>
      </c>
      <c r="K63" s="15" t="inlineStr">
        <is>
          <t>中</t>
        </is>
      </c>
      <c r="L63" s="15" t="inlineStr">
        <is>
          <t>第4ロット：雨樋・軒天・付帯部系</t>
        </is>
      </c>
      <c r="M63" s="15" t="inlineStr">
        <is>
          <t>062.md</t>
        </is>
      </c>
      <c r="N63" s="15" t="inlineStr">
        <is>
          <t>062.webp</t>
        </is>
      </c>
      <c r="O63" s="15" t="inlineStr">
        <is>
          <t>gutter-replacement-matsuyama</t>
        </is>
      </c>
      <c r="P63" s="15" t="inlineStr">
        <is>
          <t>雨樋 交換 松山市について、劣化症状、補修・塗装の判断基準、費用目安、外壁塗装と同時施工するメリットを解説します。</t>
        </is>
      </c>
      <c r="Q63" s="15" t="inlineStr">
        <is>
          <t>付帯部</t>
        </is>
      </c>
      <c r="R63" s="15" t="inlineStr">
        <is>
          <t>松山市、雨樋、付帯部</t>
        </is>
      </c>
      <c r="S63" s="15" t="inlineStr">
        <is>
          <t>付帯部点検・外装劣化診断</t>
        </is>
      </c>
      <c r="T63" s="15" t="inlineStr">
        <is>
          <t>付帯部点検CTA</t>
        </is>
      </c>
      <c r="U63" s="15" t="inlineStr">
        <is>
          <t>外壁・屋根・付帯部を無料現地調査し、今すぐ必要な工事と様子を見られる箇所を分けてご案内します。</t>
        </is>
      </c>
      <c r="V63" s="15" t="inlineStr">
        <is>
          <t>雨樋 交換 松山市</t>
        </is>
      </c>
      <c r="W63" s="15" t="inlineStr">
        <is>
          <t>割れ・外れ・劣化を放置NG</t>
        </is>
      </c>
      <c r="X63" s="15" t="inlineStr">
        <is>
          <t>交換と塗装の判断ポイント</t>
        </is>
      </c>
      <c r="Y63" s="15" t="inlineStr">
        <is>
          <t>雨樋の割れ・外れ・雨水</t>
        </is>
      </c>
      <c r="Z63" s="15" t="inlineStr">
        <is>
          <t>点検する職人</t>
        </is>
      </c>
      <c r="AA63" s="15" t="inlineStr">
        <is>
          <t>松山市版</t>
        </is>
      </c>
      <c r="AB63" s="15" t="inlineStr">
        <is>
          <t>付帯部訴求</t>
        </is>
      </c>
      <c r="AC63" s="15" t="inlineStr">
        <is>
          <t>未着手</t>
        </is>
      </c>
      <c r="AD63" s="15" t="inlineStr">
        <is>
          <t>未着手</t>
        </is>
      </c>
      <c r="AE63" s="15" t="inlineStr">
        <is>
          <t>未反映</t>
        </is>
      </c>
      <c r="AF63" s="15" t="inlineStr">
        <is>
          <t>未投稿</t>
        </is>
      </c>
      <c r="AG63" s="15" t="inlineStr">
        <is>
          <t>create_only</t>
        </is>
      </c>
      <c r="AH63" s="15" t="str"/>
      <c r="AI63" s="15" t="str"/>
      <c r="AJ63" s="69" t="str"/>
      <c r="AK63" s="69" t="str"/>
      <c r="AL63" s="15" t="str"/>
      <c r="AM63" s="15">
        <f>IF(AL63="","",IF(AL63&lt;I63,"不足",IF(AL63&gt;J63,"超過","OK")))</f>
        <v/>
      </c>
      <c r="AN63" s="15" t="str"/>
      <c r="AO63" s="15" t="inlineStr">
        <is>
          <t>関連：外壁塗装、雨樋、軒天、付帯部補修記事へリンク。</t>
        </is>
      </c>
      <c r="AP63" s="15" t="inlineStr">
        <is>
          <t>H1なし／この記事でわかること／地域事情／事例／原因・費用／CTA／FAQ</t>
        </is>
      </c>
      <c r="AQ63" s="15" t="str"/>
    </row>
    <row r="64">
      <c r="A64" s="15" t="n">
        <v>63</v>
      </c>
      <c r="B64" s="15" t="inlineStr">
        <is>
          <t>雨樋 色あせ</t>
        </is>
      </c>
      <c r="C64" s="15" t="inlineStr">
        <is>
          <t>雨樋 色あせ</t>
        </is>
      </c>
      <c r="D64" s="15" t="inlineStr">
        <is>
          <t>雨樋の色あせは塗装すべき？劣化サインとメンテナンス方法</t>
        </is>
      </c>
      <c r="E64" s="15" t="inlineStr">
        <is>
          <t>付帯部</t>
        </is>
      </c>
      <c r="F64" s="15" t="inlineStr">
        <is>
          <t>付帯部型</t>
        </is>
      </c>
      <c r="G64" s="15" t="inlineStr">
        <is>
          <t>地域サービス型</t>
        </is>
      </c>
      <c r="H64" s="15" t="inlineStr">
        <is>
          <t>4,000〜5,500字</t>
        </is>
      </c>
      <c r="I64" s="15" t="n">
        <v>4000</v>
      </c>
      <c r="J64" s="15" t="n">
        <v>5500</v>
      </c>
      <c r="K64" s="15" t="inlineStr">
        <is>
          <t>中</t>
        </is>
      </c>
      <c r="L64" s="15" t="inlineStr">
        <is>
          <t>第4ロット：雨樋・軒天・付帯部系</t>
        </is>
      </c>
      <c r="M64" s="15" t="inlineStr">
        <is>
          <t>063.md</t>
        </is>
      </c>
      <c r="N64" s="15" t="inlineStr">
        <is>
          <t>063.webp</t>
        </is>
      </c>
      <c r="O64" s="15" t="inlineStr">
        <is>
          <t>gutter-fading</t>
        </is>
      </c>
      <c r="P64" s="15" t="inlineStr">
        <is>
          <t>雨樋 色あせについて、劣化症状、補修・塗装の判断基準、費用目安、外壁塗装と同時施工するメリットを解説します。</t>
        </is>
      </c>
      <c r="Q64" s="15" t="inlineStr">
        <is>
          <t>付帯部</t>
        </is>
      </c>
      <c r="R64" s="15" t="inlineStr">
        <is>
          <t>雨樋、付帯部</t>
        </is>
      </c>
      <c r="S64" s="15" t="inlineStr">
        <is>
          <t>付帯部点検・外装劣化診断</t>
        </is>
      </c>
      <c r="T64" s="15" t="inlineStr">
        <is>
          <t>付帯部点検CTA</t>
        </is>
      </c>
      <c r="U64" s="15" t="inlineStr">
        <is>
          <t>外壁・屋根・付帯部を無料現地調査し、今すぐ必要な工事と様子を見られる箇所を分けてご案内します。</t>
        </is>
      </c>
      <c r="V64" s="15" t="inlineStr">
        <is>
          <t>雨樋 色あせ</t>
        </is>
      </c>
      <c r="W64" s="15" t="inlineStr">
        <is>
          <t>割れ・外れ・劣化を放置NG</t>
        </is>
      </c>
      <c r="X64" s="15" t="inlineStr">
        <is>
          <t>交換と塗装の判断ポイント</t>
        </is>
      </c>
      <c r="Y64" s="15" t="inlineStr">
        <is>
          <t>雨樋の割れ・外れ・雨水</t>
        </is>
      </c>
      <c r="Z64" s="15" t="inlineStr">
        <is>
          <t>点検する職人</t>
        </is>
      </c>
      <c r="AA64" s="15" t="inlineStr">
        <is>
          <t>松山市版</t>
        </is>
      </c>
      <c r="AB64" s="15" t="inlineStr">
        <is>
          <t>付帯部訴求</t>
        </is>
      </c>
      <c r="AC64" s="15" t="inlineStr">
        <is>
          <t>未着手</t>
        </is>
      </c>
      <c r="AD64" s="15" t="inlineStr">
        <is>
          <t>未着手</t>
        </is>
      </c>
      <c r="AE64" s="15" t="inlineStr">
        <is>
          <t>未反映</t>
        </is>
      </c>
      <c r="AF64" s="15" t="inlineStr">
        <is>
          <t>未投稿</t>
        </is>
      </c>
      <c r="AG64" s="15" t="inlineStr">
        <is>
          <t>create_only</t>
        </is>
      </c>
      <c r="AH64" s="15" t="str"/>
      <c r="AI64" s="15" t="str"/>
      <c r="AJ64" s="69" t="str"/>
      <c r="AK64" s="69" t="str"/>
      <c r="AL64" s="15" t="str"/>
      <c r="AM64" s="15">
        <f>IF(AL64="","",IF(AL64&lt;I64,"不足",IF(AL64&gt;J64,"超過","OK")))</f>
        <v/>
      </c>
      <c r="AN64" s="15" t="str"/>
      <c r="AO64" s="15" t="inlineStr">
        <is>
          <t>関連：外壁塗装、雨樋、軒天、付帯部補修記事へリンク。</t>
        </is>
      </c>
      <c r="AP64" s="15" t="inlineStr">
        <is>
          <t>H1なし／この記事でわかること／地域事情／事例／原因・費用／CTA／FAQ</t>
        </is>
      </c>
      <c r="AQ64" s="15" t="str"/>
    </row>
    <row r="65">
      <c r="A65" s="15" t="n">
        <v>64</v>
      </c>
      <c r="B65" s="15" t="inlineStr">
        <is>
          <t>雨樋 塗装 必要</t>
        </is>
      </c>
      <c r="C65" s="15" t="inlineStr">
        <is>
          <t>雨樋 塗装 必要</t>
        </is>
      </c>
      <c r="D65" s="15" t="inlineStr">
        <is>
          <t>雨樋塗装は必要？塗り替えの目的・不要なケースも解説</t>
        </is>
      </c>
      <c r="E65" s="15" t="inlineStr">
        <is>
          <t>付帯部</t>
        </is>
      </c>
      <c r="F65" s="15" t="inlineStr">
        <is>
          <t>付帯部型</t>
        </is>
      </c>
      <c r="G65" s="15" t="inlineStr">
        <is>
          <t>地域サービス型</t>
        </is>
      </c>
      <c r="H65" s="15" t="inlineStr">
        <is>
          <t>4,500〜6,000字</t>
        </is>
      </c>
      <c r="I65" s="15" t="n">
        <v>4500</v>
      </c>
      <c r="J65" s="15" t="n">
        <v>6000</v>
      </c>
      <c r="K65" s="15" t="inlineStr">
        <is>
          <t>中</t>
        </is>
      </c>
      <c r="L65" s="15" t="inlineStr">
        <is>
          <t>第4ロット：雨樋・軒天・付帯部系</t>
        </is>
      </c>
      <c r="M65" s="15" t="inlineStr">
        <is>
          <t>064.md</t>
        </is>
      </c>
      <c r="N65" s="15" t="inlineStr">
        <is>
          <t>064.webp</t>
        </is>
      </c>
      <c r="O65" s="15" t="inlineStr">
        <is>
          <t>gutter-paint-necessity</t>
        </is>
      </c>
      <c r="P65" s="15" t="inlineStr">
        <is>
          <t>雨樋 塗装 必要について、劣化症状、補修・塗装の判断基準、費用目安、外壁塗装と同時施工するメリットを解説します。</t>
        </is>
      </c>
      <c r="Q65" s="15" t="inlineStr">
        <is>
          <t>付帯部</t>
        </is>
      </c>
      <c r="R65" s="15" t="inlineStr">
        <is>
          <t>雨樋、付帯部</t>
        </is>
      </c>
      <c r="S65" s="15" t="inlineStr">
        <is>
          <t>付帯部点検・外装劣化診断</t>
        </is>
      </c>
      <c r="T65" s="15" t="inlineStr">
        <is>
          <t>付帯部点検CTA</t>
        </is>
      </c>
      <c r="U65" s="15" t="inlineStr">
        <is>
          <t>外壁・屋根・付帯部を無料現地調査し、今すぐ必要な工事と様子を見られる箇所を分けてご案内します。</t>
        </is>
      </c>
      <c r="V65" s="15" t="inlineStr">
        <is>
          <t>雨樋 塗装 必要</t>
        </is>
      </c>
      <c r="W65" s="15" t="inlineStr">
        <is>
          <t>割れ・外れ・劣化を放置NG</t>
        </is>
      </c>
      <c r="X65" s="15" t="inlineStr">
        <is>
          <t>交換と塗装の判断ポイント</t>
        </is>
      </c>
      <c r="Y65" s="15" t="inlineStr">
        <is>
          <t>雨樋の割れ・外れ・雨水</t>
        </is>
      </c>
      <c r="Z65" s="15" t="inlineStr">
        <is>
          <t>点検する職人</t>
        </is>
      </c>
      <c r="AA65" s="15" t="inlineStr">
        <is>
          <t>松山市版</t>
        </is>
      </c>
      <c r="AB65" s="15" t="inlineStr">
        <is>
          <t>付帯部訴求</t>
        </is>
      </c>
      <c r="AC65" s="15" t="inlineStr">
        <is>
          <t>未着手</t>
        </is>
      </c>
      <c r="AD65" s="15" t="inlineStr">
        <is>
          <t>未着手</t>
        </is>
      </c>
      <c r="AE65" s="15" t="inlineStr">
        <is>
          <t>未反映</t>
        </is>
      </c>
      <c r="AF65" s="15" t="inlineStr">
        <is>
          <t>未投稿</t>
        </is>
      </c>
      <c r="AG65" s="15" t="inlineStr">
        <is>
          <t>create_only</t>
        </is>
      </c>
      <c r="AH65" s="15" t="str"/>
      <c r="AI65" s="15" t="str"/>
      <c r="AJ65" s="69" t="str"/>
      <c r="AK65" s="69" t="str"/>
      <c r="AL65" s="15" t="str"/>
      <c r="AM65" s="15">
        <f>IF(AL65="","",IF(AL65&lt;I65,"不足",IF(AL65&gt;J65,"超過","OK")))</f>
        <v/>
      </c>
      <c r="AN65" s="15" t="str"/>
      <c r="AO65" s="15" t="inlineStr">
        <is>
          <t>関連：外壁塗装、雨樋、軒天、付帯部補修記事へリンク。</t>
        </is>
      </c>
      <c r="AP65" s="15" t="inlineStr">
        <is>
          <t>H1なし／この記事でわかること／地域事情／事例／原因・費用／CTA／FAQ</t>
        </is>
      </c>
      <c r="AQ65" s="15" t="str"/>
    </row>
    <row r="66">
      <c r="A66" s="15" t="n">
        <v>65</v>
      </c>
      <c r="B66" s="15" t="inlineStr">
        <is>
          <t>雨樋 塗装 費用</t>
        </is>
      </c>
      <c r="C66" s="15" t="inlineStr">
        <is>
          <t>雨樋 塗装 費用</t>
        </is>
      </c>
      <c r="D66" s="15" t="inlineStr">
        <is>
          <t>雨樋塗装の費用相場はいくら？単価・足場代・注意点を解説</t>
        </is>
      </c>
      <c r="E66" s="15" t="inlineStr">
        <is>
          <t>付帯部</t>
        </is>
      </c>
      <c r="F66" s="15" t="inlineStr">
        <is>
          <t>費用・相場型</t>
        </is>
      </c>
      <c r="G66" s="15" t="inlineStr">
        <is>
          <t>費用・相場型</t>
        </is>
      </c>
      <c r="H66" s="15" t="inlineStr">
        <is>
          <t>4,500〜6,000字</t>
        </is>
      </c>
      <c r="I66" s="15" t="n">
        <v>4500</v>
      </c>
      <c r="J66" s="15" t="n">
        <v>6000</v>
      </c>
      <c r="K66" s="15" t="inlineStr">
        <is>
          <t>中</t>
        </is>
      </c>
      <c r="L66" s="15" t="inlineStr">
        <is>
          <t>第4ロット：雨樋・軒天・付帯部系</t>
        </is>
      </c>
      <c r="M66" s="15" t="inlineStr">
        <is>
          <t>065.md</t>
        </is>
      </c>
      <c r="N66" s="15" t="inlineStr">
        <is>
          <t>065.webp</t>
        </is>
      </c>
      <c r="O66" s="15" t="inlineStr">
        <is>
          <t>gutter-paint-cost</t>
        </is>
      </c>
      <c r="P66" s="15" t="inlineStr">
        <is>
          <t>雨樋 塗装 費用について、費用相場、内訳、金額が変わる要因、見積もり時の注意点をわかりやすく解説します。</t>
        </is>
      </c>
      <c r="Q66" s="15" t="inlineStr">
        <is>
          <t>付帯部</t>
        </is>
      </c>
      <c r="R66" s="15" t="inlineStr">
        <is>
          <t>雨樋、費用、付帯部</t>
        </is>
      </c>
      <c r="S66" s="15" t="inlineStr">
        <is>
          <t>無料見積り・費用根拠の見える化</t>
        </is>
      </c>
      <c r="T66" s="15" t="inlineStr">
        <is>
          <t>無料見積りCTA</t>
        </is>
      </c>
      <c r="U66" s="15" t="inlineStr">
        <is>
          <t>費用は原因箇所や補修範囲で変わります。現地調査で状態を確認し、見積もりの根拠を写真付きでご説明します。</t>
        </is>
      </c>
      <c r="V66" s="15" t="inlineStr">
        <is>
          <t>雨樋 塗装 費用</t>
        </is>
      </c>
      <c r="W66" s="15" t="inlineStr">
        <is>
          <t>割れ・外れ・劣化を放置NG</t>
        </is>
      </c>
      <c r="X66" s="15" t="inlineStr">
        <is>
          <t>交換と塗装の判断ポイント</t>
        </is>
      </c>
      <c r="Y66" s="15" t="inlineStr">
        <is>
          <t>雨樋の割れ・外れ・雨水</t>
        </is>
      </c>
      <c r="Z66" s="15" t="inlineStr">
        <is>
          <t>点検する職人</t>
        </is>
      </c>
      <c r="AA66" s="15" t="inlineStr">
        <is>
          <t>松山市版</t>
        </is>
      </c>
      <c r="AB66" s="15" t="inlineStr">
        <is>
          <t>付帯部訴求</t>
        </is>
      </c>
      <c r="AC66" s="15" t="inlineStr">
        <is>
          <t>未着手</t>
        </is>
      </c>
      <c r="AD66" s="15" t="inlineStr">
        <is>
          <t>未着手</t>
        </is>
      </c>
      <c r="AE66" s="15" t="inlineStr">
        <is>
          <t>未反映</t>
        </is>
      </c>
      <c r="AF66" s="15" t="inlineStr">
        <is>
          <t>未投稿</t>
        </is>
      </c>
      <c r="AG66" s="15" t="inlineStr">
        <is>
          <t>create_only</t>
        </is>
      </c>
      <c r="AH66" s="15" t="str"/>
      <c r="AI66" s="15" t="str"/>
      <c r="AJ66" s="69" t="str"/>
      <c r="AK66" s="69" t="str"/>
      <c r="AL66" s="15" t="str"/>
      <c r="AM66" s="15">
        <f>IF(AL66="","",IF(AL66&lt;I66,"不足",IF(AL66&gt;J66,"超過","OK")))</f>
        <v/>
      </c>
      <c r="AN66" s="15" t="str"/>
      <c r="AO66" s="15" t="inlineStr">
        <is>
          <t>関連：外壁塗装、雨樋、軒天、付帯部補修記事へリンク。</t>
        </is>
      </c>
      <c r="AP66" s="15" t="inlineStr">
        <is>
          <t>H1なし／この記事でわかること／地域事情／事例／原因・費用／CTA／FAQ</t>
        </is>
      </c>
      <c r="AQ66" s="15" t="str"/>
    </row>
    <row r="67">
      <c r="A67" s="15" t="n">
        <v>66</v>
      </c>
      <c r="B67" s="15" t="inlineStr">
        <is>
          <t>雨樋 割れ 補修</t>
        </is>
      </c>
      <c r="C67" s="15" t="inlineStr">
        <is>
          <t>雨樋 割れ 補修</t>
        </is>
      </c>
      <c r="D67" s="15" t="inlineStr">
        <is>
          <t>雨樋の割れは補修できる？修理・交換の判断ポイント</t>
        </is>
      </c>
      <c r="E67" s="15" t="inlineStr">
        <is>
          <t>付帯部</t>
        </is>
      </c>
      <c r="F67" s="15" t="inlineStr">
        <is>
          <t>付帯部型</t>
        </is>
      </c>
      <c r="G67" s="15" t="inlineStr">
        <is>
          <t>地域サービス型</t>
        </is>
      </c>
      <c r="H67" s="15" t="inlineStr">
        <is>
          <t>4,500〜6,000字</t>
        </is>
      </c>
      <c r="I67" s="15" t="n">
        <v>4500</v>
      </c>
      <c r="J67" s="15" t="n">
        <v>6000</v>
      </c>
      <c r="K67" s="15" t="inlineStr">
        <is>
          <t>中</t>
        </is>
      </c>
      <c r="L67" s="15" t="inlineStr">
        <is>
          <t>第4ロット：雨樋・軒天・付帯部系</t>
        </is>
      </c>
      <c r="M67" s="15" t="inlineStr">
        <is>
          <t>066.md</t>
        </is>
      </c>
      <c r="N67" s="15" t="inlineStr">
        <is>
          <t>066.webp</t>
        </is>
      </c>
      <c r="O67" s="15" t="inlineStr">
        <is>
          <t>gutter-crack-repair</t>
        </is>
      </c>
      <c r="P67" s="15" t="inlineStr">
        <is>
          <t>雨樋 割れ 補修について、劣化症状、補修・塗装の判断基準、費用目安、外壁塗装と同時施工するメリットを解説します。</t>
        </is>
      </c>
      <c r="Q67" s="15" t="inlineStr">
        <is>
          <t>付帯部</t>
        </is>
      </c>
      <c r="R67" s="15" t="inlineStr">
        <is>
          <t>雨樋、付帯部</t>
        </is>
      </c>
      <c r="S67" s="15" t="inlineStr">
        <is>
          <t>付帯部点検・外装劣化診断</t>
        </is>
      </c>
      <c r="T67" s="15" t="inlineStr">
        <is>
          <t>付帯部点検CTA</t>
        </is>
      </c>
      <c r="U67" s="15" t="inlineStr">
        <is>
          <t>外壁・屋根・付帯部を無料現地調査し、今すぐ必要な工事と様子を見られる箇所を分けてご案内します。</t>
        </is>
      </c>
      <c r="V67" s="15" t="inlineStr">
        <is>
          <t>雨樋 割れ 補修</t>
        </is>
      </c>
      <c r="W67" s="15" t="inlineStr">
        <is>
          <t>割れ・外れ・劣化を放置NG</t>
        </is>
      </c>
      <c r="X67" s="15" t="inlineStr">
        <is>
          <t>交換と塗装の判断ポイント</t>
        </is>
      </c>
      <c r="Y67" s="15" t="inlineStr">
        <is>
          <t>雨樋の割れ・外れ・雨水</t>
        </is>
      </c>
      <c r="Z67" s="15" t="inlineStr">
        <is>
          <t>点検する職人</t>
        </is>
      </c>
      <c r="AA67" s="15" t="inlineStr">
        <is>
          <t>松山市版</t>
        </is>
      </c>
      <c r="AB67" s="15" t="inlineStr">
        <is>
          <t>付帯部訴求</t>
        </is>
      </c>
      <c r="AC67" s="15" t="inlineStr">
        <is>
          <t>未着手</t>
        </is>
      </c>
      <c r="AD67" s="15" t="inlineStr">
        <is>
          <t>未着手</t>
        </is>
      </c>
      <c r="AE67" s="15" t="inlineStr">
        <is>
          <t>未反映</t>
        </is>
      </c>
      <c r="AF67" s="15" t="inlineStr">
        <is>
          <t>未投稿</t>
        </is>
      </c>
      <c r="AG67" s="15" t="inlineStr">
        <is>
          <t>create_only</t>
        </is>
      </c>
      <c r="AH67" s="15" t="str"/>
      <c r="AI67" s="15" t="str"/>
      <c r="AJ67" s="69" t="str"/>
      <c r="AK67" s="69" t="str"/>
      <c r="AL67" s="15" t="str"/>
      <c r="AM67" s="15">
        <f>IF(AL67="","",IF(AL67&lt;I67,"不足",IF(AL67&gt;J67,"超過","OK")))</f>
        <v/>
      </c>
      <c r="AN67" s="15" t="str"/>
      <c r="AO67" s="15" t="inlineStr">
        <is>
          <t>関連：外壁塗装、雨樋、軒天、付帯部補修記事へリンク。</t>
        </is>
      </c>
      <c r="AP67" s="15" t="inlineStr">
        <is>
          <t>H1なし／この記事でわかること／地域事情／事例／原因・費用／CTA／FAQ</t>
        </is>
      </c>
      <c r="AQ67" s="15" t="str"/>
    </row>
    <row r="68">
      <c r="A68" s="15" t="n">
        <v>67</v>
      </c>
      <c r="B68" s="15" t="inlineStr">
        <is>
          <t>雨樋 外れ 修理</t>
        </is>
      </c>
      <c r="C68" s="15" t="inlineStr">
        <is>
          <t>雨樋 外れ 修理</t>
        </is>
      </c>
      <c r="D68" s="15" t="inlineStr">
        <is>
          <t>雨樋が外れたときの修理方法｜原因・費用・放置リスク</t>
        </is>
      </c>
      <c r="E68" s="15" t="inlineStr">
        <is>
          <t>付帯部</t>
        </is>
      </c>
      <c r="F68" s="15" t="inlineStr">
        <is>
          <t>付帯部型</t>
        </is>
      </c>
      <c r="G68" s="15" t="inlineStr">
        <is>
          <t>地域サービス型</t>
        </is>
      </c>
      <c r="H68" s="15" t="inlineStr">
        <is>
          <t>4,500〜6,000字</t>
        </is>
      </c>
      <c r="I68" s="15" t="n">
        <v>4500</v>
      </c>
      <c r="J68" s="15" t="n">
        <v>6000</v>
      </c>
      <c r="K68" s="15" t="inlineStr">
        <is>
          <t>中</t>
        </is>
      </c>
      <c r="L68" s="15" t="inlineStr">
        <is>
          <t>第4ロット：雨樋・軒天・付帯部系</t>
        </is>
      </c>
      <c r="M68" s="15" t="inlineStr">
        <is>
          <t>067.md</t>
        </is>
      </c>
      <c r="N68" s="15" t="inlineStr">
        <is>
          <t>067.webp</t>
        </is>
      </c>
      <c r="O68" s="15" t="inlineStr">
        <is>
          <t>gutter-detached-repair</t>
        </is>
      </c>
      <c r="P68" s="15" t="inlineStr">
        <is>
          <t>雨樋 外れ 修理について、劣化症状、補修・塗装の判断基準、費用目安、外壁塗装と同時施工するメリットを解説します。</t>
        </is>
      </c>
      <c r="Q68" s="15" t="inlineStr">
        <is>
          <t>付帯部</t>
        </is>
      </c>
      <c r="R68" s="15" t="inlineStr">
        <is>
          <t>雨樋、付帯部</t>
        </is>
      </c>
      <c r="S68" s="15" t="inlineStr">
        <is>
          <t>付帯部点検・外装劣化診断</t>
        </is>
      </c>
      <c r="T68" s="15" t="inlineStr">
        <is>
          <t>付帯部点検CTA</t>
        </is>
      </c>
      <c r="U68" s="15" t="inlineStr">
        <is>
          <t>外壁・屋根・付帯部を無料現地調査し、今すぐ必要な工事と様子を見られる箇所を分けてご案内します。</t>
        </is>
      </c>
      <c r="V68" s="15" t="inlineStr">
        <is>
          <t>雨樋 外れ 修理</t>
        </is>
      </c>
      <c r="W68" s="15" t="inlineStr">
        <is>
          <t>割れ・外れ・劣化を放置NG</t>
        </is>
      </c>
      <c r="X68" s="15" t="inlineStr">
        <is>
          <t>交換と塗装の判断ポイント</t>
        </is>
      </c>
      <c r="Y68" s="15" t="inlineStr">
        <is>
          <t>雨樋の割れ・外れ・雨水</t>
        </is>
      </c>
      <c r="Z68" s="15" t="inlineStr">
        <is>
          <t>点検する職人</t>
        </is>
      </c>
      <c r="AA68" s="15" t="inlineStr">
        <is>
          <t>松山市版</t>
        </is>
      </c>
      <c r="AB68" s="15" t="inlineStr">
        <is>
          <t>付帯部訴求</t>
        </is>
      </c>
      <c r="AC68" s="15" t="inlineStr">
        <is>
          <t>未着手</t>
        </is>
      </c>
      <c r="AD68" s="15" t="inlineStr">
        <is>
          <t>未着手</t>
        </is>
      </c>
      <c r="AE68" s="15" t="inlineStr">
        <is>
          <t>未反映</t>
        </is>
      </c>
      <c r="AF68" s="15" t="inlineStr">
        <is>
          <t>未投稿</t>
        </is>
      </c>
      <c r="AG68" s="15" t="inlineStr">
        <is>
          <t>create_only</t>
        </is>
      </c>
      <c r="AH68" s="15" t="str"/>
      <c r="AI68" s="15" t="str"/>
      <c r="AJ68" s="69" t="str"/>
      <c r="AK68" s="69" t="str"/>
      <c r="AL68" s="15" t="str"/>
      <c r="AM68" s="15">
        <f>IF(AL68="","",IF(AL68&lt;I68,"不足",IF(AL68&gt;J68,"超過","OK")))</f>
        <v/>
      </c>
      <c r="AN68" s="15" t="str"/>
      <c r="AO68" s="15" t="inlineStr">
        <is>
          <t>関連：外壁塗装、雨樋、軒天、付帯部補修記事へリンク。</t>
        </is>
      </c>
      <c r="AP68" s="15" t="inlineStr">
        <is>
          <t>H1なし／この記事でわかること／地域事情／事例／原因・費用／CTA／FAQ</t>
        </is>
      </c>
      <c r="AQ68" s="15" t="str"/>
    </row>
    <row r="69">
      <c r="A69" s="15" t="n">
        <v>68</v>
      </c>
      <c r="B69" s="15" t="inlineStr">
        <is>
          <t>雨樋 劣化 症状</t>
        </is>
      </c>
      <c r="C69" s="15" t="inlineStr">
        <is>
          <t>雨樋 劣化 症状</t>
        </is>
      </c>
      <c r="D69" s="15" t="inlineStr">
        <is>
          <t>雨樋の劣化症状とは？塗装・補修・交換の判断基準</t>
        </is>
      </c>
      <c r="E69" s="15" t="inlineStr">
        <is>
          <t>付帯部</t>
        </is>
      </c>
      <c r="F69" s="15" t="inlineStr">
        <is>
          <t>付帯部型</t>
        </is>
      </c>
      <c r="G69" s="15" t="inlineStr">
        <is>
          <t>原因・症状解説型</t>
        </is>
      </c>
      <c r="H69" s="15" t="inlineStr">
        <is>
          <t>4,500〜6,000字</t>
        </is>
      </c>
      <c r="I69" s="15" t="n">
        <v>4500</v>
      </c>
      <c r="J69" s="15" t="n">
        <v>6000</v>
      </c>
      <c r="K69" s="15" t="inlineStr">
        <is>
          <t>中</t>
        </is>
      </c>
      <c r="L69" s="15" t="inlineStr">
        <is>
          <t>第4ロット：雨樋・軒天・付帯部系</t>
        </is>
      </c>
      <c r="M69" s="15" t="inlineStr">
        <is>
          <t>068.md</t>
        </is>
      </c>
      <c r="N69" s="15" t="inlineStr">
        <is>
          <t>068.webp</t>
        </is>
      </c>
      <c r="O69" s="15" t="inlineStr">
        <is>
          <t>gutter-deterioration-symptoms</t>
        </is>
      </c>
      <c r="P69" s="15" t="inlineStr">
        <is>
          <t>雨樋 劣化 症状について、劣化症状、補修・塗装の判断基準、費用目安、外壁塗装と同時施工するメリットを解説します。</t>
        </is>
      </c>
      <c r="Q69" s="15" t="inlineStr">
        <is>
          <t>付帯部</t>
        </is>
      </c>
      <c r="R69" s="15" t="inlineStr">
        <is>
          <t>雨樋、付帯部</t>
        </is>
      </c>
      <c r="S69" s="15" t="inlineStr">
        <is>
          <t>付帯部点検・外装劣化診断</t>
        </is>
      </c>
      <c r="T69" s="15" t="inlineStr">
        <is>
          <t>付帯部点検CTA</t>
        </is>
      </c>
      <c r="U69" s="15" t="inlineStr">
        <is>
          <t>外壁・屋根・付帯部を無料現地調査し、今すぐ必要な工事と様子を見られる箇所を分けてご案内します。</t>
        </is>
      </c>
      <c r="V69" s="15" t="inlineStr">
        <is>
          <t>雨樋 劣化 症状</t>
        </is>
      </c>
      <c r="W69" s="15" t="inlineStr">
        <is>
          <t>割れ・外れ・劣化を放置NG</t>
        </is>
      </c>
      <c r="X69" s="15" t="inlineStr">
        <is>
          <t>交換と塗装の判断ポイント</t>
        </is>
      </c>
      <c r="Y69" s="15" t="inlineStr">
        <is>
          <t>雨樋の割れ・外れ・雨水</t>
        </is>
      </c>
      <c r="Z69" s="15" t="inlineStr">
        <is>
          <t>点検する職人</t>
        </is>
      </c>
      <c r="AA69" s="15" t="inlineStr">
        <is>
          <t>松山市版</t>
        </is>
      </c>
      <c r="AB69" s="15" t="inlineStr">
        <is>
          <t>付帯部訴求</t>
        </is>
      </c>
      <c r="AC69" s="15" t="inlineStr">
        <is>
          <t>未着手</t>
        </is>
      </c>
      <c r="AD69" s="15" t="inlineStr">
        <is>
          <t>未着手</t>
        </is>
      </c>
      <c r="AE69" s="15" t="inlineStr">
        <is>
          <t>未反映</t>
        </is>
      </c>
      <c r="AF69" s="15" t="inlineStr">
        <is>
          <t>未投稿</t>
        </is>
      </c>
      <c r="AG69" s="15" t="inlineStr">
        <is>
          <t>create_only</t>
        </is>
      </c>
      <c r="AH69" s="15" t="str"/>
      <c r="AI69" s="15" t="str"/>
      <c r="AJ69" s="69" t="str"/>
      <c r="AK69" s="69" t="str"/>
      <c r="AL69" s="15" t="str"/>
      <c r="AM69" s="15">
        <f>IF(AL69="","",IF(AL69&lt;I69,"不足",IF(AL69&gt;J69,"超過","OK")))</f>
        <v/>
      </c>
      <c r="AN69" s="15" t="str"/>
      <c r="AO69" s="15" t="inlineStr">
        <is>
          <t>関連：外壁塗装、雨樋、軒天、付帯部補修記事へリンク。</t>
        </is>
      </c>
      <c r="AP69" s="15" t="inlineStr">
        <is>
          <t>H1なし／この記事でわかること／地域事情／事例／原因・費用／CTA／FAQ</t>
        </is>
      </c>
      <c r="AQ69" s="15" t="str"/>
    </row>
    <row r="70">
      <c r="A70" s="15" t="n">
        <v>69</v>
      </c>
      <c r="B70" s="15" t="inlineStr">
        <is>
          <t>雨樋 チョーキング</t>
        </is>
      </c>
      <c r="C70" s="15" t="inlineStr">
        <is>
          <t>雨樋 チョーキング</t>
        </is>
      </c>
      <c r="D70" s="15" t="inlineStr">
        <is>
          <t>雨樋のチョーキングとは？塗装時期と劣化の見分け方</t>
        </is>
      </c>
      <c r="E70" s="15" t="inlineStr">
        <is>
          <t>付帯部</t>
        </is>
      </c>
      <c r="F70" s="15" t="inlineStr">
        <is>
          <t>付帯部型</t>
        </is>
      </c>
      <c r="G70" s="15" t="inlineStr">
        <is>
          <t>地域サービス型</t>
        </is>
      </c>
      <c r="H70" s="15" t="inlineStr">
        <is>
          <t>4,000〜5,500字</t>
        </is>
      </c>
      <c r="I70" s="15" t="n">
        <v>4000</v>
      </c>
      <c r="J70" s="15" t="n">
        <v>5500</v>
      </c>
      <c r="K70" s="15" t="inlineStr">
        <is>
          <t>中</t>
        </is>
      </c>
      <c r="L70" s="15" t="inlineStr">
        <is>
          <t>第4ロット：雨樋・軒天・付帯部系</t>
        </is>
      </c>
      <c r="M70" s="15" t="inlineStr">
        <is>
          <t>069.md</t>
        </is>
      </c>
      <c r="N70" s="15" t="inlineStr">
        <is>
          <t>069.webp</t>
        </is>
      </c>
      <c r="O70" s="15" t="inlineStr">
        <is>
          <t>gutter-chalking</t>
        </is>
      </c>
      <c r="P70" s="15" t="inlineStr">
        <is>
          <t>雨樋 チョーキングについて、劣化症状、補修・塗装の判断基準、費用目安、外壁塗装と同時施工するメリットを解説します。</t>
        </is>
      </c>
      <c r="Q70" s="15" t="inlineStr">
        <is>
          <t>付帯部</t>
        </is>
      </c>
      <c r="R70" s="15" t="inlineStr">
        <is>
          <t>雨樋、付帯部</t>
        </is>
      </c>
      <c r="S70" s="15" t="inlineStr">
        <is>
          <t>付帯部点検・外装劣化診断</t>
        </is>
      </c>
      <c r="T70" s="15" t="inlineStr">
        <is>
          <t>付帯部点検CTA</t>
        </is>
      </c>
      <c r="U70" s="15" t="inlineStr">
        <is>
          <t>外壁・屋根・付帯部を無料現地調査し、今すぐ必要な工事と様子を見られる箇所を分けてご案内します。</t>
        </is>
      </c>
      <c r="V70" s="15" t="inlineStr">
        <is>
          <t>雨樋 チョーキング</t>
        </is>
      </c>
      <c r="W70" s="15" t="inlineStr">
        <is>
          <t>割れ・外れ・劣化を放置NG</t>
        </is>
      </c>
      <c r="X70" s="15" t="inlineStr">
        <is>
          <t>交換と塗装の判断ポイント</t>
        </is>
      </c>
      <c r="Y70" s="15" t="inlineStr">
        <is>
          <t>雨樋の割れ・外れ・雨水</t>
        </is>
      </c>
      <c r="Z70" s="15" t="inlineStr">
        <is>
          <t>点検する職人</t>
        </is>
      </c>
      <c r="AA70" s="15" t="inlineStr">
        <is>
          <t>松山市版</t>
        </is>
      </c>
      <c r="AB70" s="15" t="inlineStr">
        <is>
          <t>付帯部訴求</t>
        </is>
      </c>
      <c r="AC70" s="15" t="inlineStr">
        <is>
          <t>未着手</t>
        </is>
      </c>
      <c r="AD70" s="15" t="inlineStr">
        <is>
          <t>未着手</t>
        </is>
      </c>
      <c r="AE70" s="15" t="inlineStr">
        <is>
          <t>未反映</t>
        </is>
      </c>
      <c r="AF70" s="15" t="inlineStr">
        <is>
          <t>未投稿</t>
        </is>
      </c>
      <c r="AG70" s="15" t="inlineStr">
        <is>
          <t>create_only</t>
        </is>
      </c>
      <c r="AH70" s="15" t="str"/>
      <c r="AI70" s="15" t="str"/>
      <c r="AJ70" s="69" t="str"/>
      <c r="AK70" s="69" t="str"/>
      <c r="AL70" s="15" t="str"/>
      <c r="AM70" s="15">
        <f>IF(AL70="","",IF(AL70&lt;I70,"不足",IF(AL70&gt;J70,"超過","OK")))</f>
        <v/>
      </c>
      <c r="AN70" s="15" t="str"/>
      <c r="AO70" s="15" t="inlineStr">
        <is>
          <t>関連：外壁塗装、雨樋、軒天、付帯部補修記事へリンク。</t>
        </is>
      </c>
      <c r="AP70" s="15" t="inlineStr">
        <is>
          <t>H1なし／この記事でわかること／地域事情／事例／原因・費用／CTA／FAQ</t>
        </is>
      </c>
      <c r="AQ70" s="15" t="str"/>
    </row>
    <row r="71">
      <c r="A71" s="15" t="n">
        <v>70</v>
      </c>
      <c r="B71" s="15" t="inlineStr">
        <is>
          <t>雨樋 塗り替え時期</t>
        </is>
      </c>
      <c r="C71" s="15" t="inlineStr">
        <is>
          <t>雨樋 塗り替え時期</t>
        </is>
      </c>
      <c r="D71" s="15" t="inlineStr">
        <is>
          <t>雨樋の塗り替え時期はいつ？劣化サインと費用目安</t>
        </is>
      </c>
      <c r="E71" s="15" t="inlineStr">
        <is>
          <t>付帯部</t>
        </is>
      </c>
      <c r="F71" s="15" t="inlineStr">
        <is>
          <t>付帯部型</t>
        </is>
      </c>
      <c r="G71" s="15" t="inlineStr">
        <is>
          <t>地域サービス型</t>
        </is>
      </c>
      <c r="H71" s="15" t="inlineStr">
        <is>
          <t>4,500〜6,000字</t>
        </is>
      </c>
      <c r="I71" s="15" t="n">
        <v>4500</v>
      </c>
      <c r="J71" s="15" t="n">
        <v>6000</v>
      </c>
      <c r="K71" s="15" t="inlineStr">
        <is>
          <t>中</t>
        </is>
      </c>
      <c r="L71" s="15" t="inlineStr">
        <is>
          <t>第4ロット：雨樋・軒天・付帯部系</t>
        </is>
      </c>
      <c r="M71" s="15" t="inlineStr">
        <is>
          <t>070.md</t>
        </is>
      </c>
      <c r="N71" s="15" t="inlineStr">
        <is>
          <t>070.webp</t>
        </is>
      </c>
      <c r="O71" s="15" t="inlineStr">
        <is>
          <t>gutter-repaint-timing</t>
        </is>
      </c>
      <c r="P71" s="15" t="inlineStr">
        <is>
          <t>雨樋 塗り替え時期について、劣化症状、補修・塗装の判断基準、費用目安、外壁塗装と同時施工するメリットを解説します。</t>
        </is>
      </c>
      <c r="Q71" s="15" t="inlineStr">
        <is>
          <t>付帯部</t>
        </is>
      </c>
      <c r="R71" s="15" t="inlineStr">
        <is>
          <t>雨樋、付帯部</t>
        </is>
      </c>
      <c r="S71" s="15" t="inlineStr">
        <is>
          <t>付帯部点検・外装劣化診断</t>
        </is>
      </c>
      <c r="T71" s="15" t="inlineStr">
        <is>
          <t>付帯部点検CTA</t>
        </is>
      </c>
      <c r="U71" s="15" t="inlineStr">
        <is>
          <t>外壁・屋根・付帯部を無料現地調査し、今すぐ必要な工事と様子を見られる箇所を分けてご案内します。</t>
        </is>
      </c>
      <c r="V71" s="15" t="inlineStr">
        <is>
          <t>雨樋 塗り替え時期</t>
        </is>
      </c>
      <c r="W71" s="15" t="inlineStr">
        <is>
          <t>割れ・外れ・劣化を放置NG</t>
        </is>
      </c>
      <c r="X71" s="15" t="inlineStr">
        <is>
          <t>交換と塗装の判断ポイント</t>
        </is>
      </c>
      <c r="Y71" s="15" t="inlineStr">
        <is>
          <t>雨樋の割れ・外れ・雨水</t>
        </is>
      </c>
      <c r="Z71" s="15" t="inlineStr">
        <is>
          <t>点検する職人</t>
        </is>
      </c>
      <c r="AA71" s="15" t="inlineStr">
        <is>
          <t>松山市版</t>
        </is>
      </c>
      <c r="AB71" s="15" t="inlineStr">
        <is>
          <t>付帯部訴求</t>
        </is>
      </c>
      <c r="AC71" s="15" t="inlineStr">
        <is>
          <t>未着手</t>
        </is>
      </c>
      <c r="AD71" s="15" t="inlineStr">
        <is>
          <t>未着手</t>
        </is>
      </c>
      <c r="AE71" s="15" t="inlineStr">
        <is>
          <t>未反映</t>
        </is>
      </c>
      <c r="AF71" s="15" t="inlineStr">
        <is>
          <t>未投稿</t>
        </is>
      </c>
      <c r="AG71" s="15" t="inlineStr">
        <is>
          <t>create_only</t>
        </is>
      </c>
      <c r="AH71" s="15" t="str"/>
      <c r="AI71" s="15" t="str"/>
      <c r="AJ71" s="69" t="str"/>
      <c r="AK71" s="69" t="str"/>
      <c r="AL71" s="15" t="str"/>
      <c r="AM71" s="15">
        <f>IF(AL71="","",IF(AL71&lt;I71,"不足",IF(AL71&gt;J71,"超過","OK")))</f>
        <v/>
      </c>
      <c r="AN71" s="15" t="str"/>
      <c r="AO71" s="15" t="inlineStr">
        <is>
          <t>関連：外壁塗装、雨樋、軒天、付帯部補修記事へリンク。</t>
        </is>
      </c>
      <c r="AP71" s="15" t="inlineStr">
        <is>
          <t>H1なし／この記事でわかること／地域事情／事例／原因・費用／CTA／FAQ</t>
        </is>
      </c>
      <c r="AQ71" s="15" t="str"/>
    </row>
    <row r="72">
      <c r="A72" s="15" t="n">
        <v>71</v>
      </c>
      <c r="B72" s="15" t="inlineStr">
        <is>
          <t>軒天 塗装 松山市</t>
        </is>
      </c>
      <c r="C72" s="15" t="inlineStr">
        <is>
          <t>軒天 塗装 松山市</t>
        </is>
      </c>
      <c r="D72" s="15" t="inlineStr">
        <is>
          <t>松山市の軒天塗装はいつ必要？費用・劣化症状・注意点</t>
        </is>
      </c>
      <c r="E72" s="15" t="inlineStr">
        <is>
          <t>付帯部</t>
        </is>
      </c>
      <c r="F72" s="15" t="inlineStr">
        <is>
          <t>付帯部型</t>
        </is>
      </c>
      <c r="G72" s="15" t="inlineStr">
        <is>
          <t>地域サービス型</t>
        </is>
      </c>
      <c r="H72" s="15" t="inlineStr">
        <is>
          <t>4,500〜6,000字</t>
        </is>
      </c>
      <c r="I72" s="15" t="n">
        <v>4500</v>
      </c>
      <c r="J72" s="15" t="n">
        <v>6000</v>
      </c>
      <c r="K72" s="15" t="inlineStr">
        <is>
          <t>中</t>
        </is>
      </c>
      <c r="L72" s="15" t="inlineStr">
        <is>
          <t>第4ロット：雨樋・軒天・付帯部系</t>
        </is>
      </c>
      <c r="M72" s="15" t="inlineStr">
        <is>
          <t>071.md</t>
        </is>
      </c>
      <c r="N72" s="15" t="inlineStr">
        <is>
          <t>071.webp</t>
        </is>
      </c>
      <c r="O72" s="15" t="inlineStr">
        <is>
          <t>soffit-paint-matsuyama</t>
        </is>
      </c>
      <c r="P72" s="15" t="inlineStr">
        <is>
          <t>軒天 塗装 松山市について、劣化症状、補修・塗装の判断基準、費用目安、外壁塗装と同時施工するメリットを解説します。</t>
        </is>
      </c>
      <c r="Q72" s="15" t="inlineStr">
        <is>
          <t>付帯部</t>
        </is>
      </c>
      <c r="R72" s="15" t="inlineStr">
        <is>
          <t>松山市、軒天、付帯部</t>
        </is>
      </c>
      <c r="S72" s="15" t="inlineStr">
        <is>
          <t>付帯部点検・外装劣化診断</t>
        </is>
      </c>
      <c r="T72" s="15" t="inlineStr">
        <is>
          <t>付帯部点検CTA</t>
        </is>
      </c>
      <c r="U72" s="15" t="inlineStr">
        <is>
          <t>外壁・屋根・付帯部を無料現地調査し、今すぐ必要な工事と様子を見られる箇所を分けてご案内します。</t>
        </is>
      </c>
      <c r="V72" s="15" t="inlineStr">
        <is>
          <t>軒天 塗装 松山市</t>
        </is>
      </c>
      <c r="W72" s="15" t="inlineStr">
        <is>
          <t>シミ・黒ずみ・剥がれは要注意</t>
        </is>
      </c>
      <c r="X72" s="15" t="inlineStr">
        <is>
          <t>補修と塗装の判断ポイント</t>
        </is>
      </c>
      <c r="Y72" s="15" t="inlineStr">
        <is>
          <t>軒天シミ・黒ずみ・住宅軒下</t>
        </is>
      </c>
      <c r="Z72" s="15" t="inlineStr">
        <is>
          <t>見上げる住人＋職人</t>
        </is>
      </c>
      <c r="AA72" s="15" t="inlineStr">
        <is>
          <t>松山市版</t>
        </is>
      </c>
      <c r="AB72" s="15" t="inlineStr">
        <is>
          <t>軒天訴求</t>
        </is>
      </c>
      <c r="AC72" s="15" t="inlineStr">
        <is>
          <t>未着手</t>
        </is>
      </c>
      <c r="AD72" s="15" t="inlineStr">
        <is>
          <t>未着手</t>
        </is>
      </c>
      <c r="AE72" s="15" t="inlineStr">
        <is>
          <t>未反映</t>
        </is>
      </c>
      <c r="AF72" s="15" t="inlineStr">
        <is>
          <t>未投稿</t>
        </is>
      </c>
      <c r="AG72" s="15" t="inlineStr">
        <is>
          <t>create_only</t>
        </is>
      </c>
      <c r="AH72" s="15" t="str"/>
      <c r="AI72" s="15" t="str"/>
      <c r="AJ72" s="69" t="str"/>
      <c r="AK72" s="69" t="str"/>
      <c r="AL72" s="15" t="str"/>
      <c r="AM72" s="15">
        <f>IF(AL72="","",IF(AL72&lt;I72,"不足",IF(AL72&gt;J72,"超過","OK")))</f>
        <v/>
      </c>
      <c r="AN72" s="15" t="str"/>
      <c r="AO72" s="15" t="inlineStr">
        <is>
          <t>関連：外壁塗装、雨樋、軒天、付帯部補修記事へリンク。</t>
        </is>
      </c>
      <c r="AP72" s="15" t="inlineStr">
        <is>
          <t>H1なし／この記事でわかること／地域事情／事例／原因・費用／CTA／FAQ</t>
        </is>
      </c>
      <c r="AQ72" s="15" t="str"/>
    </row>
    <row r="73">
      <c r="A73" s="15" t="n">
        <v>72</v>
      </c>
      <c r="B73" s="15" t="inlineStr">
        <is>
          <t>軒天 シミ 原因</t>
        </is>
      </c>
      <c r="C73" s="15" t="inlineStr">
        <is>
          <t>軒天 シミ 原因</t>
        </is>
      </c>
      <c r="D73" s="15" t="inlineStr">
        <is>
          <t>軒天のシミの原因とは？雨漏りとの関係と補修方法</t>
        </is>
      </c>
      <c r="E73" s="15" t="inlineStr">
        <is>
          <t>付帯部</t>
        </is>
      </c>
      <c r="F73" s="15" t="inlineStr">
        <is>
          <t>付帯部型</t>
        </is>
      </c>
      <c r="G73" s="15" t="inlineStr">
        <is>
          <t>原因・症状解説型</t>
        </is>
      </c>
      <c r="H73" s="15" t="inlineStr">
        <is>
          <t>4,500〜6,000字</t>
        </is>
      </c>
      <c r="I73" s="15" t="n">
        <v>4500</v>
      </c>
      <c r="J73" s="15" t="n">
        <v>6000</v>
      </c>
      <c r="K73" s="15" t="inlineStr">
        <is>
          <t>中</t>
        </is>
      </c>
      <c r="L73" s="15" t="inlineStr">
        <is>
          <t>第4ロット：雨樋・軒天・付帯部系</t>
        </is>
      </c>
      <c r="M73" s="15" t="inlineStr">
        <is>
          <t>072.md</t>
        </is>
      </c>
      <c r="N73" s="15" t="inlineStr">
        <is>
          <t>072.webp</t>
        </is>
      </c>
      <c r="O73" s="15" t="inlineStr">
        <is>
          <t>soffit-stain-cause</t>
        </is>
      </c>
      <c r="P73" s="15" t="inlineStr">
        <is>
          <t>軒天 シミ 原因について、劣化症状、補修・塗装の判断基準、費用目安、外壁塗装と同時施工するメリットを解説します。</t>
        </is>
      </c>
      <c r="Q73" s="15" t="inlineStr">
        <is>
          <t>付帯部</t>
        </is>
      </c>
      <c r="R73" s="15" t="inlineStr">
        <is>
          <t>軒天、付帯部</t>
        </is>
      </c>
      <c r="S73" s="15" t="inlineStr">
        <is>
          <t>付帯部点検・外装劣化診断</t>
        </is>
      </c>
      <c r="T73" s="15" t="inlineStr">
        <is>
          <t>付帯部点検CTA</t>
        </is>
      </c>
      <c r="U73" s="15" t="inlineStr">
        <is>
          <t>外壁・屋根・付帯部を無料現地調査し、今すぐ必要な工事と様子を見られる箇所を分けてご案内します。</t>
        </is>
      </c>
      <c r="V73" s="15" t="inlineStr">
        <is>
          <t>軒天 シミ 原因の原因は？</t>
        </is>
      </c>
      <c r="W73" s="15" t="inlineStr">
        <is>
          <t>放置リスクと対処法を解説</t>
        </is>
      </c>
      <c r="X73" s="15" t="inlineStr">
        <is>
          <t>早めの確認が大切</t>
        </is>
      </c>
      <c r="Y73" s="15" t="inlineStr">
        <is>
          <t>劣化箇所の拡大・雨染み・ひび割れ</t>
        </is>
      </c>
      <c r="Z73" s="15" t="inlineStr">
        <is>
          <t>職人</t>
        </is>
      </c>
      <c r="AA73" s="15" t="inlineStr">
        <is>
          <t>松山市版</t>
        </is>
      </c>
      <c r="AB73" s="15" t="inlineStr">
        <is>
          <t>原因解説訴求</t>
        </is>
      </c>
      <c r="AC73" s="15" t="inlineStr">
        <is>
          <t>未着手</t>
        </is>
      </c>
      <c r="AD73" s="15" t="inlineStr">
        <is>
          <t>未着手</t>
        </is>
      </c>
      <c r="AE73" s="15" t="inlineStr">
        <is>
          <t>未反映</t>
        </is>
      </c>
      <c r="AF73" s="15" t="inlineStr">
        <is>
          <t>未投稿</t>
        </is>
      </c>
      <c r="AG73" s="15" t="inlineStr">
        <is>
          <t>create_only</t>
        </is>
      </c>
      <c r="AH73" s="15" t="str"/>
      <c r="AI73" s="15" t="str"/>
      <c r="AJ73" s="69" t="str"/>
      <c r="AK73" s="69" t="str"/>
      <c r="AL73" s="15" t="str"/>
      <c r="AM73" s="15">
        <f>IF(AL73="","",IF(AL73&lt;I73,"不足",IF(AL73&gt;J73,"超過","OK")))</f>
        <v/>
      </c>
      <c r="AN73" s="15" t="str"/>
      <c r="AO73" s="15" t="inlineStr">
        <is>
          <t>関連：外壁塗装、雨樋、軒天、付帯部補修記事へリンク。</t>
        </is>
      </c>
      <c r="AP73" s="15" t="inlineStr">
        <is>
          <t>H1なし／この記事でわかること／地域事情／事例／原因・費用／CTA／FAQ</t>
        </is>
      </c>
      <c r="AQ73" s="15" t="str"/>
    </row>
    <row r="74">
      <c r="A74" s="15" t="n">
        <v>73</v>
      </c>
      <c r="B74" s="15" t="inlineStr">
        <is>
          <t>軒天 黒ずみ</t>
        </is>
      </c>
      <c r="C74" s="15" t="inlineStr">
        <is>
          <t>軒天 黒ずみ</t>
        </is>
      </c>
      <c r="D74" s="15" t="inlineStr">
        <is>
          <t>軒天の黒ずみは放置して大丈夫？原因・掃除・塗装の判断</t>
        </is>
      </c>
      <c r="E74" s="15" t="inlineStr">
        <is>
          <t>付帯部</t>
        </is>
      </c>
      <c r="F74" s="15" t="inlineStr">
        <is>
          <t>付帯部型</t>
        </is>
      </c>
      <c r="G74" s="15" t="inlineStr">
        <is>
          <t>地域サービス型</t>
        </is>
      </c>
      <c r="H74" s="15" t="inlineStr">
        <is>
          <t>4,000〜5,500字</t>
        </is>
      </c>
      <c r="I74" s="15" t="n">
        <v>4000</v>
      </c>
      <c r="J74" s="15" t="n">
        <v>5500</v>
      </c>
      <c r="K74" s="15" t="inlineStr">
        <is>
          <t>中</t>
        </is>
      </c>
      <c r="L74" s="15" t="inlineStr">
        <is>
          <t>第4ロット：雨樋・軒天・付帯部系</t>
        </is>
      </c>
      <c r="M74" s="15" t="inlineStr">
        <is>
          <t>073.md</t>
        </is>
      </c>
      <c r="N74" s="15" t="inlineStr">
        <is>
          <t>073.webp</t>
        </is>
      </c>
      <c r="O74" s="15" t="inlineStr">
        <is>
          <t>soffit-black-stain</t>
        </is>
      </c>
      <c r="P74" s="15" t="inlineStr">
        <is>
          <t>軒天 黒ずみについて、劣化症状、補修・塗装の判断基準、費用目安、外壁塗装と同時施工するメリットを解説します。</t>
        </is>
      </c>
      <c r="Q74" s="15" t="inlineStr">
        <is>
          <t>付帯部</t>
        </is>
      </c>
      <c r="R74" s="15" t="inlineStr">
        <is>
          <t>軒天、付帯部</t>
        </is>
      </c>
      <c r="S74" s="15" t="inlineStr">
        <is>
          <t>付帯部点検・外装劣化診断</t>
        </is>
      </c>
      <c r="T74" s="15" t="inlineStr">
        <is>
          <t>付帯部点検CTA</t>
        </is>
      </c>
      <c r="U74" s="15" t="inlineStr">
        <is>
          <t>外壁・屋根・付帯部を無料現地調査し、今すぐ必要な工事と様子を見られる箇所を分けてご案内します。</t>
        </is>
      </c>
      <c r="V74" s="15" t="inlineStr">
        <is>
          <t>軒天 黒ずみ</t>
        </is>
      </c>
      <c r="W74" s="15" t="inlineStr">
        <is>
          <t>シミ・黒ずみ・剥がれは要注意</t>
        </is>
      </c>
      <c r="X74" s="15" t="inlineStr">
        <is>
          <t>補修と塗装の判断ポイント</t>
        </is>
      </c>
      <c r="Y74" s="15" t="inlineStr">
        <is>
          <t>軒天シミ・黒ずみ・住宅軒下</t>
        </is>
      </c>
      <c r="Z74" s="15" t="inlineStr">
        <is>
          <t>見上げる住人＋職人</t>
        </is>
      </c>
      <c r="AA74" s="15" t="inlineStr">
        <is>
          <t>松山市版</t>
        </is>
      </c>
      <c r="AB74" s="15" t="inlineStr">
        <is>
          <t>軒天訴求</t>
        </is>
      </c>
      <c r="AC74" s="15" t="inlineStr">
        <is>
          <t>未着手</t>
        </is>
      </c>
      <c r="AD74" s="15" t="inlineStr">
        <is>
          <t>未着手</t>
        </is>
      </c>
      <c r="AE74" s="15" t="inlineStr">
        <is>
          <t>未反映</t>
        </is>
      </c>
      <c r="AF74" s="15" t="inlineStr">
        <is>
          <t>未投稿</t>
        </is>
      </c>
      <c r="AG74" s="15" t="inlineStr">
        <is>
          <t>create_only</t>
        </is>
      </c>
      <c r="AH74" s="15" t="str"/>
      <c r="AI74" s="15" t="str"/>
      <c r="AJ74" s="69" t="str"/>
      <c r="AK74" s="69" t="str"/>
      <c r="AL74" s="15" t="str"/>
      <c r="AM74" s="15">
        <f>IF(AL74="","",IF(AL74&lt;I74,"不足",IF(AL74&gt;J74,"超過","OK")))</f>
        <v/>
      </c>
      <c r="AN74" s="15" t="str"/>
      <c r="AO74" s="15" t="inlineStr">
        <is>
          <t>関連：外壁塗装、雨樋、軒天、付帯部補修記事へリンク。</t>
        </is>
      </c>
      <c r="AP74" s="15" t="inlineStr">
        <is>
          <t>H1なし／この記事でわかること／地域事情／事例／原因・費用／CTA／FAQ</t>
        </is>
      </c>
      <c r="AQ74" s="15" t="str"/>
    </row>
    <row r="75">
      <c r="A75" s="15" t="n">
        <v>74</v>
      </c>
      <c r="B75" s="15" t="inlineStr">
        <is>
          <t>軒天 カビ</t>
        </is>
      </c>
      <c r="C75" s="15" t="inlineStr">
        <is>
          <t>軒天 カビ</t>
        </is>
      </c>
      <c r="D75" s="15" t="inlineStr">
        <is>
          <t>軒天のカビの原因とは？雨漏りリスクと補修方法を解説</t>
        </is>
      </c>
      <c r="E75" s="15" t="inlineStr">
        <is>
          <t>付帯部</t>
        </is>
      </c>
      <c r="F75" s="15" t="inlineStr">
        <is>
          <t>付帯部型</t>
        </is>
      </c>
      <c r="G75" s="15" t="inlineStr">
        <is>
          <t>地域サービス型</t>
        </is>
      </c>
      <c r="H75" s="15" t="inlineStr">
        <is>
          <t>4,000〜5,500字</t>
        </is>
      </c>
      <c r="I75" s="15" t="n">
        <v>4000</v>
      </c>
      <c r="J75" s="15" t="n">
        <v>5500</v>
      </c>
      <c r="K75" s="15" t="inlineStr">
        <is>
          <t>中</t>
        </is>
      </c>
      <c r="L75" s="15" t="inlineStr">
        <is>
          <t>第4ロット：雨樋・軒天・付帯部系</t>
        </is>
      </c>
      <c r="M75" s="15" t="inlineStr">
        <is>
          <t>074.md</t>
        </is>
      </c>
      <c r="N75" s="15" t="inlineStr">
        <is>
          <t>074.webp</t>
        </is>
      </c>
      <c r="O75" s="15" t="inlineStr">
        <is>
          <t>soffit-mold</t>
        </is>
      </c>
      <c r="P75" s="15" t="inlineStr">
        <is>
          <t>軒天 カビについて、劣化症状、補修・塗装の判断基準、費用目安、外壁塗装と同時施工するメリットを解説します。</t>
        </is>
      </c>
      <c r="Q75" s="15" t="inlineStr">
        <is>
          <t>付帯部</t>
        </is>
      </c>
      <c r="R75" s="15" t="inlineStr">
        <is>
          <t>軒天、付帯部</t>
        </is>
      </c>
      <c r="S75" s="15" t="inlineStr">
        <is>
          <t>付帯部点検・外装劣化診断</t>
        </is>
      </c>
      <c r="T75" s="15" t="inlineStr">
        <is>
          <t>付帯部点検CTA</t>
        </is>
      </c>
      <c r="U75" s="15" t="inlineStr">
        <is>
          <t>外壁・屋根・付帯部を無料現地調査し、今すぐ必要な工事と様子を見られる箇所を分けてご案内します。</t>
        </is>
      </c>
      <c r="V75" s="15" t="inlineStr">
        <is>
          <t>軒天 カビ</t>
        </is>
      </c>
      <c r="W75" s="15" t="inlineStr">
        <is>
          <t>シミ・黒ずみ・剥がれは要注意</t>
        </is>
      </c>
      <c r="X75" s="15" t="inlineStr">
        <is>
          <t>補修と塗装の判断ポイント</t>
        </is>
      </c>
      <c r="Y75" s="15" t="inlineStr">
        <is>
          <t>軒天シミ・黒ずみ・住宅軒下</t>
        </is>
      </c>
      <c r="Z75" s="15" t="inlineStr">
        <is>
          <t>見上げる住人＋職人</t>
        </is>
      </c>
      <c r="AA75" s="15" t="inlineStr">
        <is>
          <t>松山市版</t>
        </is>
      </c>
      <c r="AB75" s="15" t="inlineStr">
        <is>
          <t>軒天訴求</t>
        </is>
      </c>
      <c r="AC75" s="15" t="inlineStr">
        <is>
          <t>未着手</t>
        </is>
      </c>
      <c r="AD75" s="15" t="inlineStr">
        <is>
          <t>未着手</t>
        </is>
      </c>
      <c r="AE75" s="15" t="inlineStr">
        <is>
          <t>未反映</t>
        </is>
      </c>
      <c r="AF75" s="15" t="inlineStr">
        <is>
          <t>未投稿</t>
        </is>
      </c>
      <c r="AG75" s="15" t="inlineStr">
        <is>
          <t>create_only</t>
        </is>
      </c>
      <c r="AH75" s="15" t="str"/>
      <c r="AI75" s="15" t="str"/>
      <c r="AJ75" s="69" t="str"/>
      <c r="AK75" s="69" t="str"/>
      <c r="AL75" s="15" t="str"/>
      <c r="AM75" s="15">
        <f>IF(AL75="","",IF(AL75&lt;I75,"不足",IF(AL75&gt;J75,"超過","OK")))</f>
        <v/>
      </c>
      <c r="AN75" s="15" t="str"/>
      <c r="AO75" s="15" t="inlineStr">
        <is>
          <t>関連：外壁塗装、雨樋、軒天、付帯部補修記事へリンク。</t>
        </is>
      </c>
      <c r="AP75" s="15" t="inlineStr">
        <is>
          <t>H1なし／この記事でわかること／地域事情／事例／原因・費用／CTA／FAQ</t>
        </is>
      </c>
      <c r="AQ75" s="15" t="str"/>
    </row>
    <row r="76">
      <c r="A76" s="15" t="n">
        <v>75</v>
      </c>
      <c r="B76" s="15" t="inlineStr">
        <is>
          <t>軒天 剥がれ</t>
        </is>
      </c>
      <c r="C76" s="15" t="inlineStr">
        <is>
          <t>軒天 剥がれ</t>
        </is>
      </c>
      <c r="D76" s="15" t="inlineStr">
        <is>
          <t>軒天の剥がれは補修が必要？原因・費用・放置リスク</t>
        </is>
      </c>
      <c r="E76" s="15" t="inlineStr">
        <is>
          <t>付帯部</t>
        </is>
      </c>
      <c r="F76" s="15" t="inlineStr">
        <is>
          <t>付帯部型</t>
        </is>
      </c>
      <c r="G76" s="15" t="inlineStr">
        <is>
          <t>地域サービス型</t>
        </is>
      </c>
      <c r="H76" s="15" t="inlineStr">
        <is>
          <t>4,500〜6,000字</t>
        </is>
      </c>
      <c r="I76" s="15" t="n">
        <v>4500</v>
      </c>
      <c r="J76" s="15" t="n">
        <v>6000</v>
      </c>
      <c r="K76" s="15" t="inlineStr">
        <is>
          <t>中</t>
        </is>
      </c>
      <c r="L76" s="15" t="inlineStr">
        <is>
          <t>第4ロット：雨樋・軒天・付帯部系</t>
        </is>
      </c>
      <c r="M76" s="15" t="inlineStr">
        <is>
          <t>075.md</t>
        </is>
      </c>
      <c r="N76" s="15" t="inlineStr">
        <is>
          <t>075.webp</t>
        </is>
      </c>
      <c r="O76" s="15" t="inlineStr">
        <is>
          <t>soffit-peeling</t>
        </is>
      </c>
      <c r="P76" s="15" t="inlineStr">
        <is>
          <t>軒天 剥がれについて、劣化症状、補修・塗装の判断基準、費用目安、外壁塗装と同時施工するメリットを解説します。</t>
        </is>
      </c>
      <c r="Q76" s="15" t="inlineStr">
        <is>
          <t>付帯部</t>
        </is>
      </c>
      <c r="R76" s="15" t="inlineStr">
        <is>
          <t>軒天、付帯部</t>
        </is>
      </c>
      <c r="S76" s="15" t="inlineStr">
        <is>
          <t>付帯部点検・外装劣化診断</t>
        </is>
      </c>
      <c r="T76" s="15" t="inlineStr">
        <is>
          <t>付帯部点検CTA</t>
        </is>
      </c>
      <c r="U76" s="15" t="inlineStr">
        <is>
          <t>外壁・屋根・付帯部を無料現地調査し、今すぐ必要な工事と様子を見られる箇所を分けてご案内します。</t>
        </is>
      </c>
      <c r="V76" s="15" t="inlineStr">
        <is>
          <t>軒天 剥がれ</t>
        </is>
      </c>
      <c r="W76" s="15" t="inlineStr">
        <is>
          <t>シミ・黒ずみ・剥がれは要注意</t>
        </is>
      </c>
      <c r="X76" s="15" t="inlineStr">
        <is>
          <t>補修と塗装の判断ポイント</t>
        </is>
      </c>
      <c r="Y76" s="15" t="inlineStr">
        <is>
          <t>軒天シミ・黒ずみ・住宅軒下</t>
        </is>
      </c>
      <c r="Z76" s="15" t="inlineStr">
        <is>
          <t>見上げる住人＋職人</t>
        </is>
      </c>
      <c r="AA76" s="15" t="inlineStr">
        <is>
          <t>松山市版</t>
        </is>
      </c>
      <c r="AB76" s="15" t="inlineStr">
        <is>
          <t>軒天訴求</t>
        </is>
      </c>
      <c r="AC76" s="15" t="inlineStr">
        <is>
          <t>未着手</t>
        </is>
      </c>
      <c r="AD76" s="15" t="inlineStr">
        <is>
          <t>未着手</t>
        </is>
      </c>
      <c r="AE76" s="15" t="inlineStr">
        <is>
          <t>未反映</t>
        </is>
      </c>
      <c r="AF76" s="15" t="inlineStr">
        <is>
          <t>未投稿</t>
        </is>
      </c>
      <c r="AG76" s="15" t="inlineStr">
        <is>
          <t>create_only</t>
        </is>
      </c>
      <c r="AH76" s="15" t="str"/>
      <c r="AI76" s="15" t="str"/>
      <c r="AJ76" s="69" t="str"/>
      <c r="AK76" s="69" t="str"/>
      <c r="AL76" s="15" t="str"/>
      <c r="AM76" s="15">
        <f>IF(AL76="","",IF(AL76&lt;I76,"不足",IF(AL76&gt;J76,"超過","OK")))</f>
        <v/>
      </c>
      <c r="AN76" s="15" t="str"/>
      <c r="AO76" s="15" t="inlineStr">
        <is>
          <t>関連：外壁塗装、雨樋、軒天、付帯部補修記事へリンク。</t>
        </is>
      </c>
      <c r="AP76" s="15" t="inlineStr">
        <is>
          <t>H1なし／この記事でわかること／地域事情／事例／原因・費用／CTA／FAQ</t>
        </is>
      </c>
      <c r="AQ76" s="15" t="str"/>
    </row>
    <row r="77">
      <c r="A77" s="15" t="n">
        <v>76</v>
      </c>
      <c r="B77" s="15" t="inlineStr">
        <is>
          <t>軒天 ベニヤ 張り替え</t>
        </is>
      </c>
      <c r="C77" s="15" t="inlineStr">
        <is>
          <t>軒天 ベニヤ 張り替え</t>
        </is>
      </c>
      <c r="D77" s="15" t="inlineStr">
        <is>
          <t>軒天ベニヤの張り替えはいつ必要？費用・材料・注意点</t>
        </is>
      </c>
      <c r="E77" s="15" t="inlineStr">
        <is>
          <t>付帯部</t>
        </is>
      </c>
      <c r="F77" s="15" t="inlineStr">
        <is>
          <t>付帯部型</t>
        </is>
      </c>
      <c r="G77" s="15" t="inlineStr">
        <is>
          <t>地域サービス型</t>
        </is>
      </c>
      <c r="H77" s="15" t="inlineStr">
        <is>
          <t>4,500〜6,000字</t>
        </is>
      </c>
      <c r="I77" s="15" t="n">
        <v>4500</v>
      </c>
      <c r="J77" s="15" t="n">
        <v>6000</v>
      </c>
      <c r="K77" s="15" t="inlineStr">
        <is>
          <t>中</t>
        </is>
      </c>
      <c r="L77" s="15" t="inlineStr">
        <is>
          <t>第4ロット：雨樋・軒天・付帯部系</t>
        </is>
      </c>
      <c r="M77" s="15" t="inlineStr">
        <is>
          <t>076.md</t>
        </is>
      </c>
      <c r="N77" s="15" t="inlineStr">
        <is>
          <t>076.webp</t>
        </is>
      </c>
      <c r="O77" s="15" t="inlineStr">
        <is>
          <t>soffit-plywood-replacement</t>
        </is>
      </c>
      <c r="P77" s="15" t="inlineStr">
        <is>
          <t>軒天 ベニヤ 張り替えについて、劣化症状、補修・塗装の判断基準、費用目安、外壁塗装と同時施工するメリットを解説します。</t>
        </is>
      </c>
      <c r="Q77" s="15" t="inlineStr">
        <is>
          <t>付帯部</t>
        </is>
      </c>
      <c r="R77" s="15" t="inlineStr">
        <is>
          <t>軒天、付帯部</t>
        </is>
      </c>
      <c r="S77" s="15" t="inlineStr">
        <is>
          <t>付帯部点検・外装劣化診断</t>
        </is>
      </c>
      <c r="T77" s="15" t="inlineStr">
        <is>
          <t>付帯部点検CTA</t>
        </is>
      </c>
      <c r="U77" s="15" t="inlineStr">
        <is>
          <t>外壁・屋根・付帯部を無料現地調査し、今すぐ必要な工事と様子を見られる箇所を分けてご案内します。</t>
        </is>
      </c>
      <c r="V77" s="15" t="inlineStr">
        <is>
          <t>軒天 ベニヤ 張り替え</t>
        </is>
      </c>
      <c r="W77" s="15" t="inlineStr">
        <is>
          <t>シミ・黒ずみ・剥がれは要注意</t>
        </is>
      </c>
      <c r="X77" s="15" t="inlineStr">
        <is>
          <t>補修と塗装の判断ポイント</t>
        </is>
      </c>
      <c r="Y77" s="15" t="inlineStr">
        <is>
          <t>軒天シミ・黒ずみ・住宅軒下</t>
        </is>
      </c>
      <c r="Z77" s="15" t="inlineStr">
        <is>
          <t>見上げる住人＋職人</t>
        </is>
      </c>
      <c r="AA77" s="15" t="inlineStr">
        <is>
          <t>松山市版</t>
        </is>
      </c>
      <c r="AB77" s="15" t="inlineStr">
        <is>
          <t>軒天訴求</t>
        </is>
      </c>
      <c r="AC77" s="15" t="inlineStr">
        <is>
          <t>未着手</t>
        </is>
      </c>
      <c r="AD77" s="15" t="inlineStr">
        <is>
          <t>未着手</t>
        </is>
      </c>
      <c r="AE77" s="15" t="inlineStr">
        <is>
          <t>未反映</t>
        </is>
      </c>
      <c r="AF77" s="15" t="inlineStr">
        <is>
          <t>未投稿</t>
        </is>
      </c>
      <c r="AG77" s="15" t="inlineStr">
        <is>
          <t>create_only</t>
        </is>
      </c>
      <c r="AH77" s="15" t="str"/>
      <c r="AI77" s="15" t="str"/>
      <c r="AJ77" s="69" t="str"/>
      <c r="AK77" s="69" t="str"/>
      <c r="AL77" s="15" t="str"/>
      <c r="AM77" s="15">
        <f>IF(AL77="","",IF(AL77&lt;I77,"不足",IF(AL77&gt;J77,"超過","OK")))</f>
        <v/>
      </c>
      <c r="AN77" s="15" t="str"/>
      <c r="AO77" s="15" t="inlineStr">
        <is>
          <t>関連：外壁塗装、雨樋、軒天、付帯部補修記事へリンク。</t>
        </is>
      </c>
      <c r="AP77" s="15" t="inlineStr">
        <is>
          <t>H1なし／この記事でわかること／地域事情／事例／原因・費用／CTA／FAQ</t>
        </is>
      </c>
      <c r="AQ77" s="15" t="str"/>
    </row>
    <row r="78">
      <c r="A78" s="15" t="n">
        <v>77</v>
      </c>
      <c r="B78" s="15" t="inlineStr">
        <is>
          <t>軒天 雨漏り</t>
        </is>
      </c>
      <c r="C78" s="15" t="inlineStr">
        <is>
          <t>軒天 雨漏り</t>
        </is>
      </c>
      <c r="D78" s="15" t="inlineStr">
        <is>
          <t>軒天の雨漏りはどこから？原因調査と補修方法を解説</t>
        </is>
      </c>
      <c r="E78" s="15" t="inlineStr">
        <is>
          <t>付帯部</t>
        </is>
      </c>
      <c r="F78" s="15" t="inlineStr">
        <is>
          <t>付帯部型</t>
        </is>
      </c>
      <c r="G78" s="15" t="inlineStr">
        <is>
          <t>地域サービス型</t>
        </is>
      </c>
      <c r="H78" s="15" t="inlineStr">
        <is>
          <t>4,500〜6,000字</t>
        </is>
      </c>
      <c r="I78" s="15" t="n">
        <v>4500</v>
      </c>
      <c r="J78" s="15" t="n">
        <v>6000</v>
      </c>
      <c r="K78" s="15" t="inlineStr">
        <is>
          <t>中</t>
        </is>
      </c>
      <c r="L78" s="15" t="inlineStr">
        <is>
          <t>第4ロット：雨樋・軒天・付帯部系</t>
        </is>
      </c>
      <c r="M78" s="15" t="inlineStr">
        <is>
          <t>077.md</t>
        </is>
      </c>
      <c r="N78" s="15" t="inlineStr">
        <is>
          <t>077.webp</t>
        </is>
      </c>
      <c r="O78" s="15" t="inlineStr">
        <is>
          <t>soffit-leak</t>
        </is>
      </c>
      <c r="P78" s="15" t="inlineStr">
        <is>
          <t>軒天 雨漏りについて、劣化症状、補修・塗装の判断基準、費用目安、外壁塗装と同時施工するメリットを解説します。</t>
        </is>
      </c>
      <c r="Q78" s="15" t="inlineStr">
        <is>
          <t>付帯部</t>
        </is>
      </c>
      <c r="R78" s="15" t="inlineStr">
        <is>
          <t>雨漏り、軒天、付帯部</t>
        </is>
      </c>
      <c r="S78" s="15" t="inlineStr">
        <is>
          <t>雨漏り無料点検・無料見積り</t>
        </is>
      </c>
      <c r="T78" s="15" t="inlineStr">
        <is>
          <t>雨漏り無料点検CTA</t>
        </is>
      </c>
      <c r="U78" s="15" t="inlineStr">
        <is>
          <t>松山市で雨漏りが気になる方は、まずは無料点検・無料見積りをご利用ください。原因を確認し、必要な工事だけをご提案します。</t>
        </is>
      </c>
      <c r="V78" s="15" t="inlineStr">
        <is>
          <t>軒天 雨漏り</t>
        </is>
      </c>
      <c r="W78" s="15" t="inlineStr">
        <is>
          <t>シミ・黒ずみ・剥がれは要注意</t>
        </is>
      </c>
      <c r="X78" s="15" t="inlineStr">
        <is>
          <t>補修と塗装の判断ポイント</t>
        </is>
      </c>
      <c r="Y78" s="15" t="inlineStr">
        <is>
          <t>軒天シミ・黒ずみ・住宅軒下</t>
        </is>
      </c>
      <c r="Z78" s="15" t="inlineStr">
        <is>
          <t>見上げる住人＋職人</t>
        </is>
      </c>
      <c r="AA78" s="15" t="inlineStr">
        <is>
          <t>松山市版</t>
        </is>
      </c>
      <c r="AB78" s="15" t="inlineStr">
        <is>
          <t>軒天訴求</t>
        </is>
      </c>
      <c r="AC78" s="15" t="inlineStr">
        <is>
          <t>未着手</t>
        </is>
      </c>
      <c r="AD78" s="15" t="inlineStr">
        <is>
          <t>未着手</t>
        </is>
      </c>
      <c r="AE78" s="15" t="inlineStr">
        <is>
          <t>未反映</t>
        </is>
      </c>
      <c r="AF78" s="15" t="inlineStr">
        <is>
          <t>未投稿</t>
        </is>
      </c>
      <c r="AG78" s="15" t="inlineStr">
        <is>
          <t>create_only</t>
        </is>
      </c>
      <c r="AH78" s="15" t="str"/>
      <c r="AI78" s="15" t="str"/>
      <c r="AJ78" s="69" t="str"/>
      <c r="AK78" s="69" t="str"/>
      <c r="AL78" s="15" t="str"/>
      <c r="AM78" s="15">
        <f>IF(AL78="","",IF(AL78&lt;I78,"不足",IF(AL78&gt;J78,"超過","OK")))</f>
        <v/>
      </c>
      <c r="AN78" s="15" t="str"/>
      <c r="AO78" s="15" t="inlineStr">
        <is>
          <t>関連：外壁塗装、雨樋、軒天、付帯部補修記事へリンク。</t>
        </is>
      </c>
      <c r="AP78" s="15" t="inlineStr">
        <is>
          <t>H1なし／この記事でわかること／地域事情／事例／原因・費用／CTA／FAQ</t>
        </is>
      </c>
      <c r="AQ78" s="15" t="str"/>
    </row>
    <row r="79">
      <c r="A79" s="15" t="n">
        <v>78</v>
      </c>
      <c r="B79" s="15" t="inlineStr">
        <is>
          <t>軒天 塗装 費用</t>
        </is>
      </c>
      <c r="C79" s="15" t="inlineStr">
        <is>
          <t>軒天 塗装 費用</t>
        </is>
      </c>
      <c r="D79" s="15" t="inlineStr">
        <is>
          <t>軒天塗装の費用相場はいくら？単価・足場代・注意点</t>
        </is>
      </c>
      <c r="E79" s="15" t="inlineStr">
        <is>
          <t>付帯部</t>
        </is>
      </c>
      <c r="F79" s="15" t="inlineStr">
        <is>
          <t>費用・相場型</t>
        </is>
      </c>
      <c r="G79" s="15" t="inlineStr">
        <is>
          <t>費用・相場型</t>
        </is>
      </c>
      <c r="H79" s="15" t="inlineStr">
        <is>
          <t>4,500〜6,000字</t>
        </is>
      </c>
      <c r="I79" s="15" t="n">
        <v>4500</v>
      </c>
      <c r="J79" s="15" t="n">
        <v>6000</v>
      </c>
      <c r="K79" s="15" t="inlineStr">
        <is>
          <t>中</t>
        </is>
      </c>
      <c r="L79" s="15" t="inlineStr">
        <is>
          <t>第4ロット：雨樋・軒天・付帯部系</t>
        </is>
      </c>
      <c r="M79" s="15" t="inlineStr">
        <is>
          <t>078.md</t>
        </is>
      </c>
      <c r="N79" s="15" t="inlineStr">
        <is>
          <t>078.webp</t>
        </is>
      </c>
      <c r="O79" s="15" t="inlineStr">
        <is>
          <t>soffit-paint-cost</t>
        </is>
      </c>
      <c r="P79" s="15" t="inlineStr">
        <is>
          <t>軒天 塗装 費用について、費用相場、内訳、金額が変わる要因、見積もり時の注意点をわかりやすく解説します。</t>
        </is>
      </c>
      <c r="Q79" s="15" t="inlineStr">
        <is>
          <t>付帯部</t>
        </is>
      </c>
      <c r="R79" s="15" t="inlineStr">
        <is>
          <t>軒天、費用、付帯部</t>
        </is>
      </c>
      <c r="S79" s="15" t="inlineStr">
        <is>
          <t>無料見積り・費用根拠の見える化</t>
        </is>
      </c>
      <c r="T79" s="15" t="inlineStr">
        <is>
          <t>無料見積りCTA</t>
        </is>
      </c>
      <c r="U79" s="15" t="inlineStr">
        <is>
          <t>費用は原因箇所や補修範囲で変わります。現地調査で状態を確認し、見積もりの根拠を写真付きでご説明します。</t>
        </is>
      </c>
      <c r="V79" s="15" t="inlineStr">
        <is>
          <t>軒天 塗装 費用</t>
        </is>
      </c>
      <c r="W79" s="15" t="inlineStr">
        <is>
          <t>シミ・黒ずみ・剥がれは要注意</t>
        </is>
      </c>
      <c r="X79" s="15" t="inlineStr">
        <is>
          <t>補修と塗装の判断ポイント</t>
        </is>
      </c>
      <c r="Y79" s="15" t="inlineStr">
        <is>
          <t>軒天シミ・黒ずみ・住宅軒下</t>
        </is>
      </c>
      <c r="Z79" s="15" t="inlineStr">
        <is>
          <t>見上げる住人＋職人</t>
        </is>
      </c>
      <c r="AA79" s="15" t="inlineStr">
        <is>
          <t>松山市版</t>
        </is>
      </c>
      <c r="AB79" s="15" t="inlineStr">
        <is>
          <t>軒天訴求</t>
        </is>
      </c>
      <c r="AC79" s="15" t="inlineStr">
        <is>
          <t>未着手</t>
        </is>
      </c>
      <c r="AD79" s="15" t="inlineStr">
        <is>
          <t>未着手</t>
        </is>
      </c>
      <c r="AE79" s="15" t="inlineStr">
        <is>
          <t>未反映</t>
        </is>
      </c>
      <c r="AF79" s="15" t="inlineStr">
        <is>
          <t>未投稿</t>
        </is>
      </c>
      <c r="AG79" s="15" t="inlineStr">
        <is>
          <t>create_only</t>
        </is>
      </c>
      <c r="AH79" s="15" t="str"/>
      <c r="AI79" s="15" t="str"/>
      <c r="AJ79" s="69" t="str"/>
      <c r="AK79" s="69" t="str"/>
      <c r="AL79" s="15" t="str"/>
      <c r="AM79" s="15">
        <f>IF(AL79="","",IF(AL79&lt;I79,"不足",IF(AL79&gt;J79,"超過","OK")))</f>
        <v/>
      </c>
      <c r="AN79" s="15" t="str"/>
      <c r="AO79" s="15" t="inlineStr">
        <is>
          <t>関連：外壁塗装、雨樋、軒天、付帯部補修記事へリンク。</t>
        </is>
      </c>
      <c r="AP79" s="15" t="inlineStr">
        <is>
          <t>H1なし／この記事でわかること／地域事情／事例／原因・費用／CTA／FAQ</t>
        </is>
      </c>
      <c r="AQ79" s="15" t="str"/>
    </row>
    <row r="80">
      <c r="A80" s="15" t="n">
        <v>79</v>
      </c>
      <c r="B80" s="15" t="inlineStr">
        <is>
          <t>軒天 補修</t>
        </is>
      </c>
      <c r="C80" s="15" t="inlineStr">
        <is>
          <t>軒天 補修</t>
        </is>
      </c>
      <c r="D80" s="15" t="inlineStr">
        <is>
          <t>軒天補修の方法とは？剥がれ・シミ・雨漏り症状別に解説</t>
        </is>
      </c>
      <c r="E80" s="15" t="inlineStr">
        <is>
          <t>付帯部</t>
        </is>
      </c>
      <c r="F80" s="15" t="inlineStr">
        <is>
          <t>付帯部型</t>
        </is>
      </c>
      <c r="G80" s="15" t="inlineStr">
        <is>
          <t>地域サービス型</t>
        </is>
      </c>
      <c r="H80" s="15" t="inlineStr">
        <is>
          <t>4,500〜6,000字</t>
        </is>
      </c>
      <c r="I80" s="15" t="n">
        <v>4500</v>
      </c>
      <c r="J80" s="15" t="n">
        <v>6000</v>
      </c>
      <c r="K80" s="15" t="inlineStr">
        <is>
          <t>中</t>
        </is>
      </c>
      <c r="L80" s="15" t="inlineStr">
        <is>
          <t>第4ロット：雨樋・軒天・付帯部系</t>
        </is>
      </c>
      <c r="M80" s="15" t="inlineStr">
        <is>
          <t>079.md</t>
        </is>
      </c>
      <c r="N80" s="15" t="inlineStr">
        <is>
          <t>079.webp</t>
        </is>
      </c>
      <c r="O80" s="15" t="inlineStr">
        <is>
          <t>soffit-repair</t>
        </is>
      </c>
      <c r="P80" s="15" t="inlineStr">
        <is>
          <t>軒天 補修について、劣化症状、補修・塗装の判断基準、費用目安、外壁塗装と同時施工するメリットを解説します。</t>
        </is>
      </c>
      <c r="Q80" s="15" t="inlineStr">
        <is>
          <t>付帯部</t>
        </is>
      </c>
      <c r="R80" s="15" t="inlineStr">
        <is>
          <t>軒天、付帯部</t>
        </is>
      </c>
      <c r="S80" s="15" t="inlineStr">
        <is>
          <t>付帯部点検・外装劣化診断</t>
        </is>
      </c>
      <c r="T80" s="15" t="inlineStr">
        <is>
          <t>付帯部点検CTA</t>
        </is>
      </c>
      <c r="U80" s="15" t="inlineStr">
        <is>
          <t>外壁・屋根・付帯部を無料現地調査し、今すぐ必要な工事と様子を見られる箇所を分けてご案内します。</t>
        </is>
      </c>
      <c r="V80" s="15" t="inlineStr">
        <is>
          <t>軒天 補修</t>
        </is>
      </c>
      <c r="W80" s="15" t="inlineStr">
        <is>
          <t>シミ・黒ずみ・剥がれは要注意</t>
        </is>
      </c>
      <c r="X80" s="15" t="inlineStr">
        <is>
          <t>補修と塗装の判断ポイント</t>
        </is>
      </c>
      <c r="Y80" s="15" t="inlineStr">
        <is>
          <t>軒天シミ・黒ずみ・住宅軒下</t>
        </is>
      </c>
      <c r="Z80" s="15" t="inlineStr">
        <is>
          <t>見上げる住人＋職人</t>
        </is>
      </c>
      <c r="AA80" s="15" t="inlineStr">
        <is>
          <t>松山市版</t>
        </is>
      </c>
      <c r="AB80" s="15" t="inlineStr">
        <is>
          <t>軒天訴求</t>
        </is>
      </c>
      <c r="AC80" s="15" t="inlineStr">
        <is>
          <t>未着手</t>
        </is>
      </c>
      <c r="AD80" s="15" t="inlineStr">
        <is>
          <t>未着手</t>
        </is>
      </c>
      <c r="AE80" s="15" t="inlineStr">
        <is>
          <t>未反映</t>
        </is>
      </c>
      <c r="AF80" s="15" t="inlineStr">
        <is>
          <t>未投稿</t>
        </is>
      </c>
      <c r="AG80" s="15" t="inlineStr">
        <is>
          <t>create_only</t>
        </is>
      </c>
      <c r="AH80" s="15" t="str"/>
      <c r="AI80" s="15" t="str"/>
      <c r="AJ80" s="69" t="str"/>
      <c r="AK80" s="69" t="str"/>
      <c r="AL80" s="15" t="str"/>
      <c r="AM80" s="15">
        <f>IF(AL80="","",IF(AL80&lt;I80,"不足",IF(AL80&gt;J80,"超過","OK")))</f>
        <v/>
      </c>
      <c r="AN80" s="15" t="str"/>
      <c r="AO80" s="15" t="inlineStr">
        <is>
          <t>関連：外壁塗装、雨樋、軒天、付帯部補修記事へリンク。</t>
        </is>
      </c>
      <c r="AP80" s="15" t="inlineStr">
        <is>
          <t>H1なし／この記事でわかること／地域事情／事例／原因・費用／CTA／FAQ</t>
        </is>
      </c>
      <c r="AQ80" s="15" t="str"/>
    </row>
    <row r="81">
      <c r="A81" s="15" t="n">
        <v>80</v>
      </c>
      <c r="B81" s="15" t="inlineStr">
        <is>
          <t>軒天 材料 種類</t>
        </is>
      </c>
      <c r="C81" s="15" t="inlineStr">
        <is>
          <t>軒天 材料 種類</t>
        </is>
      </c>
      <c r="D81" s="15" t="inlineStr">
        <is>
          <t>軒天の材料には何がある？種類・特徴・選び方を解説</t>
        </is>
      </c>
      <c r="E81" s="15" t="inlineStr">
        <is>
          <t>付帯部</t>
        </is>
      </c>
      <c r="F81" s="15" t="inlineStr">
        <is>
          <t>付帯部型</t>
        </is>
      </c>
      <c r="G81" s="15" t="inlineStr">
        <is>
          <t>地域サービス型</t>
        </is>
      </c>
      <c r="H81" s="15" t="inlineStr">
        <is>
          <t>4,500〜6,000字</t>
        </is>
      </c>
      <c r="I81" s="15" t="n">
        <v>4500</v>
      </c>
      <c r="J81" s="15" t="n">
        <v>6000</v>
      </c>
      <c r="K81" s="15" t="inlineStr">
        <is>
          <t>中</t>
        </is>
      </c>
      <c r="L81" s="15" t="inlineStr">
        <is>
          <t>第4ロット：雨樋・軒天・付帯部系</t>
        </is>
      </c>
      <c r="M81" s="15" t="inlineStr">
        <is>
          <t>080.md</t>
        </is>
      </c>
      <c r="N81" s="15" t="inlineStr">
        <is>
          <t>080.webp</t>
        </is>
      </c>
      <c r="O81" s="15" t="inlineStr">
        <is>
          <t>soffit-material-types</t>
        </is>
      </c>
      <c r="P81" s="15" t="inlineStr">
        <is>
          <t>軒天 材料 種類について、劣化症状、補修・塗装の判断基準、費用目安、外壁塗装と同時施工するメリットを解説します。</t>
        </is>
      </c>
      <c r="Q81" s="15" t="inlineStr">
        <is>
          <t>付帯部</t>
        </is>
      </c>
      <c r="R81" s="15" t="inlineStr">
        <is>
          <t>軒天、付帯部</t>
        </is>
      </c>
      <c r="S81" s="15" t="inlineStr">
        <is>
          <t>付帯部点検・外装劣化診断</t>
        </is>
      </c>
      <c r="T81" s="15" t="inlineStr">
        <is>
          <t>付帯部点検CTA</t>
        </is>
      </c>
      <c r="U81" s="15" t="inlineStr">
        <is>
          <t>外壁・屋根・付帯部を無料現地調査し、今すぐ必要な工事と様子を見られる箇所を分けてご案内します。</t>
        </is>
      </c>
      <c r="V81" s="15" t="inlineStr">
        <is>
          <t>軒天 材料 種類</t>
        </is>
      </c>
      <c r="W81" s="15" t="inlineStr">
        <is>
          <t>シミ・黒ずみ・剥がれは要注意</t>
        </is>
      </c>
      <c r="X81" s="15" t="inlineStr">
        <is>
          <t>補修と塗装の判断ポイント</t>
        </is>
      </c>
      <c r="Y81" s="15" t="inlineStr">
        <is>
          <t>軒天シミ・黒ずみ・住宅軒下</t>
        </is>
      </c>
      <c r="Z81" s="15" t="inlineStr">
        <is>
          <t>見上げる住人＋職人</t>
        </is>
      </c>
      <c r="AA81" s="15" t="inlineStr">
        <is>
          <t>松山市版</t>
        </is>
      </c>
      <c r="AB81" s="15" t="inlineStr">
        <is>
          <t>軒天訴求</t>
        </is>
      </c>
      <c r="AC81" s="15" t="inlineStr">
        <is>
          <t>未着手</t>
        </is>
      </c>
      <c r="AD81" s="15" t="inlineStr">
        <is>
          <t>未着手</t>
        </is>
      </c>
      <c r="AE81" s="15" t="inlineStr">
        <is>
          <t>未反映</t>
        </is>
      </c>
      <c r="AF81" s="15" t="inlineStr">
        <is>
          <t>未投稿</t>
        </is>
      </c>
      <c r="AG81" s="15" t="inlineStr">
        <is>
          <t>create_only</t>
        </is>
      </c>
      <c r="AH81" s="15" t="str"/>
      <c r="AI81" s="15" t="str"/>
      <c r="AJ81" s="69" t="str"/>
      <c r="AK81" s="69" t="str"/>
      <c r="AL81" s="15" t="str"/>
      <c r="AM81" s="15">
        <f>IF(AL81="","",IF(AL81&lt;I81,"不足",IF(AL81&gt;J81,"超過","OK")))</f>
        <v/>
      </c>
      <c r="AN81" s="15" t="str"/>
      <c r="AO81" s="15" t="inlineStr">
        <is>
          <t>関連：外壁塗装、雨樋、軒天、付帯部補修記事へリンク。</t>
        </is>
      </c>
      <c r="AP81" s="15" t="inlineStr">
        <is>
          <t>H1なし／この記事でわかること／地域事情／事例／原因・費用／CTA／FAQ</t>
        </is>
      </c>
      <c r="AQ81" s="15" t="str"/>
    </row>
  </sheetData>
  <conditionalFormatting sqref="AC2:AC81">
    <cfRule type="expression" priority="1" dxfId="0">
      <formula>AC2="完了"</formula>
    </cfRule>
    <cfRule type="expression" priority="2" dxfId="0">
      <formula>AC2="OK"</formula>
    </cfRule>
    <cfRule type="expression" priority="3" dxfId="2">
      <formula>AC2="error"</formula>
    </cfRule>
    <cfRule type="expression" priority="4" dxfId="3">
      <formula>AC2="不足"</formula>
    </cfRule>
    <cfRule type="expression" priority="5" dxfId="2">
      <formula>AC2="超過"</formula>
    </cfRule>
    <cfRule type="expression" priority="6" dxfId="3">
      <formula>AC2="差替必要"</formula>
    </cfRule>
    <cfRule type="expression" priority="7" dxfId="3">
      <formula>AC2="要再編集"</formula>
    </cfRule>
  </conditionalFormatting>
  <conditionalFormatting sqref="AD2:AD81">
    <cfRule type="expression" priority="8" dxfId="0">
      <formula>AD2="完了"</formula>
    </cfRule>
    <cfRule type="expression" priority="9" dxfId="0">
      <formula>AD2="OK"</formula>
    </cfRule>
    <cfRule type="expression" priority="10" dxfId="2">
      <formula>AD2="error"</formula>
    </cfRule>
    <cfRule type="expression" priority="11" dxfId="3">
      <formula>AD2="不足"</formula>
    </cfRule>
    <cfRule type="expression" priority="12" dxfId="2">
      <formula>AD2="超過"</formula>
    </cfRule>
    <cfRule type="expression" priority="13" dxfId="3">
      <formula>AD2="差替必要"</formula>
    </cfRule>
    <cfRule type="expression" priority="14" dxfId="3">
      <formula>AD2="要再編集"</formula>
    </cfRule>
  </conditionalFormatting>
  <conditionalFormatting sqref="AE2:AE81">
    <cfRule type="expression" priority="15" dxfId="0">
      <formula>AE2="完了"</formula>
    </cfRule>
    <cfRule type="expression" priority="16" dxfId="0">
      <formula>AE2="OK"</formula>
    </cfRule>
    <cfRule type="expression" priority="17" dxfId="2">
      <formula>AE2="error"</formula>
    </cfRule>
    <cfRule type="expression" priority="18" dxfId="3">
      <formula>AE2="不足"</formula>
    </cfRule>
    <cfRule type="expression" priority="19" dxfId="2">
      <formula>AE2="超過"</formula>
    </cfRule>
    <cfRule type="expression" priority="20" dxfId="3">
      <formula>AE2="差替必要"</formula>
    </cfRule>
    <cfRule type="expression" priority="21" dxfId="3">
      <formula>AE2="要再編集"</formula>
    </cfRule>
  </conditionalFormatting>
  <conditionalFormatting sqref="AF2:AF81">
    <cfRule type="expression" priority="22" dxfId="0">
      <formula>AF2="完了"</formula>
    </cfRule>
    <cfRule type="expression" priority="23" dxfId="0">
      <formula>AF2="OK"</formula>
    </cfRule>
    <cfRule type="expression" priority="24" dxfId="2">
      <formula>AF2="error"</formula>
    </cfRule>
    <cfRule type="expression" priority="25" dxfId="3">
      <formula>AF2="不足"</formula>
    </cfRule>
    <cfRule type="expression" priority="26" dxfId="2">
      <formula>AF2="超過"</formula>
    </cfRule>
    <cfRule type="expression" priority="27" dxfId="3">
      <formula>AF2="差替必要"</formula>
    </cfRule>
    <cfRule type="expression" priority="28" dxfId="3">
      <formula>AF2="要再編集"</formula>
    </cfRule>
  </conditionalFormatting>
  <conditionalFormatting sqref="AM2:AM81">
    <cfRule type="expression" priority="29" dxfId="0">
      <formula>AM2="完了"</formula>
    </cfRule>
    <cfRule type="expression" priority="30" dxfId="0">
      <formula>AM2="OK"</formula>
    </cfRule>
    <cfRule type="expression" priority="31" dxfId="2">
      <formula>AM2="error"</formula>
    </cfRule>
    <cfRule type="expression" priority="32" dxfId="3">
      <formula>AM2="不足"</formula>
    </cfRule>
    <cfRule type="expression" priority="33" dxfId="2">
      <formula>AM2="超過"</formula>
    </cfRule>
    <cfRule type="expression" priority="34" dxfId="3">
      <formula>AM2="差替必要"</formula>
    </cfRule>
    <cfRule type="expression" priority="35" dxfId="3">
      <formula>AM2="要再編集"</formula>
    </cfRule>
  </conditionalFormatting>
  <dataValidations count="9">
    <dataValidation sqref="AC2:AC81" showDropDown="0" showInputMessage="0" showErrorMessage="0" allowBlank="0" type="list">
      <formula1>設定!$A$2:$A$7</formula1>
    </dataValidation>
    <dataValidation sqref="AD2:AD81" showDropDown="0" showInputMessage="0" showErrorMessage="0" allowBlank="0" type="list">
      <formula1>設定!$B$2:$B$7</formula1>
    </dataValidation>
    <dataValidation sqref="AE2:AE81" showDropDown="0" showInputMessage="0" showErrorMessage="0" allowBlank="0" type="list">
      <formula1>設定!$C$2:$C$5</formula1>
    </dataValidation>
    <dataValidation sqref="AF2:AF81" showDropDown="0" showInputMessage="0" showErrorMessage="0" allowBlank="0" type="list">
      <formula1>設定!$D$2:$D$9</formula1>
    </dataValidation>
    <dataValidation sqref="AG2:AG81" showDropDown="0" showInputMessage="0" showErrorMessage="0" allowBlank="0" type="list">
      <formula1>設定!$E$2:$E$4</formula1>
    </dataValidation>
    <dataValidation sqref="S2:S81" showDropDown="0" showInputMessage="0" showErrorMessage="0" allowBlank="0" type="list">
      <formula1>設定!$F$2:$F$10</formula1>
    </dataValidation>
    <dataValidation sqref="T2:T81" showDropDown="0" showInputMessage="0" showErrorMessage="0" allowBlank="0" type="list">
      <formula1>設定!$G$2:$G$8</formula1>
    </dataValidation>
    <dataValidation sqref="G2:G81" showDropDown="0" showInputMessage="0" showErrorMessage="0" allowBlank="0" type="list">
      <formula1>設定!$H$2:$H$7</formula1>
    </dataValidation>
    <dataValidation sqref="AB2:AB81" showDropDown="0" showInputMessage="0" showErrorMessage="0" allowBlank="0" type="list">
      <formula1>設定!$I$2:$I$13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81"/>
  <sheetViews>
    <sheetView workbookViewId="0">
      <selection activeCell="A1" sqref="A1"/>
    </sheetView>
  </sheetViews>
  <sheetFormatPr baseColWidth="8" defaultRowHeight="15"/>
  <cols>
    <col width="6" customWidth="1" min="1" max="1"/>
    <col width="24" customWidth="1" min="2" max="2"/>
    <col width="12" customWidth="1" min="3" max="3"/>
    <col width="28" customWidth="1" min="4" max="4"/>
    <col width="36" customWidth="1" min="5" max="5"/>
    <col width="32" customWidth="1" min="6" max="6"/>
    <col width="38" customWidth="1" min="7" max="7"/>
    <col width="26" customWidth="1" min="8" max="8"/>
    <col width="14" customWidth="1" min="9" max="9"/>
    <col width="24" customWidth="1" min="10" max="10"/>
    <col width="20" customWidth="1" min="11" max="11"/>
  </cols>
  <sheetData>
    <row r="1">
      <c r="A1" s="29" t="inlineStr">
        <is>
          <t>No</t>
        </is>
      </c>
      <c r="B1" s="29" t="inlineStr">
        <is>
          <t>指定KW</t>
        </is>
      </c>
      <c r="C1" s="29" t="inlineStr">
        <is>
          <t>画像ファイル名</t>
        </is>
      </c>
      <c r="D1" s="29" t="inlineStr">
        <is>
          <t>アイキャッチ主コピー</t>
        </is>
      </c>
      <c r="E1" s="29" t="inlineStr">
        <is>
          <t>アイキャッチサブコピー</t>
        </is>
      </c>
      <c r="F1" s="29" t="inlineStr">
        <is>
          <t>補助コピー</t>
        </is>
      </c>
      <c r="G1" s="29" t="inlineStr">
        <is>
          <t>背景モチーフ</t>
        </is>
      </c>
      <c r="H1" s="29" t="inlineStr">
        <is>
          <t>人物モチーフ</t>
        </is>
      </c>
      <c r="I1" s="29" t="inlineStr">
        <is>
          <t>地域要素</t>
        </is>
      </c>
      <c r="J1" s="29" t="inlineStr">
        <is>
          <t>方向性</t>
        </is>
      </c>
      <c r="K1" s="29" t="inlineStr">
        <is>
          <t>備考</t>
        </is>
      </c>
    </row>
    <row r="2">
      <c r="A2" s="12" t="n">
        <v>1</v>
      </c>
      <c r="B2" s="12" t="inlineStr">
        <is>
          <t>松山市 雨漏り修理</t>
        </is>
      </c>
      <c r="C2" s="12" t="inlineStr">
        <is>
          <t>001.webp</t>
        </is>
      </c>
      <c r="D2" s="12" t="inlineStr">
        <is>
          <t>松山市の雨漏り修理</t>
        </is>
      </c>
      <c r="E2" s="12" t="inlineStr">
        <is>
          <t>原因・費用・業者選びをプロが解説</t>
        </is>
      </c>
      <c r="F2" s="12" t="inlineStr">
        <is>
          <t>無料点検受付中</t>
        </is>
      </c>
      <c r="G2" s="12" t="inlineStr">
        <is>
          <t>天井シミ・雨だれ・屋根点検</t>
        </is>
      </c>
      <c r="H2" s="12" t="inlineStr">
        <is>
          <t>ヘルメットの職人</t>
        </is>
      </c>
      <c r="I2" s="12" t="inlineStr">
        <is>
          <t>松山市版</t>
        </is>
      </c>
      <c r="J2" s="12" t="inlineStr">
        <is>
          <t>強めサムネ・雨漏り訴求</t>
        </is>
      </c>
      <c r="K2" s="12" t="str"/>
    </row>
    <row r="3">
      <c r="A3" s="12" t="n">
        <v>2</v>
      </c>
      <c r="B3" s="12" t="inlineStr">
        <is>
          <t>松山市 雨漏り調査</t>
        </is>
      </c>
      <c r="C3" s="12" t="inlineStr">
        <is>
          <t>002.webp</t>
        </is>
      </c>
      <c r="D3" s="12" t="inlineStr">
        <is>
          <t>雨漏り調査は原因特定が命</t>
        </is>
      </c>
      <c r="E3" s="12" t="inlineStr">
        <is>
          <t>散水調査・写真付き診断を解説</t>
        </is>
      </c>
      <c r="F3" s="12" t="inlineStr">
        <is>
          <t>見えない侵入口を確認</t>
        </is>
      </c>
      <c r="G3" s="12" t="inlineStr">
        <is>
          <t>外壁ひび割れ・サッシ・虫眼鏡</t>
        </is>
      </c>
      <c r="H3" s="12" t="inlineStr">
        <is>
          <t>虫眼鏡を持つ職人</t>
        </is>
      </c>
      <c r="I3" s="12" t="inlineStr">
        <is>
          <t>松山市版</t>
        </is>
      </c>
      <c r="J3" s="12" t="inlineStr">
        <is>
          <t>調査訴求・原因特定</t>
        </is>
      </c>
      <c r="K3" s="12" t="str"/>
    </row>
    <row r="4">
      <c r="A4" s="12" t="n">
        <v>3</v>
      </c>
      <c r="B4" s="12" t="inlineStr">
        <is>
          <t>松山市 雨漏り診断</t>
        </is>
      </c>
      <c r="C4" s="12" t="inlineStr">
        <is>
          <t>003.webp</t>
        </is>
      </c>
      <c r="D4" s="12" t="inlineStr">
        <is>
          <t>これって雨漏り？</t>
        </is>
      </c>
      <c r="E4" s="12" t="inlineStr">
        <is>
          <t>天井シミ・壁紙浮き・カビ臭を確認</t>
        </is>
      </c>
      <c r="F4" s="12" t="inlineStr">
        <is>
          <t>無料現地診断でチェック</t>
        </is>
      </c>
      <c r="G4" s="12" t="inlineStr">
        <is>
          <t>住宅外観・チェックリスト・雨染み</t>
        </is>
      </c>
      <c r="H4" s="12" t="inlineStr">
        <is>
          <t>困った住人＋職人</t>
        </is>
      </c>
      <c r="I4" s="12" t="inlineStr">
        <is>
          <t>松山市版</t>
        </is>
      </c>
      <c r="J4" s="12" t="inlineStr">
        <is>
          <t>診断訴求・不安解消</t>
        </is>
      </c>
      <c r="K4" s="12" t="str"/>
    </row>
    <row r="5">
      <c r="A5" s="12" t="n">
        <v>4</v>
      </c>
      <c r="B5" s="12" t="inlineStr">
        <is>
          <t>松山市 雨漏り業者</t>
        </is>
      </c>
      <c r="C5" s="12" t="inlineStr">
        <is>
          <t>004.webp</t>
        </is>
      </c>
      <c r="D5" s="12" t="inlineStr">
        <is>
          <t>雨漏り業者の選び方</t>
        </is>
      </c>
      <c r="E5" s="12" t="inlineStr">
        <is>
          <t>安さだけで選ぶと危険!?</t>
        </is>
      </c>
      <c r="F5" s="12" t="inlineStr">
        <is>
          <t>見積り・保証・原因説明</t>
        </is>
      </c>
      <c r="G5" s="12" t="inlineStr">
        <is>
          <t>見積書・住宅外観・比較表</t>
        </is>
      </c>
      <c r="H5" s="12" t="inlineStr">
        <is>
          <t>考える住人＋職人</t>
        </is>
      </c>
      <c r="I5" s="12" t="inlineStr">
        <is>
          <t>松山市版</t>
        </is>
      </c>
      <c r="J5" s="12" t="inlineStr">
        <is>
          <t>業者選び訴求</t>
        </is>
      </c>
      <c r="K5" s="12" t="str"/>
    </row>
    <row r="6">
      <c r="A6" s="12" t="n">
        <v>5</v>
      </c>
      <c r="B6" s="12" t="inlineStr">
        <is>
          <t>松山市 雨漏り修理 費用</t>
        </is>
      </c>
      <c r="C6" s="12" t="inlineStr">
        <is>
          <t>005.webp</t>
        </is>
      </c>
      <c r="D6" s="12" t="inlineStr">
        <is>
          <t>雨漏り修理の費用はいくら？</t>
        </is>
      </c>
      <c r="E6" s="12" t="inlineStr">
        <is>
          <t>相場と内訳を職人が解説</t>
        </is>
      </c>
      <c r="F6" s="12" t="inlineStr">
        <is>
          <t>応急処置／屋根補修／防水工事</t>
        </is>
      </c>
      <c r="G6" s="12" t="inlineStr">
        <is>
          <t>見積書・天井シミ・屋根修理の現場</t>
        </is>
      </c>
      <c r="H6" s="12" t="inlineStr">
        <is>
          <t>不安そうな住人＋職人</t>
        </is>
      </c>
      <c r="I6" s="12" t="inlineStr">
        <is>
          <t>松山市版</t>
        </is>
      </c>
      <c r="J6" s="12" t="inlineStr">
        <is>
          <t>強めサムネ・費用訴求</t>
        </is>
      </c>
      <c r="K6" s="12" t="str"/>
    </row>
    <row r="7">
      <c r="A7" s="12" t="n">
        <v>6</v>
      </c>
      <c r="B7" s="12" t="inlineStr">
        <is>
          <t>松山市 雨漏り 原因</t>
        </is>
      </c>
      <c r="C7" s="12" t="inlineStr">
        <is>
          <t>006.webp</t>
        </is>
      </c>
      <c r="D7" s="12" t="inlineStr">
        <is>
          <t>雨漏り 原因の原因は？</t>
        </is>
      </c>
      <c r="E7" s="12" t="inlineStr">
        <is>
          <t>放置リスクと対処法を解説</t>
        </is>
      </c>
      <c r="F7" s="12" t="inlineStr">
        <is>
          <t>早めの確認が大切</t>
        </is>
      </c>
      <c r="G7" s="12" t="inlineStr">
        <is>
          <t>劣化箇所の拡大・雨染み・ひび割れ</t>
        </is>
      </c>
      <c r="H7" s="12" t="inlineStr">
        <is>
          <t>職人</t>
        </is>
      </c>
      <c r="I7" s="12" t="inlineStr">
        <is>
          <t>松山市版</t>
        </is>
      </c>
      <c r="J7" s="12" t="inlineStr">
        <is>
          <t>原因解説訴求</t>
        </is>
      </c>
      <c r="K7" s="12" t="str"/>
    </row>
    <row r="8">
      <c r="A8" s="12" t="n">
        <v>7</v>
      </c>
      <c r="B8" s="12" t="inlineStr">
        <is>
          <t>松山市 ベランダ雨漏り</t>
        </is>
      </c>
      <c r="C8" s="12" t="inlineStr">
        <is>
          <t>007.webp</t>
        </is>
      </c>
      <c r="D8" s="12" t="inlineStr">
        <is>
          <t>ベランダ雨漏り</t>
        </is>
      </c>
      <c r="E8" s="12" t="inlineStr">
        <is>
          <t>雨漏り前に防水状態をチェック</t>
        </is>
      </c>
      <c r="F8" s="12" t="inlineStr">
        <is>
          <t>費用・耐用年数を解説</t>
        </is>
      </c>
      <c r="G8" s="12" t="inlineStr">
        <is>
          <t>ベランダ床・防水層・排水口</t>
        </is>
      </c>
      <c r="H8" s="12" t="inlineStr">
        <is>
          <t>点検する職人</t>
        </is>
      </c>
      <c r="I8" s="12" t="inlineStr">
        <is>
          <t>松山市版</t>
        </is>
      </c>
      <c r="J8" s="12" t="inlineStr">
        <is>
          <t>防水訴求</t>
        </is>
      </c>
      <c r="K8" s="12" t="str"/>
    </row>
    <row r="9">
      <c r="A9" s="12" t="n">
        <v>8</v>
      </c>
      <c r="B9" s="12" t="inlineStr">
        <is>
          <t>松山市 サッシ雨漏り</t>
        </is>
      </c>
      <c r="C9" s="12" t="inlineStr">
        <is>
          <t>008.webp</t>
        </is>
      </c>
      <c r="D9" s="12" t="inlineStr">
        <is>
          <t>サッシ雨漏り</t>
        </is>
      </c>
      <c r="E9" s="12" t="inlineStr">
        <is>
          <t>症状・費用・注意点を解説</t>
        </is>
      </c>
      <c r="F9" s="12" t="inlineStr">
        <is>
          <t>プロが分かりやすく解説</t>
        </is>
      </c>
      <c r="G9" s="12" t="inlineStr">
        <is>
          <t>住宅外観・劣化箇所</t>
        </is>
      </c>
      <c r="H9" s="12" t="inlineStr">
        <is>
          <t>職人</t>
        </is>
      </c>
      <c r="I9" s="12" t="inlineStr">
        <is>
          <t>松山市版</t>
        </is>
      </c>
      <c r="J9" s="12" t="inlineStr">
        <is>
          <t>汎用外装訴求</t>
        </is>
      </c>
      <c r="K9" s="12" t="str"/>
    </row>
    <row r="10">
      <c r="A10" s="12" t="n">
        <v>9</v>
      </c>
      <c r="B10" s="12" t="inlineStr">
        <is>
          <t>松山市 外壁雨漏り</t>
        </is>
      </c>
      <c r="C10" s="12" t="inlineStr">
        <is>
          <t>009.webp</t>
        </is>
      </c>
      <c r="D10" s="12" t="inlineStr">
        <is>
          <t>外壁雨漏り</t>
        </is>
      </c>
      <c r="E10" s="12" t="inlineStr">
        <is>
          <t>症状・費用・注意点を解説</t>
        </is>
      </c>
      <c r="F10" s="12" t="inlineStr">
        <is>
          <t>プロが分かりやすく解説</t>
        </is>
      </c>
      <c r="G10" s="12" t="inlineStr">
        <is>
          <t>住宅外観・劣化箇所</t>
        </is>
      </c>
      <c r="H10" s="12" t="inlineStr">
        <is>
          <t>職人</t>
        </is>
      </c>
      <c r="I10" s="12" t="inlineStr">
        <is>
          <t>松山市版</t>
        </is>
      </c>
      <c r="J10" s="12" t="inlineStr">
        <is>
          <t>汎用外装訴求</t>
        </is>
      </c>
      <c r="K10" s="12" t="str"/>
    </row>
    <row r="11">
      <c r="A11" s="12" t="n">
        <v>10</v>
      </c>
      <c r="B11" s="12" t="inlineStr">
        <is>
          <t>松山市 屋根雨漏り</t>
        </is>
      </c>
      <c r="C11" s="12" t="inlineStr">
        <is>
          <t>010.webp</t>
        </is>
      </c>
      <c r="D11" s="12" t="inlineStr">
        <is>
          <t>屋根雨漏り</t>
        </is>
      </c>
      <c r="E11" s="12" t="inlineStr">
        <is>
          <t>雨漏り前に劣化を確認</t>
        </is>
      </c>
      <c r="F11" s="12" t="inlineStr">
        <is>
          <t>屋根点検・修理方法を解説</t>
        </is>
      </c>
      <c r="G11" s="12" t="inlineStr">
        <is>
          <t>屋根材・瓦・板金・雨空</t>
        </is>
      </c>
      <c r="H11" s="12" t="inlineStr">
        <is>
          <t>屋根を点検する職人</t>
        </is>
      </c>
      <c r="I11" s="12" t="inlineStr">
        <is>
          <t>松山市版</t>
        </is>
      </c>
      <c r="J11" s="12" t="inlineStr">
        <is>
          <t>屋根修理訴求</t>
        </is>
      </c>
      <c r="K11" s="12" t="str"/>
    </row>
    <row r="12">
      <c r="A12" s="12" t="n">
        <v>11</v>
      </c>
      <c r="B12" s="12" t="inlineStr">
        <is>
          <t>松山市 屋根修理</t>
        </is>
      </c>
      <c r="C12" s="12" t="inlineStr">
        <is>
          <t>011.webp</t>
        </is>
      </c>
      <c r="D12" s="12" t="inlineStr">
        <is>
          <t>屋根修理</t>
        </is>
      </c>
      <c r="E12" s="12" t="inlineStr">
        <is>
          <t>雨漏り前に劣化を確認</t>
        </is>
      </c>
      <c r="F12" s="12" t="inlineStr">
        <is>
          <t>屋根点検・修理方法を解説</t>
        </is>
      </c>
      <c r="G12" s="12" t="inlineStr">
        <is>
          <t>屋根材・瓦・板金・雨空</t>
        </is>
      </c>
      <c r="H12" s="12" t="inlineStr">
        <is>
          <t>屋根を点検する職人</t>
        </is>
      </c>
      <c r="I12" s="12" t="inlineStr">
        <is>
          <t>松山市版</t>
        </is>
      </c>
      <c r="J12" s="12" t="inlineStr">
        <is>
          <t>屋根修理訴求</t>
        </is>
      </c>
      <c r="K12" s="12" t="str"/>
    </row>
    <row r="13">
      <c r="A13" s="12" t="n">
        <v>12</v>
      </c>
      <c r="B13" s="12" t="inlineStr">
        <is>
          <t>松山市 棟板金修理</t>
        </is>
      </c>
      <c r="C13" s="12" t="inlineStr">
        <is>
          <t>012.webp</t>
        </is>
      </c>
      <c r="D13" s="12" t="inlineStr">
        <is>
          <t>棟板金修理</t>
        </is>
      </c>
      <c r="E13" s="12" t="inlineStr">
        <is>
          <t>雨漏り前に劣化を確認</t>
        </is>
      </c>
      <c r="F13" s="12" t="inlineStr">
        <is>
          <t>屋根点検・修理方法を解説</t>
        </is>
      </c>
      <c r="G13" s="12" t="inlineStr">
        <is>
          <t>屋根材・瓦・板金・雨空</t>
        </is>
      </c>
      <c r="H13" s="12" t="inlineStr">
        <is>
          <t>屋根を点検する職人</t>
        </is>
      </c>
      <c r="I13" s="12" t="inlineStr">
        <is>
          <t>松山市版</t>
        </is>
      </c>
      <c r="J13" s="12" t="inlineStr">
        <is>
          <t>屋根修理訴求</t>
        </is>
      </c>
      <c r="K13" s="12" t="str"/>
    </row>
    <row r="14">
      <c r="A14" s="12" t="n">
        <v>13</v>
      </c>
      <c r="B14" s="12" t="inlineStr">
        <is>
          <t>松山市 谷板金修理</t>
        </is>
      </c>
      <c r="C14" s="12" t="inlineStr">
        <is>
          <t>013.webp</t>
        </is>
      </c>
      <c r="D14" s="12" t="inlineStr">
        <is>
          <t>谷板金修理</t>
        </is>
      </c>
      <c r="E14" s="12" t="inlineStr">
        <is>
          <t>雨漏り前に劣化を確認</t>
        </is>
      </c>
      <c r="F14" s="12" t="inlineStr">
        <is>
          <t>屋根点検・修理方法を解説</t>
        </is>
      </c>
      <c r="G14" s="12" t="inlineStr">
        <is>
          <t>屋根材・瓦・板金・雨空</t>
        </is>
      </c>
      <c r="H14" s="12" t="inlineStr">
        <is>
          <t>屋根を点検する職人</t>
        </is>
      </c>
      <c r="I14" s="12" t="inlineStr">
        <is>
          <t>松山市版</t>
        </is>
      </c>
      <c r="J14" s="12" t="inlineStr">
        <is>
          <t>屋根修理訴求</t>
        </is>
      </c>
      <c r="K14" s="12" t="str"/>
    </row>
    <row r="15">
      <c r="A15" s="12" t="n">
        <v>14</v>
      </c>
      <c r="B15" s="12" t="inlineStr">
        <is>
          <t>松山市 瓦修理</t>
        </is>
      </c>
      <c r="C15" s="12" t="inlineStr">
        <is>
          <t>014.webp</t>
        </is>
      </c>
      <c r="D15" s="12" t="inlineStr">
        <is>
          <t>瓦修理</t>
        </is>
      </c>
      <c r="E15" s="12" t="inlineStr">
        <is>
          <t>雨漏り前に劣化を確認</t>
        </is>
      </c>
      <c r="F15" s="12" t="inlineStr">
        <is>
          <t>屋根点検・修理方法を解説</t>
        </is>
      </c>
      <c r="G15" s="12" t="inlineStr">
        <is>
          <t>屋根材・瓦・板金・雨空</t>
        </is>
      </c>
      <c r="H15" s="12" t="inlineStr">
        <is>
          <t>屋根を点検する職人</t>
        </is>
      </c>
      <c r="I15" s="12" t="inlineStr">
        <is>
          <t>松山市版</t>
        </is>
      </c>
      <c r="J15" s="12" t="inlineStr">
        <is>
          <t>屋根修理訴求</t>
        </is>
      </c>
      <c r="K15" s="12" t="str"/>
    </row>
    <row r="16">
      <c r="A16" s="12" t="n">
        <v>15</v>
      </c>
      <c r="B16" s="12" t="inlineStr">
        <is>
          <t>松山市 漆喰補修</t>
        </is>
      </c>
      <c r="C16" s="12" t="inlineStr">
        <is>
          <t>015.webp</t>
        </is>
      </c>
      <c r="D16" s="12" t="inlineStr">
        <is>
          <t>漆喰補修</t>
        </is>
      </c>
      <c r="E16" s="12" t="inlineStr">
        <is>
          <t>雨漏り前に劣化を確認</t>
        </is>
      </c>
      <c r="F16" s="12" t="inlineStr">
        <is>
          <t>屋根点検・修理方法を解説</t>
        </is>
      </c>
      <c r="G16" s="12" t="inlineStr">
        <is>
          <t>屋根材・瓦・板金・雨空</t>
        </is>
      </c>
      <c r="H16" s="12" t="inlineStr">
        <is>
          <t>屋根を点検する職人</t>
        </is>
      </c>
      <c r="I16" s="12" t="inlineStr">
        <is>
          <t>松山市版</t>
        </is>
      </c>
      <c r="J16" s="12" t="inlineStr">
        <is>
          <t>屋根修理訴求</t>
        </is>
      </c>
      <c r="K16" s="12" t="str"/>
    </row>
    <row r="17">
      <c r="A17" s="12" t="n">
        <v>16</v>
      </c>
      <c r="B17" s="12" t="inlineStr">
        <is>
          <t>松山市 屋根リフォーム</t>
        </is>
      </c>
      <c r="C17" s="12" t="inlineStr">
        <is>
          <t>016.webp</t>
        </is>
      </c>
      <c r="D17" s="12" t="inlineStr">
        <is>
          <t>屋根リフォーム</t>
        </is>
      </c>
      <c r="E17" s="12" t="inlineStr">
        <is>
          <t>雨漏り前に劣化を確認</t>
        </is>
      </c>
      <c r="F17" s="12" t="inlineStr">
        <is>
          <t>屋根点検・修理方法を解説</t>
        </is>
      </c>
      <c r="G17" s="12" t="inlineStr">
        <is>
          <t>屋根材・瓦・板金・雨空</t>
        </is>
      </c>
      <c r="H17" s="12" t="inlineStr">
        <is>
          <t>屋根を点検する職人</t>
        </is>
      </c>
      <c r="I17" s="12" t="inlineStr">
        <is>
          <t>松山市版</t>
        </is>
      </c>
      <c r="J17" s="12" t="inlineStr">
        <is>
          <t>屋根修理訴求</t>
        </is>
      </c>
      <c r="K17" s="12" t="str"/>
    </row>
    <row r="18">
      <c r="A18" s="12" t="n">
        <v>17</v>
      </c>
      <c r="B18" s="12" t="inlineStr">
        <is>
          <t>松山市 ガルテクト</t>
        </is>
      </c>
      <c r="C18" s="12" t="inlineStr">
        <is>
          <t>017.webp</t>
        </is>
      </c>
      <c r="D18" s="12" t="inlineStr">
        <is>
          <t>ガルテクト</t>
        </is>
      </c>
      <c r="E18" s="12" t="inlineStr">
        <is>
          <t>雨漏り前に劣化を確認</t>
        </is>
      </c>
      <c r="F18" s="12" t="inlineStr">
        <is>
          <t>屋根点検・修理方法を解説</t>
        </is>
      </c>
      <c r="G18" s="12" t="inlineStr">
        <is>
          <t>屋根材・瓦・板金・雨空</t>
        </is>
      </c>
      <c r="H18" s="12" t="inlineStr">
        <is>
          <t>屋根を点検する職人</t>
        </is>
      </c>
      <c r="I18" s="12" t="inlineStr">
        <is>
          <t>松山市版</t>
        </is>
      </c>
      <c r="J18" s="12" t="inlineStr">
        <is>
          <t>屋根修理訴求</t>
        </is>
      </c>
      <c r="K18" s="12" t="str"/>
    </row>
    <row r="19">
      <c r="A19" s="12" t="n">
        <v>18</v>
      </c>
      <c r="B19" s="12" t="inlineStr">
        <is>
          <t>松山市 ヴェルウッド</t>
        </is>
      </c>
      <c r="C19" s="12" t="inlineStr">
        <is>
          <t>018.webp</t>
        </is>
      </c>
      <c r="D19" s="12" t="inlineStr">
        <is>
          <t>ヴェルウッド</t>
        </is>
      </c>
      <c r="E19" s="12" t="inlineStr">
        <is>
          <t>雨漏り前に劣化を確認</t>
        </is>
      </c>
      <c r="F19" s="12" t="inlineStr">
        <is>
          <t>屋根点検・修理方法を解説</t>
        </is>
      </c>
      <c r="G19" s="12" t="inlineStr">
        <is>
          <t>屋根材・瓦・板金・雨空</t>
        </is>
      </c>
      <c r="H19" s="12" t="inlineStr">
        <is>
          <t>屋根を点検する職人</t>
        </is>
      </c>
      <c r="I19" s="12" t="inlineStr">
        <is>
          <t>松山市版</t>
        </is>
      </c>
      <c r="J19" s="12" t="inlineStr">
        <is>
          <t>屋根修理訴求</t>
        </is>
      </c>
      <c r="K19" s="12" t="str"/>
    </row>
    <row r="20">
      <c r="A20" s="12" t="n">
        <v>19</v>
      </c>
      <c r="B20" s="12" t="inlineStr">
        <is>
          <t>松山市 パミール屋根</t>
        </is>
      </c>
      <c r="C20" s="12" t="inlineStr">
        <is>
          <t>019.webp</t>
        </is>
      </c>
      <c r="D20" s="12" t="inlineStr">
        <is>
          <t>パミール屋根</t>
        </is>
      </c>
      <c r="E20" s="12" t="inlineStr">
        <is>
          <t>雨漏り前に劣化を確認</t>
        </is>
      </c>
      <c r="F20" s="12" t="inlineStr">
        <is>
          <t>屋根点検・修理方法を解説</t>
        </is>
      </c>
      <c r="G20" s="12" t="inlineStr">
        <is>
          <t>屋根材・瓦・板金・雨空</t>
        </is>
      </c>
      <c r="H20" s="12" t="inlineStr">
        <is>
          <t>屋根を点検する職人</t>
        </is>
      </c>
      <c r="I20" s="12" t="inlineStr">
        <is>
          <t>松山市版</t>
        </is>
      </c>
      <c r="J20" s="12" t="inlineStr">
        <is>
          <t>屋根修理訴求</t>
        </is>
      </c>
      <c r="K20" s="12" t="str"/>
    </row>
    <row r="21">
      <c r="A21" s="12" t="n">
        <v>20</v>
      </c>
      <c r="B21" s="12" t="inlineStr">
        <is>
          <t>パナソニックホームズ 外壁塗装 松山市</t>
        </is>
      </c>
      <c r="C21" s="12" t="inlineStr">
        <is>
          <t>020.webp</t>
        </is>
      </c>
      <c r="D21" s="12" t="inlineStr">
        <is>
          <t>パナソニックホームズ 外壁塗装 松山市</t>
        </is>
      </c>
      <c r="E21" s="12" t="inlineStr">
        <is>
          <t>放置リスクと判断基準を解説</t>
        </is>
      </c>
      <c r="F21" s="12" t="inlineStr">
        <is>
          <t>無料診断で状態確認</t>
        </is>
      </c>
      <c r="G21" s="12" t="inlineStr">
        <is>
          <t>外壁ひび割れ・チョーキング・住宅外観</t>
        </is>
      </c>
      <c r="H21" s="12" t="inlineStr">
        <is>
          <t>職人＋困った住人</t>
        </is>
      </c>
      <c r="I21" s="12" t="inlineStr">
        <is>
          <t>松山市版</t>
        </is>
      </c>
      <c r="J21" s="12" t="inlineStr">
        <is>
          <t>外壁塗装訴求</t>
        </is>
      </c>
      <c r="K21" s="12" t="str"/>
    </row>
    <row r="22">
      <c r="A22" s="12" t="n">
        <v>21</v>
      </c>
      <c r="B22" s="12" t="inlineStr">
        <is>
          <t>レオハウス 外壁塗装 松山市</t>
        </is>
      </c>
      <c r="C22" s="12" t="inlineStr">
        <is>
          <t>021.webp</t>
        </is>
      </c>
      <c r="D22" s="12" t="inlineStr">
        <is>
          <t>レオハウス 外壁塗装 松山市</t>
        </is>
      </c>
      <c r="E22" s="12" t="inlineStr">
        <is>
          <t>放置リスクと判断基準を解説</t>
        </is>
      </c>
      <c r="F22" s="12" t="inlineStr">
        <is>
          <t>無料診断で状態確認</t>
        </is>
      </c>
      <c r="G22" s="12" t="inlineStr">
        <is>
          <t>外壁ひび割れ・チョーキング・住宅外観</t>
        </is>
      </c>
      <c r="H22" s="12" t="inlineStr">
        <is>
          <t>職人＋困った住人</t>
        </is>
      </c>
      <c r="I22" s="12" t="inlineStr">
        <is>
          <t>松山市版</t>
        </is>
      </c>
      <c r="J22" s="12" t="inlineStr">
        <is>
          <t>外壁塗装訴求</t>
        </is>
      </c>
      <c r="K22" s="12" t="str"/>
    </row>
    <row r="23">
      <c r="A23" s="12" t="n">
        <v>22</v>
      </c>
      <c r="B23" s="12" t="inlineStr">
        <is>
          <t>アットハウジング 外壁塗装 松山市</t>
        </is>
      </c>
      <c r="C23" s="12" t="inlineStr">
        <is>
          <t>022.webp</t>
        </is>
      </c>
      <c r="D23" s="12" t="inlineStr">
        <is>
          <t>アットハウジング 外壁塗装 松山市</t>
        </is>
      </c>
      <c r="E23" s="12" t="inlineStr">
        <is>
          <t>放置リスクと判断基準を解説</t>
        </is>
      </c>
      <c r="F23" s="12" t="inlineStr">
        <is>
          <t>無料診断で状態確認</t>
        </is>
      </c>
      <c r="G23" s="12" t="inlineStr">
        <is>
          <t>外壁ひび割れ・チョーキング・住宅外観</t>
        </is>
      </c>
      <c r="H23" s="12" t="inlineStr">
        <is>
          <t>職人＋困った住人</t>
        </is>
      </c>
      <c r="I23" s="12" t="inlineStr">
        <is>
          <t>松山市版</t>
        </is>
      </c>
      <c r="J23" s="12" t="inlineStr">
        <is>
          <t>外壁塗装訴求</t>
        </is>
      </c>
      <c r="K23" s="12" t="str"/>
    </row>
    <row r="24">
      <c r="A24" s="12" t="n">
        <v>23</v>
      </c>
      <c r="B24" s="12" t="inlineStr">
        <is>
          <t>日本ハウスHD 外壁塗装 松山市</t>
        </is>
      </c>
      <c r="C24" s="12" t="inlineStr">
        <is>
          <t>023.webp</t>
        </is>
      </c>
      <c r="D24" s="12" t="inlineStr">
        <is>
          <t>日本ハウスHD 外壁塗装 松山市</t>
        </is>
      </c>
      <c r="E24" s="12" t="inlineStr">
        <is>
          <t>放置リスクと判断基準を解説</t>
        </is>
      </c>
      <c r="F24" s="12" t="inlineStr">
        <is>
          <t>無料診断で状態確認</t>
        </is>
      </c>
      <c r="G24" s="12" t="inlineStr">
        <is>
          <t>外壁ひび割れ・チョーキング・住宅外観</t>
        </is>
      </c>
      <c r="H24" s="12" t="inlineStr">
        <is>
          <t>職人＋困った住人</t>
        </is>
      </c>
      <c r="I24" s="12" t="inlineStr">
        <is>
          <t>松山市版</t>
        </is>
      </c>
      <c r="J24" s="12" t="inlineStr">
        <is>
          <t>外壁塗装訴求</t>
        </is>
      </c>
      <c r="K24" s="12" t="str"/>
    </row>
    <row r="25">
      <c r="A25" s="12" t="n">
        <v>24</v>
      </c>
      <c r="B25" s="12" t="inlineStr">
        <is>
          <t>アイフルホーム 外壁塗装 松山市</t>
        </is>
      </c>
      <c r="C25" s="12" t="inlineStr">
        <is>
          <t>024.webp</t>
        </is>
      </c>
      <c r="D25" s="12" t="inlineStr">
        <is>
          <t>アイフルホーム 外壁塗装 松山市</t>
        </is>
      </c>
      <c r="E25" s="12" t="inlineStr">
        <is>
          <t>放置リスクと判断基準を解説</t>
        </is>
      </c>
      <c r="F25" s="12" t="inlineStr">
        <is>
          <t>無料診断で状態確認</t>
        </is>
      </c>
      <c r="G25" s="12" t="inlineStr">
        <is>
          <t>外壁ひび割れ・チョーキング・住宅外観</t>
        </is>
      </c>
      <c r="H25" s="12" t="inlineStr">
        <is>
          <t>職人＋困った住人</t>
        </is>
      </c>
      <c r="I25" s="12" t="inlineStr">
        <is>
          <t>松山市版</t>
        </is>
      </c>
      <c r="J25" s="12" t="inlineStr">
        <is>
          <t>外壁塗装訴求</t>
        </is>
      </c>
      <c r="K25" s="12" t="str"/>
    </row>
    <row r="26">
      <c r="A26" s="12" t="n">
        <v>25</v>
      </c>
      <c r="B26" s="12" t="inlineStr">
        <is>
          <t>外壁から雨漏りする原因</t>
        </is>
      </c>
      <c r="C26" s="12" t="inlineStr">
        <is>
          <t>025.webp</t>
        </is>
      </c>
      <c r="D26" s="12" t="inlineStr">
        <is>
          <t>外壁から雨漏りする原因の原因は？</t>
        </is>
      </c>
      <c r="E26" s="12" t="inlineStr">
        <is>
          <t>放置リスクと対処法を解説</t>
        </is>
      </c>
      <c r="F26" s="12" t="inlineStr">
        <is>
          <t>早めの確認が大切</t>
        </is>
      </c>
      <c r="G26" s="12" t="inlineStr">
        <is>
          <t>劣化箇所の拡大・雨染み・ひび割れ</t>
        </is>
      </c>
      <c r="H26" s="12" t="inlineStr">
        <is>
          <t>職人</t>
        </is>
      </c>
      <c r="I26" s="12" t="inlineStr">
        <is>
          <t>松山市版</t>
        </is>
      </c>
      <c r="J26" s="12" t="inlineStr">
        <is>
          <t>原因解説訴求</t>
        </is>
      </c>
      <c r="K26" s="12" t="str"/>
    </row>
    <row r="27">
      <c r="A27" s="12" t="n">
        <v>26</v>
      </c>
      <c r="B27" s="12" t="inlineStr">
        <is>
          <t>窓枠から雨漏りする原因</t>
        </is>
      </c>
      <c r="C27" s="12" t="inlineStr">
        <is>
          <t>026.webp</t>
        </is>
      </c>
      <c r="D27" s="12" t="inlineStr">
        <is>
          <t>窓枠から雨漏りする原因の原因は？</t>
        </is>
      </c>
      <c r="E27" s="12" t="inlineStr">
        <is>
          <t>放置リスクと対処法を解説</t>
        </is>
      </c>
      <c r="F27" s="12" t="inlineStr">
        <is>
          <t>早めの確認が大切</t>
        </is>
      </c>
      <c r="G27" s="12" t="inlineStr">
        <is>
          <t>劣化箇所の拡大・雨染み・ひび割れ</t>
        </is>
      </c>
      <c r="H27" s="12" t="inlineStr">
        <is>
          <t>職人</t>
        </is>
      </c>
      <c r="I27" s="12" t="inlineStr">
        <is>
          <t>松山市版</t>
        </is>
      </c>
      <c r="J27" s="12" t="inlineStr">
        <is>
          <t>原因解説訴求</t>
        </is>
      </c>
      <c r="K27" s="12" t="str"/>
    </row>
    <row r="28">
      <c r="A28" s="12" t="n">
        <v>27</v>
      </c>
      <c r="B28" s="12" t="inlineStr">
        <is>
          <t>天窓雨漏り修理</t>
        </is>
      </c>
      <c r="C28" s="12" t="inlineStr">
        <is>
          <t>027.webp</t>
        </is>
      </c>
      <c r="D28" s="12" t="inlineStr">
        <is>
          <t>松山市の雨漏り修理</t>
        </is>
      </c>
      <c r="E28" s="12" t="inlineStr">
        <is>
          <t>原因・費用・業者選びをプロが解説</t>
        </is>
      </c>
      <c r="F28" s="12" t="inlineStr">
        <is>
          <t>無料点検受付中</t>
        </is>
      </c>
      <c r="G28" s="12" t="inlineStr">
        <is>
          <t>天井シミ・雨だれ・屋根点検</t>
        </is>
      </c>
      <c r="H28" s="12" t="inlineStr">
        <is>
          <t>ヘルメットの職人</t>
        </is>
      </c>
      <c r="I28" s="12" t="inlineStr">
        <is>
          <t>松山市版</t>
        </is>
      </c>
      <c r="J28" s="12" t="inlineStr">
        <is>
          <t>強めサムネ・雨漏り訴求</t>
        </is>
      </c>
      <c r="K28" s="12" t="str"/>
    </row>
    <row r="29">
      <c r="A29" s="12" t="n">
        <v>28</v>
      </c>
      <c r="B29" s="12" t="inlineStr">
        <is>
          <t>笠木雨漏り</t>
        </is>
      </c>
      <c r="C29" s="12" t="inlineStr">
        <is>
          <t>028.webp</t>
        </is>
      </c>
      <c r="D29" s="12" t="inlineStr">
        <is>
          <t>笠木雨漏り</t>
        </is>
      </c>
      <c r="E29" s="12" t="inlineStr">
        <is>
          <t>症状・費用・注意点を解説</t>
        </is>
      </c>
      <c r="F29" s="12" t="inlineStr">
        <is>
          <t>プロが分かりやすく解説</t>
        </is>
      </c>
      <c r="G29" s="12" t="inlineStr">
        <is>
          <t>住宅外観・劣化箇所</t>
        </is>
      </c>
      <c r="H29" s="12" t="inlineStr">
        <is>
          <t>職人</t>
        </is>
      </c>
      <c r="I29" s="12" t="inlineStr">
        <is>
          <t>松山市版</t>
        </is>
      </c>
      <c r="J29" s="12" t="inlineStr">
        <is>
          <t>汎用外装訴求</t>
        </is>
      </c>
      <c r="K29" s="12" t="str"/>
    </row>
    <row r="30">
      <c r="A30" s="12" t="n">
        <v>29</v>
      </c>
      <c r="B30" s="12" t="inlineStr">
        <is>
          <t>幕板雨漏り</t>
        </is>
      </c>
      <c r="C30" s="12" t="inlineStr">
        <is>
          <t>029.webp</t>
        </is>
      </c>
      <c r="D30" s="12" t="inlineStr">
        <is>
          <t>幕板雨漏り</t>
        </is>
      </c>
      <c r="E30" s="12" t="inlineStr">
        <is>
          <t>症状・費用・注意点を解説</t>
        </is>
      </c>
      <c r="F30" s="12" t="inlineStr">
        <is>
          <t>プロが分かりやすく解説</t>
        </is>
      </c>
      <c r="G30" s="12" t="inlineStr">
        <is>
          <t>住宅外観・劣化箇所</t>
        </is>
      </c>
      <c r="H30" s="12" t="inlineStr">
        <is>
          <t>職人</t>
        </is>
      </c>
      <c r="I30" s="12" t="inlineStr">
        <is>
          <t>松山市版</t>
        </is>
      </c>
      <c r="J30" s="12" t="inlineStr">
        <is>
          <t>汎用外装訴求</t>
        </is>
      </c>
      <c r="K30" s="12" t="str"/>
    </row>
    <row r="31">
      <c r="A31" s="12" t="n">
        <v>30</v>
      </c>
      <c r="B31" s="12" t="inlineStr">
        <is>
          <t>バルコニー雨漏り</t>
        </is>
      </c>
      <c r="C31" s="12" t="inlineStr">
        <is>
          <t>030.webp</t>
        </is>
      </c>
      <c r="D31" s="12" t="inlineStr">
        <is>
          <t>バルコニー雨漏り</t>
        </is>
      </c>
      <c r="E31" s="12" t="inlineStr">
        <is>
          <t>症状・費用・注意点を解説</t>
        </is>
      </c>
      <c r="F31" s="12" t="inlineStr">
        <is>
          <t>プロが分かりやすく解説</t>
        </is>
      </c>
      <c r="G31" s="12" t="inlineStr">
        <is>
          <t>住宅外観・劣化箇所</t>
        </is>
      </c>
      <c r="H31" s="12" t="inlineStr">
        <is>
          <t>職人</t>
        </is>
      </c>
      <c r="I31" s="12" t="inlineStr">
        <is>
          <t>松山市版</t>
        </is>
      </c>
      <c r="J31" s="12" t="inlineStr">
        <is>
          <t>汎用外装訴求</t>
        </is>
      </c>
      <c r="K31" s="12" t="str"/>
    </row>
    <row r="32">
      <c r="A32" s="12" t="n">
        <v>31</v>
      </c>
      <c r="B32" s="12" t="inlineStr">
        <is>
          <t>軒天雨漏り</t>
        </is>
      </c>
      <c r="C32" s="12" t="inlineStr">
        <is>
          <t>031.webp</t>
        </is>
      </c>
      <c r="D32" s="12" t="inlineStr">
        <is>
          <t>軒天雨漏り</t>
        </is>
      </c>
      <c r="E32" s="12" t="inlineStr">
        <is>
          <t>シミ・黒ずみ・剥がれは要注意</t>
        </is>
      </c>
      <c r="F32" s="12" t="inlineStr">
        <is>
          <t>補修と塗装の判断ポイント</t>
        </is>
      </c>
      <c r="G32" s="12" t="inlineStr">
        <is>
          <t>軒天シミ・黒ずみ・住宅軒下</t>
        </is>
      </c>
      <c r="H32" s="12" t="inlineStr">
        <is>
          <t>見上げる住人＋職人</t>
        </is>
      </c>
      <c r="I32" s="12" t="inlineStr">
        <is>
          <t>松山市版</t>
        </is>
      </c>
      <c r="J32" s="12" t="inlineStr">
        <is>
          <t>軒天訴求</t>
        </is>
      </c>
      <c r="K32" s="12" t="str"/>
    </row>
    <row r="33">
      <c r="A33" s="12" t="n">
        <v>32</v>
      </c>
      <c r="B33" s="12" t="inlineStr">
        <is>
          <t>雨漏り火災保険</t>
        </is>
      </c>
      <c r="C33" s="12" t="inlineStr">
        <is>
          <t>032.webp</t>
        </is>
      </c>
      <c r="D33" s="12" t="inlineStr">
        <is>
          <t>雨漏り火災保険</t>
        </is>
      </c>
      <c r="E33" s="12" t="inlineStr">
        <is>
          <t>症状・費用・注意点を解説</t>
        </is>
      </c>
      <c r="F33" s="12" t="inlineStr">
        <is>
          <t>プロが分かりやすく解説</t>
        </is>
      </c>
      <c r="G33" s="12" t="inlineStr">
        <is>
          <t>住宅外観・劣化箇所</t>
        </is>
      </c>
      <c r="H33" s="12" t="inlineStr">
        <is>
          <t>職人</t>
        </is>
      </c>
      <c r="I33" s="12" t="inlineStr">
        <is>
          <t>松山市版</t>
        </is>
      </c>
      <c r="J33" s="12" t="inlineStr">
        <is>
          <t>汎用外装訴求</t>
        </is>
      </c>
      <c r="K33" s="12" t="str"/>
    </row>
    <row r="34">
      <c r="A34" s="12" t="n">
        <v>33</v>
      </c>
      <c r="B34" s="12" t="inlineStr">
        <is>
          <t>コーキング劣化 雨漏り</t>
        </is>
      </c>
      <c r="C34" s="12" t="inlineStr">
        <is>
          <t>033.webp</t>
        </is>
      </c>
      <c r="D34" s="12" t="inlineStr">
        <is>
          <t>コーキング劣化 雨漏り</t>
        </is>
      </c>
      <c r="E34" s="12" t="inlineStr">
        <is>
          <t>雨漏り前に防水状態をチェック</t>
        </is>
      </c>
      <c r="F34" s="12" t="inlineStr">
        <is>
          <t>費用・耐用年数を解説</t>
        </is>
      </c>
      <c r="G34" s="12" t="inlineStr">
        <is>
          <t>ベランダ床・防水層・排水口</t>
        </is>
      </c>
      <c r="H34" s="12" t="inlineStr">
        <is>
          <t>点検する職人</t>
        </is>
      </c>
      <c r="I34" s="12" t="inlineStr">
        <is>
          <t>松山市版</t>
        </is>
      </c>
      <c r="J34" s="12" t="inlineStr">
        <is>
          <t>防水訴求</t>
        </is>
      </c>
      <c r="K34" s="12" t="str"/>
    </row>
    <row r="35">
      <c r="A35" s="12" t="n">
        <v>34</v>
      </c>
      <c r="B35" s="12" t="inlineStr">
        <is>
          <t>外壁ひび割れ 雨漏り</t>
        </is>
      </c>
      <c r="C35" s="12" t="inlineStr">
        <is>
          <t>034.webp</t>
        </is>
      </c>
      <c r="D35" s="12" t="inlineStr">
        <is>
          <t>外壁ひび割れ 雨漏り</t>
        </is>
      </c>
      <c r="E35" s="12" t="inlineStr">
        <is>
          <t>雨漏り前に防水状態をチェック</t>
        </is>
      </c>
      <c r="F35" s="12" t="inlineStr">
        <is>
          <t>費用・耐用年数を解説</t>
        </is>
      </c>
      <c r="G35" s="12" t="inlineStr">
        <is>
          <t>ベランダ床・防水層・排水口</t>
        </is>
      </c>
      <c r="H35" s="12" t="inlineStr">
        <is>
          <t>点検する職人</t>
        </is>
      </c>
      <c r="I35" s="12" t="inlineStr">
        <is>
          <t>松山市版</t>
        </is>
      </c>
      <c r="J35" s="12" t="inlineStr">
        <is>
          <t>防水訴求</t>
        </is>
      </c>
      <c r="K35" s="12" t="str"/>
    </row>
    <row r="36">
      <c r="A36" s="12" t="n">
        <v>35</v>
      </c>
      <c r="B36" s="12" t="inlineStr">
        <is>
          <t>シーリング打ち替え 費用</t>
        </is>
      </c>
      <c r="C36" s="12" t="inlineStr">
        <is>
          <t>035.webp</t>
        </is>
      </c>
      <c r="D36" s="12" t="inlineStr">
        <is>
          <t>シーリング打ち替え 費用</t>
        </is>
      </c>
      <c r="E36" s="12" t="inlineStr">
        <is>
          <t>雨漏り前に防水状態をチェック</t>
        </is>
      </c>
      <c r="F36" s="12" t="inlineStr">
        <is>
          <t>費用・耐用年数を解説</t>
        </is>
      </c>
      <c r="G36" s="12" t="inlineStr">
        <is>
          <t>ベランダ床・防水層・排水口</t>
        </is>
      </c>
      <c r="H36" s="12" t="inlineStr">
        <is>
          <t>点検する職人</t>
        </is>
      </c>
      <c r="I36" s="12" t="inlineStr">
        <is>
          <t>松山市版</t>
        </is>
      </c>
      <c r="J36" s="12" t="inlineStr">
        <is>
          <t>防水訴求</t>
        </is>
      </c>
      <c r="K36" s="12" t="str"/>
    </row>
    <row r="37">
      <c r="A37" s="12" t="n">
        <v>36</v>
      </c>
      <c r="B37" s="12" t="inlineStr">
        <is>
          <t>オートンイクシード 費用</t>
        </is>
      </c>
      <c r="C37" s="12" t="inlineStr">
        <is>
          <t>036.webp</t>
        </is>
      </c>
      <c r="D37" s="12" t="inlineStr">
        <is>
          <t>オートンイクシード 費用</t>
        </is>
      </c>
      <c r="E37" s="12" t="inlineStr">
        <is>
          <t>雨漏り前に防水状態をチェック</t>
        </is>
      </c>
      <c r="F37" s="12" t="inlineStr">
        <is>
          <t>費用・耐用年数を解説</t>
        </is>
      </c>
      <c r="G37" s="12" t="inlineStr">
        <is>
          <t>ベランダ床・防水層・排水口</t>
        </is>
      </c>
      <c r="H37" s="12" t="inlineStr">
        <is>
          <t>点検する職人</t>
        </is>
      </c>
      <c r="I37" s="12" t="inlineStr">
        <is>
          <t>松山市版</t>
        </is>
      </c>
      <c r="J37" s="12" t="inlineStr">
        <is>
          <t>防水訴求</t>
        </is>
      </c>
      <c r="K37" s="12" t="str"/>
    </row>
    <row r="38">
      <c r="A38" s="12" t="n">
        <v>37</v>
      </c>
      <c r="B38" s="12" t="inlineStr">
        <is>
          <t>ベランダ防水 費用</t>
        </is>
      </c>
      <c r="C38" s="12" t="inlineStr">
        <is>
          <t>037.webp</t>
        </is>
      </c>
      <c r="D38" s="12" t="inlineStr">
        <is>
          <t>ベランダ防水 費用</t>
        </is>
      </c>
      <c r="E38" s="12" t="inlineStr">
        <is>
          <t>雨漏り前に防水状態をチェック</t>
        </is>
      </c>
      <c r="F38" s="12" t="inlineStr">
        <is>
          <t>費用・耐用年数を解説</t>
        </is>
      </c>
      <c r="G38" s="12" t="inlineStr">
        <is>
          <t>ベランダ床・防水層・排水口</t>
        </is>
      </c>
      <c r="H38" s="12" t="inlineStr">
        <is>
          <t>点検する職人</t>
        </is>
      </c>
      <c r="I38" s="12" t="inlineStr">
        <is>
          <t>松山市版</t>
        </is>
      </c>
      <c r="J38" s="12" t="inlineStr">
        <is>
          <t>防水訴求</t>
        </is>
      </c>
      <c r="K38" s="12" t="str"/>
    </row>
    <row r="39">
      <c r="A39" s="12" t="n">
        <v>38</v>
      </c>
      <c r="B39" s="12" t="inlineStr">
        <is>
          <t>FRP防水 耐用年数</t>
        </is>
      </c>
      <c r="C39" s="12" t="inlineStr">
        <is>
          <t>038.webp</t>
        </is>
      </c>
      <c r="D39" s="12" t="inlineStr">
        <is>
          <t>FRP防水 耐用年数</t>
        </is>
      </c>
      <c r="E39" s="12" t="inlineStr">
        <is>
          <t>雨漏り前に防水状態をチェック</t>
        </is>
      </c>
      <c r="F39" s="12" t="inlineStr">
        <is>
          <t>費用・耐用年数を解説</t>
        </is>
      </c>
      <c r="G39" s="12" t="inlineStr">
        <is>
          <t>ベランダ床・防水層・排水口</t>
        </is>
      </c>
      <c r="H39" s="12" t="inlineStr">
        <is>
          <t>点検する職人</t>
        </is>
      </c>
      <c r="I39" s="12" t="inlineStr">
        <is>
          <t>松山市版</t>
        </is>
      </c>
      <c r="J39" s="12" t="inlineStr">
        <is>
          <t>防水訴求</t>
        </is>
      </c>
      <c r="K39" s="12" t="str"/>
    </row>
    <row r="40">
      <c r="A40" s="12" t="n">
        <v>39</v>
      </c>
      <c r="B40" s="12" t="inlineStr">
        <is>
          <t>ウレタン防水 耐用年数</t>
        </is>
      </c>
      <c r="C40" s="12" t="inlineStr">
        <is>
          <t>039.webp</t>
        </is>
      </c>
      <c r="D40" s="12" t="inlineStr">
        <is>
          <t>ウレタン防水 耐用年数</t>
        </is>
      </c>
      <c r="E40" s="12" t="inlineStr">
        <is>
          <t>雨漏り前に防水状態をチェック</t>
        </is>
      </c>
      <c r="F40" s="12" t="inlineStr">
        <is>
          <t>費用・耐用年数を解説</t>
        </is>
      </c>
      <c r="G40" s="12" t="inlineStr">
        <is>
          <t>ベランダ床・防水層・排水口</t>
        </is>
      </c>
      <c r="H40" s="12" t="inlineStr">
        <is>
          <t>点検する職人</t>
        </is>
      </c>
      <c r="I40" s="12" t="inlineStr">
        <is>
          <t>松山市版</t>
        </is>
      </c>
      <c r="J40" s="12" t="inlineStr">
        <is>
          <t>防水訴求</t>
        </is>
      </c>
      <c r="K40" s="12" t="str"/>
    </row>
    <row r="41">
      <c r="A41" s="12" t="n">
        <v>40</v>
      </c>
      <c r="B41" s="12" t="inlineStr">
        <is>
          <t>塩ビシート防水 耐用年数</t>
        </is>
      </c>
      <c r="C41" s="12" t="inlineStr">
        <is>
          <t>040.webp</t>
        </is>
      </c>
      <c r="D41" s="12" t="inlineStr">
        <is>
          <t>塩ビシート防水 耐用年数</t>
        </is>
      </c>
      <c r="E41" s="12" t="inlineStr">
        <is>
          <t>雨漏り前に防水状態をチェック</t>
        </is>
      </c>
      <c r="F41" s="12" t="inlineStr">
        <is>
          <t>費用・耐用年数を解説</t>
        </is>
      </c>
      <c r="G41" s="12" t="inlineStr">
        <is>
          <t>ベランダ床・防水層・排水口</t>
        </is>
      </c>
      <c r="H41" s="12" t="inlineStr">
        <is>
          <t>点検する職人</t>
        </is>
      </c>
      <c r="I41" s="12" t="inlineStr">
        <is>
          <t>松山市版</t>
        </is>
      </c>
      <c r="J41" s="12" t="inlineStr">
        <is>
          <t>防水訴求</t>
        </is>
      </c>
      <c r="K41" s="12" t="str"/>
    </row>
    <row r="42">
      <c r="A42" s="12" t="n">
        <v>41</v>
      </c>
      <c r="B42" s="12" t="inlineStr">
        <is>
          <t>屋根カバー メリット</t>
        </is>
      </c>
      <c r="C42" s="12" t="inlineStr">
        <is>
          <t>041.webp</t>
        </is>
      </c>
      <c r="D42" s="12" t="inlineStr">
        <is>
          <t>屋根カバー メリット</t>
        </is>
      </c>
      <c r="E42" s="12" t="inlineStr">
        <is>
          <t>雨漏り前に劣化を確認</t>
        </is>
      </c>
      <c r="F42" s="12" t="inlineStr">
        <is>
          <t>屋根点検・修理方法を解説</t>
        </is>
      </c>
      <c r="G42" s="12" t="inlineStr">
        <is>
          <t>屋根材・瓦・板金・雨空</t>
        </is>
      </c>
      <c r="H42" s="12" t="inlineStr">
        <is>
          <t>屋根を点検する職人</t>
        </is>
      </c>
      <c r="I42" s="12" t="inlineStr">
        <is>
          <t>松山市版</t>
        </is>
      </c>
      <c r="J42" s="12" t="inlineStr">
        <is>
          <t>屋根修理訴求</t>
        </is>
      </c>
      <c r="K42" s="12" t="str"/>
    </row>
    <row r="43">
      <c r="A43" s="12" t="n">
        <v>42</v>
      </c>
      <c r="B43" s="12" t="inlineStr">
        <is>
          <t>ガルテクト デメリット</t>
        </is>
      </c>
      <c r="C43" s="12" t="inlineStr">
        <is>
          <t>042.webp</t>
        </is>
      </c>
      <c r="D43" s="12" t="inlineStr">
        <is>
          <t>ガルテクト デメリット</t>
        </is>
      </c>
      <c r="E43" s="12" t="inlineStr">
        <is>
          <t>雨漏り前に劣化を確認</t>
        </is>
      </c>
      <c r="F43" s="12" t="inlineStr">
        <is>
          <t>屋根点検・修理方法を解説</t>
        </is>
      </c>
      <c r="G43" s="12" t="inlineStr">
        <is>
          <t>屋根材・瓦・板金・雨空</t>
        </is>
      </c>
      <c r="H43" s="12" t="inlineStr">
        <is>
          <t>屋根を点検する職人</t>
        </is>
      </c>
      <c r="I43" s="12" t="inlineStr">
        <is>
          <t>松山市版</t>
        </is>
      </c>
      <c r="J43" s="12" t="inlineStr">
        <is>
          <t>屋根修理訴求</t>
        </is>
      </c>
      <c r="K43" s="12" t="str"/>
    </row>
    <row r="44">
      <c r="A44" s="12" t="n">
        <v>43</v>
      </c>
      <c r="B44" s="12" t="inlineStr">
        <is>
          <t>ヴェルウッド デメリット</t>
        </is>
      </c>
      <c r="C44" s="12" t="inlineStr">
        <is>
          <t>043.webp</t>
        </is>
      </c>
      <c r="D44" s="12" t="inlineStr">
        <is>
          <t>ヴェルウッド デメリット</t>
        </is>
      </c>
      <c r="E44" s="12" t="inlineStr">
        <is>
          <t>雨漏り前に劣化を確認</t>
        </is>
      </c>
      <c r="F44" s="12" t="inlineStr">
        <is>
          <t>屋根点検・修理方法を解説</t>
        </is>
      </c>
      <c r="G44" s="12" t="inlineStr">
        <is>
          <t>屋根材・瓦・板金・雨空</t>
        </is>
      </c>
      <c r="H44" s="12" t="inlineStr">
        <is>
          <t>屋根を点検する職人</t>
        </is>
      </c>
      <c r="I44" s="12" t="inlineStr">
        <is>
          <t>松山市版</t>
        </is>
      </c>
      <c r="J44" s="12" t="inlineStr">
        <is>
          <t>屋根修理訴求</t>
        </is>
      </c>
      <c r="K44" s="12" t="str"/>
    </row>
    <row r="45">
      <c r="A45" s="12" t="n">
        <v>44</v>
      </c>
      <c r="B45" s="12" t="inlineStr">
        <is>
          <t>パミール 屋根 対策</t>
        </is>
      </c>
      <c r="C45" s="12" t="inlineStr">
        <is>
          <t>044.webp</t>
        </is>
      </c>
      <c r="D45" s="12" t="inlineStr">
        <is>
          <t>パミール 屋根 対策</t>
        </is>
      </c>
      <c r="E45" s="12" t="inlineStr">
        <is>
          <t>雨漏り前に劣化を確認</t>
        </is>
      </c>
      <c r="F45" s="12" t="inlineStr">
        <is>
          <t>屋根点検・修理方法を解説</t>
        </is>
      </c>
      <c r="G45" s="12" t="inlineStr">
        <is>
          <t>屋根材・瓦・板金・雨空</t>
        </is>
      </c>
      <c r="H45" s="12" t="inlineStr">
        <is>
          <t>屋根を点検する職人</t>
        </is>
      </c>
      <c r="I45" s="12" t="inlineStr">
        <is>
          <t>松山市版</t>
        </is>
      </c>
      <c r="J45" s="12" t="inlineStr">
        <is>
          <t>屋根修理訴求</t>
        </is>
      </c>
      <c r="K45" s="12" t="str"/>
    </row>
    <row r="46">
      <c r="A46" s="12" t="n">
        <v>45</v>
      </c>
      <c r="B46" s="12" t="inlineStr">
        <is>
          <t>コロニアルNEO 雨漏り</t>
        </is>
      </c>
      <c r="C46" s="12" t="inlineStr">
        <is>
          <t>045.webp</t>
        </is>
      </c>
      <c r="D46" s="12" t="inlineStr">
        <is>
          <t>コロニアルNEO 雨漏り</t>
        </is>
      </c>
      <c r="E46" s="12" t="inlineStr">
        <is>
          <t>雨漏り前に劣化を確認</t>
        </is>
      </c>
      <c r="F46" s="12" t="inlineStr">
        <is>
          <t>屋根点検・修理方法を解説</t>
        </is>
      </c>
      <c r="G46" s="12" t="inlineStr">
        <is>
          <t>屋根材・瓦・板金・雨空</t>
        </is>
      </c>
      <c r="H46" s="12" t="inlineStr">
        <is>
          <t>屋根を点検する職人</t>
        </is>
      </c>
      <c r="I46" s="12" t="inlineStr">
        <is>
          <t>松山市版</t>
        </is>
      </c>
      <c r="J46" s="12" t="inlineStr">
        <is>
          <t>屋根修理訴求</t>
        </is>
      </c>
      <c r="K46" s="12" t="str"/>
    </row>
    <row r="47">
      <c r="A47" s="12" t="n">
        <v>46</v>
      </c>
      <c r="B47" s="12" t="inlineStr">
        <is>
          <t>アーバニー 屋根 修理</t>
        </is>
      </c>
      <c r="C47" s="12" t="inlineStr">
        <is>
          <t>046.webp</t>
        </is>
      </c>
      <c r="D47" s="12" t="inlineStr">
        <is>
          <t>アーバニー 屋根 修理</t>
        </is>
      </c>
      <c r="E47" s="12" t="inlineStr">
        <is>
          <t>雨漏り前に劣化を確認</t>
        </is>
      </c>
      <c r="F47" s="12" t="inlineStr">
        <is>
          <t>屋根点検・修理方法を解説</t>
        </is>
      </c>
      <c r="G47" s="12" t="inlineStr">
        <is>
          <t>屋根材・瓦・板金・雨空</t>
        </is>
      </c>
      <c r="H47" s="12" t="inlineStr">
        <is>
          <t>屋根を点検する職人</t>
        </is>
      </c>
      <c r="I47" s="12" t="inlineStr">
        <is>
          <t>松山市版</t>
        </is>
      </c>
      <c r="J47" s="12" t="inlineStr">
        <is>
          <t>屋根修理訴求</t>
        </is>
      </c>
      <c r="K47" s="12" t="str"/>
    </row>
    <row r="48">
      <c r="A48" s="12" t="n">
        <v>47</v>
      </c>
      <c r="B48" s="12" t="inlineStr">
        <is>
          <t>セキスイかわらU 修理</t>
        </is>
      </c>
      <c r="C48" s="12" t="inlineStr">
        <is>
          <t>047.webp</t>
        </is>
      </c>
      <c r="D48" s="12" t="inlineStr">
        <is>
          <t>セキスイかわらU 修理</t>
        </is>
      </c>
      <c r="E48" s="12" t="inlineStr">
        <is>
          <t>雨漏り前に劣化を確認</t>
        </is>
      </c>
      <c r="F48" s="12" t="inlineStr">
        <is>
          <t>屋根点検・修理方法を解説</t>
        </is>
      </c>
      <c r="G48" s="12" t="inlineStr">
        <is>
          <t>屋根材・瓦・板金・雨空</t>
        </is>
      </c>
      <c r="H48" s="12" t="inlineStr">
        <is>
          <t>屋根を点検する職人</t>
        </is>
      </c>
      <c r="I48" s="12" t="inlineStr">
        <is>
          <t>松山市版</t>
        </is>
      </c>
      <c r="J48" s="12" t="inlineStr">
        <is>
          <t>屋根修理訴求</t>
        </is>
      </c>
      <c r="K48" s="12" t="str"/>
    </row>
    <row r="49">
      <c r="A49" s="12" t="n">
        <v>48</v>
      </c>
      <c r="B49" s="12" t="inlineStr">
        <is>
          <t>モニエル瓦 塗装</t>
        </is>
      </c>
      <c r="C49" s="12" t="inlineStr">
        <is>
          <t>048.webp</t>
        </is>
      </c>
      <c r="D49" s="12" t="inlineStr">
        <is>
          <t>モニエル瓦 塗装</t>
        </is>
      </c>
      <c r="E49" s="12" t="inlineStr">
        <is>
          <t>雨漏り前に劣化を確認</t>
        </is>
      </c>
      <c r="F49" s="12" t="inlineStr">
        <is>
          <t>屋根点検・修理方法を解説</t>
        </is>
      </c>
      <c r="G49" s="12" t="inlineStr">
        <is>
          <t>屋根材・瓦・板金・雨空</t>
        </is>
      </c>
      <c r="H49" s="12" t="inlineStr">
        <is>
          <t>屋根を点検する職人</t>
        </is>
      </c>
      <c r="I49" s="12" t="inlineStr">
        <is>
          <t>松山市版</t>
        </is>
      </c>
      <c r="J49" s="12" t="inlineStr">
        <is>
          <t>屋根修理訴求</t>
        </is>
      </c>
      <c r="K49" s="12" t="str"/>
    </row>
    <row r="50">
      <c r="A50" s="12" t="n">
        <v>49</v>
      </c>
      <c r="B50" s="12" t="inlineStr">
        <is>
          <t>屋根塗装しない方がいい屋根</t>
        </is>
      </c>
      <c r="C50" s="12" t="inlineStr">
        <is>
          <t>049.webp</t>
        </is>
      </c>
      <c r="D50" s="12" t="inlineStr">
        <is>
          <t>屋根塗装しない方がいい屋根</t>
        </is>
      </c>
      <c r="E50" s="12" t="inlineStr">
        <is>
          <t>雨漏り前に劣化を確認</t>
        </is>
      </c>
      <c r="F50" s="12" t="inlineStr">
        <is>
          <t>屋根点検・修理方法を解説</t>
        </is>
      </c>
      <c r="G50" s="12" t="inlineStr">
        <is>
          <t>屋根材・瓦・板金・雨空</t>
        </is>
      </c>
      <c r="H50" s="12" t="inlineStr">
        <is>
          <t>屋根を点検する職人</t>
        </is>
      </c>
      <c r="I50" s="12" t="inlineStr">
        <is>
          <t>松山市版</t>
        </is>
      </c>
      <c r="J50" s="12" t="inlineStr">
        <is>
          <t>屋根修理訴求</t>
        </is>
      </c>
      <c r="K50" s="12" t="str"/>
    </row>
    <row r="51">
      <c r="A51" s="12" t="n">
        <v>50</v>
      </c>
      <c r="B51" s="12" t="inlineStr">
        <is>
          <t>外壁塗装と防水工事</t>
        </is>
      </c>
      <c r="C51" s="12" t="inlineStr">
        <is>
          <t>050.webp</t>
        </is>
      </c>
      <c r="D51" s="12" t="inlineStr">
        <is>
          <t>外壁塗装と防水工事</t>
        </is>
      </c>
      <c r="E51" s="12" t="inlineStr">
        <is>
          <t>雨漏り前に防水状態をチェック</t>
        </is>
      </c>
      <c r="F51" s="12" t="inlineStr">
        <is>
          <t>費用・耐用年数を解説</t>
        </is>
      </c>
      <c r="G51" s="12" t="inlineStr">
        <is>
          <t>ベランダ床・防水層・排水口</t>
        </is>
      </c>
      <c r="H51" s="12" t="inlineStr">
        <is>
          <t>点検する職人</t>
        </is>
      </c>
      <c r="I51" s="12" t="inlineStr">
        <is>
          <t>松山市版</t>
        </is>
      </c>
      <c r="J51" s="12" t="inlineStr">
        <is>
          <t>防水訴求</t>
        </is>
      </c>
      <c r="K51" s="12" t="str"/>
    </row>
    <row r="52">
      <c r="A52" s="12" t="n">
        <v>51</v>
      </c>
      <c r="B52" s="12" t="inlineStr">
        <is>
          <t>外壁塗装と屋根カバー</t>
        </is>
      </c>
      <c r="C52" s="12" t="inlineStr">
        <is>
          <t>051.webp</t>
        </is>
      </c>
      <c r="D52" s="12" t="inlineStr">
        <is>
          <t>外壁塗装と屋根カバー</t>
        </is>
      </c>
      <c r="E52" s="12" t="inlineStr">
        <is>
          <t>雨漏り前に劣化を確認</t>
        </is>
      </c>
      <c r="F52" s="12" t="inlineStr">
        <is>
          <t>屋根点検・修理方法を解説</t>
        </is>
      </c>
      <c r="G52" s="12" t="inlineStr">
        <is>
          <t>屋根材・瓦・板金・雨空</t>
        </is>
      </c>
      <c r="H52" s="12" t="inlineStr">
        <is>
          <t>屋根を点検する職人</t>
        </is>
      </c>
      <c r="I52" s="12" t="inlineStr">
        <is>
          <t>松山市版</t>
        </is>
      </c>
      <c r="J52" s="12" t="inlineStr">
        <is>
          <t>屋根修理訴求</t>
        </is>
      </c>
      <c r="K52" s="12" t="str"/>
    </row>
    <row r="53">
      <c r="A53" s="12" t="n">
        <v>52</v>
      </c>
      <c r="B53" s="12" t="inlineStr">
        <is>
          <t>外壁塗装 雨の日</t>
        </is>
      </c>
      <c r="C53" s="12" t="inlineStr">
        <is>
          <t>052.webp</t>
        </is>
      </c>
      <c r="D53" s="12" t="inlineStr">
        <is>
          <t>外壁塗装 雨の日</t>
        </is>
      </c>
      <c r="E53" s="12" t="inlineStr">
        <is>
          <t>放置リスクと判断基準を解説</t>
        </is>
      </c>
      <c r="F53" s="12" t="inlineStr">
        <is>
          <t>無料診断で状態確認</t>
        </is>
      </c>
      <c r="G53" s="12" t="inlineStr">
        <is>
          <t>外壁ひび割れ・チョーキング・住宅外観</t>
        </is>
      </c>
      <c r="H53" s="12" t="inlineStr">
        <is>
          <t>職人＋困った住人</t>
        </is>
      </c>
      <c r="I53" s="12" t="inlineStr">
        <is>
          <t>松山市版</t>
        </is>
      </c>
      <c r="J53" s="12" t="inlineStr">
        <is>
          <t>外壁塗装訴求</t>
        </is>
      </c>
      <c r="K53" s="12" t="str"/>
    </row>
    <row r="54">
      <c r="A54" s="12" t="n">
        <v>53</v>
      </c>
      <c r="B54" s="12" t="inlineStr">
        <is>
          <t>外壁塗装 梅雨</t>
        </is>
      </c>
      <c r="C54" s="12" t="inlineStr">
        <is>
          <t>053.webp</t>
        </is>
      </c>
      <c r="D54" s="12" t="inlineStr">
        <is>
          <t>外壁塗装 梅雨</t>
        </is>
      </c>
      <c r="E54" s="12" t="inlineStr">
        <is>
          <t>放置リスクと判断基準を解説</t>
        </is>
      </c>
      <c r="F54" s="12" t="inlineStr">
        <is>
          <t>無料診断で状態確認</t>
        </is>
      </c>
      <c r="G54" s="12" t="inlineStr">
        <is>
          <t>外壁ひび割れ・チョーキング・住宅外観</t>
        </is>
      </c>
      <c r="H54" s="12" t="inlineStr">
        <is>
          <t>職人＋困った住人</t>
        </is>
      </c>
      <c r="I54" s="12" t="inlineStr">
        <is>
          <t>松山市版</t>
        </is>
      </c>
      <c r="J54" s="12" t="inlineStr">
        <is>
          <t>外壁塗装訴求</t>
        </is>
      </c>
      <c r="K54" s="12" t="str"/>
    </row>
    <row r="55">
      <c r="A55" s="12" t="n">
        <v>54</v>
      </c>
      <c r="B55" s="12" t="inlineStr">
        <is>
          <t>外壁塗装 台風前</t>
        </is>
      </c>
      <c r="C55" s="12" t="inlineStr">
        <is>
          <t>054.webp</t>
        </is>
      </c>
      <c r="D55" s="12" t="inlineStr">
        <is>
          <t>外壁塗装 台風前</t>
        </is>
      </c>
      <c r="E55" s="12" t="inlineStr">
        <is>
          <t>放置リスクと判断基準を解説</t>
        </is>
      </c>
      <c r="F55" s="12" t="inlineStr">
        <is>
          <t>無料診断で状態確認</t>
        </is>
      </c>
      <c r="G55" s="12" t="inlineStr">
        <is>
          <t>外壁ひび割れ・チョーキング・住宅外観</t>
        </is>
      </c>
      <c r="H55" s="12" t="inlineStr">
        <is>
          <t>職人＋困った住人</t>
        </is>
      </c>
      <c r="I55" s="12" t="inlineStr">
        <is>
          <t>松山市版</t>
        </is>
      </c>
      <c r="J55" s="12" t="inlineStr">
        <is>
          <t>外壁塗装訴求</t>
        </is>
      </c>
      <c r="K55" s="12" t="str"/>
    </row>
    <row r="56">
      <c r="A56" s="12" t="n">
        <v>55</v>
      </c>
      <c r="B56" s="12" t="inlineStr">
        <is>
          <t>外壁塗装 冬</t>
        </is>
      </c>
      <c r="C56" s="12" t="inlineStr">
        <is>
          <t>055.webp</t>
        </is>
      </c>
      <c r="D56" s="12" t="inlineStr">
        <is>
          <t>外壁塗装 冬</t>
        </is>
      </c>
      <c r="E56" s="12" t="inlineStr">
        <is>
          <t>放置リスクと判断基準を解説</t>
        </is>
      </c>
      <c r="F56" s="12" t="inlineStr">
        <is>
          <t>無料診断で状態確認</t>
        </is>
      </c>
      <c r="G56" s="12" t="inlineStr">
        <is>
          <t>外壁ひび割れ・チョーキング・住宅外観</t>
        </is>
      </c>
      <c r="H56" s="12" t="inlineStr">
        <is>
          <t>職人＋困った住人</t>
        </is>
      </c>
      <c r="I56" s="12" t="inlineStr">
        <is>
          <t>松山市版</t>
        </is>
      </c>
      <c r="J56" s="12" t="inlineStr">
        <is>
          <t>外壁塗装訴求</t>
        </is>
      </c>
      <c r="K56" s="12" t="str"/>
    </row>
    <row r="57">
      <c r="A57" s="12" t="n">
        <v>56</v>
      </c>
      <c r="B57" s="12" t="inlineStr">
        <is>
          <t>外壁塗装 夏</t>
        </is>
      </c>
      <c r="C57" s="12" t="inlineStr">
        <is>
          <t>056.webp</t>
        </is>
      </c>
      <c r="D57" s="12" t="inlineStr">
        <is>
          <t>外壁塗装 夏</t>
        </is>
      </c>
      <c r="E57" s="12" t="inlineStr">
        <is>
          <t>放置リスクと判断基準を解説</t>
        </is>
      </c>
      <c r="F57" s="12" t="inlineStr">
        <is>
          <t>無料診断で状態確認</t>
        </is>
      </c>
      <c r="G57" s="12" t="inlineStr">
        <is>
          <t>外壁ひび割れ・チョーキング・住宅外観</t>
        </is>
      </c>
      <c r="H57" s="12" t="inlineStr">
        <is>
          <t>職人＋困った住人</t>
        </is>
      </c>
      <c r="I57" s="12" t="inlineStr">
        <is>
          <t>松山市版</t>
        </is>
      </c>
      <c r="J57" s="12" t="inlineStr">
        <is>
          <t>外壁塗装訴求</t>
        </is>
      </c>
      <c r="K57" s="12" t="str"/>
    </row>
    <row r="58">
      <c r="A58" s="12" t="n">
        <v>57</v>
      </c>
      <c r="B58" s="12" t="inlineStr">
        <is>
          <t>外壁塗装 春</t>
        </is>
      </c>
      <c r="C58" s="12" t="inlineStr">
        <is>
          <t>057.webp</t>
        </is>
      </c>
      <c r="D58" s="12" t="inlineStr">
        <is>
          <t>外壁塗装 春</t>
        </is>
      </c>
      <c r="E58" s="12" t="inlineStr">
        <is>
          <t>放置リスクと判断基準を解説</t>
        </is>
      </c>
      <c r="F58" s="12" t="inlineStr">
        <is>
          <t>無料診断で状態確認</t>
        </is>
      </c>
      <c r="G58" s="12" t="inlineStr">
        <is>
          <t>外壁ひび割れ・チョーキング・住宅外観</t>
        </is>
      </c>
      <c r="H58" s="12" t="inlineStr">
        <is>
          <t>職人＋困った住人</t>
        </is>
      </c>
      <c r="I58" s="12" t="inlineStr">
        <is>
          <t>松山市版</t>
        </is>
      </c>
      <c r="J58" s="12" t="inlineStr">
        <is>
          <t>外壁塗装訴求</t>
        </is>
      </c>
      <c r="K58" s="12" t="str"/>
    </row>
    <row r="59">
      <c r="A59" s="12" t="n">
        <v>58</v>
      </c>
      <c r="B59" s="12" t="inlineStr">
        <is>
          <t>外壁塗装 秋</t>
        </is>
      </c>
      <c r="C59" s="12" t="inlineStr">
        <is>
          <t>058.webp</t>
        </is>
      </c>
      <c r="D59" s="12" t="inlineStr">
        <is>
          <t>外壁塗装 秋</t>
        </is>
      </c>
      <c r="E59" s="12" t="inlineStr">
        <is>
          <t>放置リスクと判断基準を解説</t>
        </is>
      </c>
      <c r="F59" s="12" t="inlineStr">
        <is>
          <t>無料診断で状態確認</t>
        </is>
      </c>
      <c r="G59" s="12" t="inlineStr">
        <is>
          <t>外壁ひび割れ・チョーキング・住宅外観</t>
        </is>
      </c>
      <c r="H59" s="12" t="inlineStr">
        <is>
          <t>職人＋困った住人</t>
        </is>
      </c>
      <c r="I59" s="12" t="inlineStr">
        <is>
          <t>松山市版</t>
        </is>
      </c>
      <c r="J59" s="12" t="inlineStr">
        <is>
          <t>外壁塗装訴求</t>
        </is>
      </c>
      <c r="K59" s="12" t="str"/>
    </row>
    <row r="60">
      <c r="A60" s="12" t="n">
        <v>59</v>
      </c>
      <c r="B60" s="12" t="inlineStr">
        <is>
          <t>外壁塗装 工期</t>
        </is>
      </c>
      <c r="C60" s="12" t="inlineStr">
        <is>
          <t>059.webp</t>
        </is>
      </c>
      <c r="D60" s="12" t="inlineStr">
        <is>
          <t>外壁塗装 工期</t>
        </is>
      </c>
      <c r="E60" s="12" t="inlineStr">
        <is>
          <t>放置リスクと判断基準を解説</t>
        </is>
      </c>
      <c r="F60" s="12" t="inlineStr">
        <is>
          <t>無料診断で状態確認</t>
        </is>
      </c>
      <c r="G60" s="12" t="inlineStr">
        <is>
          <t>外壁ひび割れ・チョーキング・住宅外観</t>
        </is>
      </c>
      <c r="H60" s="12" t="inlineStr">
        <is>
          <t>職人＋困った住人</t>
        </is>
      </c>
      <c r="I60" s="12" t="inlineStr">
        <is>
          <t>松山市版</t>
        </is>
      </c>
      <c r="J60" s="12" t="inlineStr">
        <is>
          <t>外壁塗装訴求</t>
        </is>
      </c>
      <c r="K60" s="12" t="str"/>
    </row>
    <row r="61">
      <c r="A61" s="12" t="n">
        <v>60</v>
      </c>
      <c r="B61" s="12" t="inlineStr">
        <is>
          <t>外壁塗装 足場代</t>
        </is>
      </c>
      <c r="C61" s="12" t="inlineStr">
        <is>
          <t>060.webp</t>
        </is>
      </c>
      <c r="D61" s="12" t="inlineStr">
        <is>
          <t>外壁塗装 足場代</t>
        </is>
      </c>
      <c r="E61" s="12" t="inlineStr">
        <is>
          <t>放置リスクと判断基準を解説</t>
        </is>
      </c>
      <c r="F61" s="12" t="inlineStr">
        <is>
          <t>無料診断で状態確認</t>
        </is>
      </c>
      <c r="G61" s="12" t="inlineStr">
        <is>
          <t>外壁ひび割れ・チョーキング・住宅外観</t>
        </is>
      </c>
      <c r="H61" s="12" t="inlineStr">
        <is>
          <t>職人＋困った住人</t>
        </is>
      </c>
      <c r="I61" s="12" t="inlineStr">
        <is>
          <t>松山市版</t>
        </is>
      </c>
      <c r="J61" s="12" t="inlineStr">
        <is>
          <t>外壁塗装訴求</t>
        </is>
      </c>
      <c r="K61" s="12" t="str"/>
    </row>
    <row r="62">
      <c r="A62" s="12" t="n">
        <v>61</v>
      </c>
      <c r="B62" s="12" t="inlineStr">
        <is>
          <t>樋 塗装 松山市</t>
        </is>
      </c>
      <c r="C62" s="12" t="inlineStr">
        <is>
          <t>061.webp</t>
        </is>
      </c>
      <c r="D62" s="12" t="inlineStr">
        <is>
          <t>樋 塗装 松山市</t>
        </is>
      </c>
      <c r="E62" s="12" t="inlineStr">
        <is>
          <t>割れ・外れ・劣化を放置NG</t>
        </is>
      </c>
      <c r="F62" s="12" t="inlineStr">
        <is>
          <t>交換と塗装の判断ポイント</t>
        </is>
      </c>
      <c r="G62" s="12" t="inlineStr">
        <is>
          <t>雨樋の割れ・外れ・雨水</t>
        </is>
      </c>
      <c r="H62" s="12" t="inlineStr">
        <is>
          <t>点検する職人</t>
        </is>
      </c>
      <c r="I62" s="12" t="inlineStr">
        <is>
          <t>松山市版</t>
        </is>
      </c>
      <c r="J62" s="12" t="inlineStr">
        <is>
          <t>付帯部訴求</t>
        </is>
      </c>
      <c r="K62" s="12" t="str"/>
    </row>
    <row r="63">
      <c r="A63" s="12" t="n">
        <v>62</v>
      </c>
      <c r="B63" s="12" t="inlineStr">
        <is>
          <t>雨樋 交換 松山市</t>
        </is>
      </c>
      <c r="C63" s="12" t="inlineStr">
        <is>
          <t>062.webp</t>
        </is>
      </c>
      <c r="D63" s="12" t="inlineStr">
        <is>
          <t>雨樋 交換 松山市</t>
        </is>
      </c>
      <c r="E63" s="12" t="inlineStr">
        <is>
          <t>割れ・外れ・劣化を放置NG</t>
        </is>
      </c>
      <c r="F63" s="12" t="inlineStr">
        <is>
          <t>交換と塗装の判断ポイント</t>
        </is>
      </c>
      <c r="G63" s="12" t="inlineStr">
        <is>
          <t>雨樋の割れ・外れ・雨水</t>
        </is>
      </c>
      <c r="H63" s="12" t="inlineStr">
        <is>
          <t>点検する職人</t>
        </is>
      </c>
      <c r="I63" s="12" t="inlineStr">
        <is>
          <t>松山市版</t>
        </is>
      </c>
      <c r="J63" s="12" t="inlineStr">
        <is>
          <t>付帯部訴求</t>
        </is>
      </c>
      <c r="K63" s="12" t="str"/>
    </row>
    <row r="64">
      <c r="A64" s="12" t="n">
        <v>63</v>
      </c>
      <c r="B64" s="12" t="inlineStr">
        <is>
          <t>雨樋 色あせ</t>
        </is>
      </c>
      <c r="C64" s="12" t="inlineStr">
        <is>
          <t>063.webp</t>
        </is>
      </c>
      <c r="D64" s="12" t="inlineStr">
        <is>
          <t>雨樋 色あせ</t>
        </is>
      </c>
      <c r="E64" s="12" t="inlineStr">
        <is>
          <t>割れ・外れ・劣化を放置NG</t>
        </is>
      </c>
      <c r="F64" s="12" t="inlineStr">
        <is>
          <t>交換と塗装の判断ポイント</t>
        </is>
      </c>
      <c r="G64" s="12" t="inlineStr">
        <is>
          <t>雨樋の割れ・外れ・雨水</t>
        </is>
      </c>
      <c r="H64" s="12" t="inlineStr">
        <is>
          <t>点検する職人</t>
        </is>
      </c>
      <c r="I64" s="12" t="inlineStr">
        <is>
          <t>松山市版</t>
        </is>
      </c>
      <c r="J64" s="12" t="inlineStr">
        <is>
          <t>付帯部訴求</t>
        </is>
      </c>
      <c r="K64" s="12" t="str"/>
    </row>
    <row r="65">
      <c r="A65" s="12" t="n">
        <v>64</v>
      </c>
      <c r="B65" s="12" t="inlineStr">
        <is>
          <t>雨樋 塗装 必要</t>
        </is>
      </c>
      <c r="C65" s="12" t="inlineStr">
        <is>
          <t>064.webp</t>
        </is>
      </c>
      <c r="D65" s="12" t="inlineStr">
        <is>
          <t>雨樋 塗装 必要</t>
        </is>
      </c>
      <c r="E65" s="12" t="inlineStr">
        <is>
          <t>割れ・外れ・劣化を放置NG</t>
        </is>
      </c>
      <c r="F65" s="12" t="inlineStr">
        <is>
          <t>交換と塗装の判断ポイント</t>
        </is>
      </c>
      <c r="G65" s="12" t="inlineStr">
        <is>
          <t>雨樋の割れ・外れ・雨水</t>
        </is>
      </c>
      <c r="H65" s="12" t="inlineStr">
        <is>
          <t>点検する職人</t>
        </is>
      </c>
      <c r="I65" s="12" t="inlineStr">
        <is>
          <t>松山市版</t>
        </is>
      </c>
      <c r="J65" s="12" t="inlineStr">
        <is>
          <t>付帯部訴求</t>
        </is>
      </c>
      <c r="K65" s="12" t="str"/>
    </row>
    <row r="66">
      <c r="A66" s="12" t="n">
        <v>65</v>
      </c>
      <c r="B66" s="12" t="inlineStr">
        <is>
          <t>雨樋 塗装 費用</t>
        </is>
      </c>
      <c r="C66" s="12" t="inlineStr">
        <is>
          <t>065.webp</t>
        </is>
      </c>
      <c r="D66" s="12" t="inlineStr">
        <is>
          <t>雨樋 塗装 費用</t>
        </is>
      </c>
      <c r="E66" s="12" t="inlineStr">
        <is>
          <t>割れ・外れ・劣化を放置NG</t>
        </is>
      </c>
      <c r="F66" s="12" t="inlineStr">
        <is>
          <t>交換と塗装の判断ポイント</t>
        </is>
      </c>
      <c r="G66" s="12" t="inlineStr">
        <is>
          <t>雨樋の割れ・外れ・雨水</t>
        </is>
      </c>
      <c r="H66" s="12" t="inlineStr">
        <is>
          <t>点検する職人</t>
        </is>
      </c>
      <c r="I66" s="12" t="inlineStr">
        <is>
          <t>松山市版</t>
        </is>
      </c>
      <c r="J66" s="12" t="inlineStr">
        <is>
          <t>付帯部訴求</t>
        </is>
      </c>
      <c r="K66" s="12" t="str"/>
    </row>
    <row r="67">
      <c r="A67" s="12" t="n">
        <v>66</v>
      </c>
      <c r="B67" s="12" t="inlineStr">
        <is>
          <t>雨樋 割れ 補修</t>
        </is>
      </c>
      <c r="C67" s="12" t="inlineStr">
        <is>
          <t>066.webp</t>
        </is>
      </c>
      <c r="D67" s="12" t="inlineStr">
        <is>
          <t>雨樋 割れ 補修</t>
        </is>
      </c>
      <c r="E67" s="12" t="inlineStr">
        <is>
          <t>割れ・外れ・劣化を放置NG</t>
        </is>
      </c>
      <c r="F67" s="12" t="inlineStr">
        <is>
          <t>交換と塗装の判断ポイント</t>
        </is>
      </c>
      <c r="G67" s="12" t="inlineStr">
        <is>
          <t>雨樋の割れ・外れ・雨水</t>
        </is>
      </c>
      <c r="H67" s="12" t="inlineStr">
        <is>
          <t>点検する職人</t>
        </is>
      </c>
      <c r="I67" s="12" t="inlineStr">
        <is>
          <t>松山市版</t>
        </is>
      </c>
      <c r="J67" s="12" t="inlineStr">
        <is>
          <t>付帯部訴求</t>
        </is>
      </c>
      <c r="K67" s="12" t="str"/>
    </row>
    <row r="68">
      <c r="A68" s="12" t="n">
        <v>67</v>
      </c>
      <c r="B68" s="12" t="inlineStr">
        <is>
          <t>雨樋 外れ 修理</t>
        </is>
      </c>
      <c r="C68" s="12" t="inlineStr">
        <is>
          <t>067.webp</t>
        </is>
      </c>
      <c r="D68" s="12" t="inlineStr">
        <is>
          <t>雨樋 外れ 修理</t>
        </is>
      </c>
      <c r="E68" s="12" t="inlineStr">
        <is>
          <t>割れ・外れ・劣化を放置NG</t>
        </is>
      </c>
      <c r="F68" s="12" t="inlineStr">
        <is>
          <t>交換と塗装の判断ポイント</t>
        </is>
      </c>
      <c r="G68" s="12" t="inlineStr">
        <is>
          <t>雨樋の割れ・外れ・雨水</t>
        </is>
      </c>
      <c r="H68" s="12" t="inlineStr">
        <is>
          <t>点検する職人</t>
        </is>
      </c>
      <c r="I68" s="12" t="inlineStr">
        <is>
          <t>松山市版</t>
        </is>
      </c>
      <c r="J68" s="12" t="inlineStr">
        <is>
          <t>付帯部訴求</t>
        </is>
      </c>
      <c r="K68" s="12" t="str"/>
    </row>
    <row r="69">
      <c r="A69" s="12" t="n">
        <v>68</v>
      </c>
      <c r="B69" s="12" t="inlineStr">
        <is>
          <t>雨樋 劣化 症状</t>
        </is>
      </c>
      <c r="C69" s="12" t="inlineStr">
        <is>
          <t>068.webp</t>
        </is>
      </c>
      <c r="D69" s="12" t="inlineStr">
        <is>
          <t>雨樋 劣化 症状</t>
        </is>
      </c>
      <c r="E69" s="12" t="inlineStr">
        <is>
          <t>割れ・外れ・劣化を放置NG</t>
        </is>
      </c>
      <c r="F69" s="12" t="inlineStr">
        <is>
          <t>交換と塗装の判断ポイント</t>
        </is>
      </c>
      <c r="G69" s="12" t="inlineStr">
        <is>
          <t>雨樋の割れ・外れ・雨水</t>
        </is>
      </c>
      <c r="H69" s="12" t="inlineStr">
        <is>
          <t>点検する職人</t>
        </is>
      </c>
      <c r="I69" s="12" t="inlineStr">
        <is>
          <t>松山市版</t>
        </is>
      </c>
      <c r="J69" s="12" t="inlineStr">
        <is>
          <t>付帯部訴求</t>
        </is>
      </c>
      <c r="K69" s="12" t="str"/>
    </row>
    <row r="70">
      <c r="A70" s="12" t="n">
        <v>69</v>
      </c>
      <c r="B70" s="12" t="inlineStr">
        <is>
          <t>雨樋 チョーキング</t>
        </is>
      </c>
      <c r="C70" s="12" t="inlineStr">
        <is>
          <t>069.webp</t>
        </is>
      </c>
      <c r="D70" s="12" t="inlineStr">
        <is>
          <t>雨樋 チョーキング</t>
        </is>
      </c>
      <c r="E70" s="12" t="inlineStr">
        <is>
          <t>割れ・外れ・劣化を放置NG</t>
        </is>
      </c>
      <c r="F70" s="12" t="inlineStr">
        <is>
          <t>交換と塗装の判断ポイント</t>
        </is>
      </c>
      <c r="G70" s="12" t="inlineStr">
        <is>
          <t>雨樋の割れ・外れ・雨水</t>
        </is>
      </c>
      <c r="H70" s="12" t="inlineStr">
        <is>
          <t>点検する職人</t>
        </is>
      </c>
      <c r="I70" s="12" t="inlineStr">
        <is>
          <t>松山市版</t>
        </is>
      </c>
      <c r="J70" s="12" t="inlineStr">
        <is>
          <t>付帯部訴求</t>
        </is>
      </c>
      <c r="K70" s="12" t="str"/>
    </row>
    <row r="71">
      <c r="A71" s="12" t="n">
        <v>70</v>
      </c>
      <c r="B71" s="12" t="inlineStr">
        <is>
          <t>雨樋 塗り替え時期</t>
        </is>
      </c>
      <c r="C71" s="12" t="inlineStr">
        <is>
          <t>070.webp</t>
        </is>
      </c>
      <c r="D71" s="12" t="inlineStr">
        <is>
          <t>雨樋 塗り替え時期</t>
        </is>
      </c>
      <c r="E71" s="12" t="inlineStr">
        <is>
          <t>割れ・外れ・劣化を放置NG</t>
        </is>
      </c>
      <c r="F71" s="12" t="inlineStr">
        <is>
          <t>交換と塗装の判断ポイント</t>
        </is>
      </c>
      <c r="G71" s="12" t="inlineStr">
        <is>
          <t>雨樋の割れ・外れ・雨水</t>
        </is>
      </c>
      <c r="H71" s="12" t="inlineStr">
        <is>
          <t>点検する職人</t>
        </is>
      </c>
      <c r="I71" s="12" t="inlineStr">
        <is>
          <t>松山市版</t>
        </is>
      </c>
      <c r="J71" s="12" t="inlineStr">
        <is>
          <t>付帯部訴求</t>
        </is>
      </c>
      <c r="K71" s="12" t="str"/>
    </row>
    <row r="72">
      <c r="A72" s="12" t="n">
        <v>71</v>
      </c>
      <c r="B72" s="12" t="inlineStr">
        <is>
          <t>軒天 塗装 松山市</t>
        </is>
      </c>
      <c r="C72" s="12" t="inlineStr">
        <is>
          <t>071.webp</t>
        </is>
      </c>
      <c r="D72" s="12" t="inlineStr">
        <is>
          <t>軒天 塗装 松山市</t>
        </is>
      </c>
      <c r="E72" s="12" t="inlineStr">
        <is>
          <t>シミ・黒ずみ・剥がれは要注意</t>
        </is>
      </c>
      <c r="F72" s="12" t="inlineStr">
        <is>
          <t>補修と塗装の判断ポイント</t>
        </is>
      </c>
      <c r="G72" s="12" t="inlineStr">
        <is>
          <t>軒天シミ・黒ずみ・住宅軒下</t>
        </is>
      </c>
      <c r="H72" s="12" t="inlineStr">
        <is>
          <t>見上げる住人＋職人</t>
        </is>
      </c>
      <c r="I72" s="12" t="inlineStr">
        <is>
          <t>松山市版</t>
        </is>
      </c>
      <c r="J72" s="12" t="inlineStr">
        <is>
          <t>軒天訴求</t>
        </is>
      </c>
      <c r="K72" s="12" t="str"/>
    </row>
    <row r="73">
      <c r="A73" s="12" t="n">
        <v>72</v>
      </c>
      <c r="B73" s="12" t="inlineStr">
        <is>
          <t>軒天 シミ 原因</t>
        </is>
      </c>
      <c r="C73" s="12" t="inlineStr">
        <is>
          <t>072.webp</t>
        </is>
      </c>
      <c r="D73" s="12" t="inlineStr">
        <is>
          <t>軒天 シミ 原因の原因は？</t>
        </is>
      </c>
      <c r="E73" s="12" t="inlineStr">
        <is>
          <t>放置リスクと対処法を解説</t>
        </is>
      </c>
      <c r="F73" s="12" t="inlineStr">
        <is>
          <t>早めの確認が大切</t>
        </is>
      </c>
      <c r="G73" s="12" t="inlineStr">
        <is>
          <t>劣化箇所の拡大・雨染み・ひび割れ</t>
        </is>
      </c>
      <c r="H73" s="12" t="inlineStr">
        <is>
          <t>職人</t>
        </is>
      </c>
      <c r="I73" s="12" t="inlineStr">
        <is>
          <t>松山市版</t>
        </is>
      </c>
      <c r="J73" s="12" t="inlineStr">
        <is>
          <t>原因解説訴求</t>
        </is>
      </c>
      <c r="K73" s="12" t="str"/>
    </row>
    <row r="74">
      <c r="A74" s="12" t="n">
        <v>73</v>
      </c>
      <c r="B74" s="12" t="inlineStr">
        <is>
          <t>軒天 黒ずみ</t>
        </is>
      </c>
      <c r="C74" s="12" t="inlineStr">
        <is>
          <t>073.webp</t>
        </is>
      </c>
      <c r="D74" s="12" t="inlineStr">
        <is>
          <t>軒天 黒ずみ</t>
        </is>
      </c>
      <c r="E74" s="12" t="inlineStr">
        <is>
          <t>シミ・黒ずみ・剥がれは要注意</t>
        </is>
      </c>
      <c r="F74" s="12" t="inlineStr">
        <is>
          <t>補修と塗装の判断ポイント</t>
        </is>
      </c>
      <c r="G74" s="12" t="inlineStr">
        <is>
          <t>軒天シミ・黒ずみ・住宅軒下</t>
        </is>
      </c>
      <c r="H74" s="12" t="inlineStr">
        <is>
          <t>見上げる住人＋職人</t>
        </is>
      </c>
      <c r="I74" s="12" t="inlineStr">
        <is>
          <t>松山市版</t>
        </is>
      </c>
      <c r="J74" s="12" t="inlineStr">
        <is>
          <t>軒天訴求</t>
        </is>
      </c>
      <c r="K74" s="12" t="str"/>
    </row>
    <row r="75">
      <c r="A75" s="12" t="n">
        <v>74</v>
      </c>
      <c r="B75" s="12" t="inlineStr">
        <is>
          <t>軒天 カビ</t>
        </is>
      </c>
      <c r="C75" s="12" t="inlineStr">
        <is>
          <t>074.webp</t>
        </is>
      </c>
      <c r="D75" s="12" t="inlineStr">
        <is>
          <t>軒天 カビ</t>
        </is>
      </c>
      <c r="E75" s="12" t="inlineStr">
        <is>
          <t>シミ・黒ずみ・剥がれは要注意</t>
        </is>
      </c>
      <c r="F75" s="12" t="inlineStr">
        <is>
          <t>補修と塗装の判断ポイント</t>
        </is>
      </c>
      <c r="G75" s="12" t="inlineStr">
        <is>
          <t>軒天シミ・黒ずみ・住宅軒下</t>
        </is>
      </c>
      <c r="H75" s="12" t="inlineStr">
        <is>
          <t>見上げる住人＋職人</t>
        </is>
      </c>
      <c r="I75" s="12" t="inlineStr">
        <is>
          <t>松山市版</t>
        </is>
      </c>
      <c r="J75" s="12" t="inlineStr">
        <is>
          <t>軒天訴求</t>
        </is>
      </c>
      <c r="K75" s="12" t="str"/>
    </row>
    <row r="76">
      <c r="A76" s="12" t="n">
        <v>75</v>
      </c>
      <c r="B76" s="12" t="inlineStr">
        <is>
          <t>軒天 剥がれ</t>
        </is>
      </c>
      <c r="C76" s="12" t="inlineStr">
        <is>
          <t>075.webp</t>
        </is>
      </c>
      <c r="D76" s="12" t="inlineStr">
        <is>
          <t>軒天 剥がれ</t>
        </is>
      </c>
      <c r="E76" s="12" t="inlineStr">
        <is>
          <t>シミ・黒ずみ・剥がれは要注意</t>
        </is>
      </c>
      <c r="F76" s="12" t="inlineStr">
        <is>
          <t>補修と塗装の判断ポイント</t>
        </is>
      </c>
      <c r="G76" s="12" t="inlineStr">
        <is>
          <t>軒天シミ・黒ずみ・住宅軒下</t>
        </is>
      </c>
      <c r="H76" s="12" t="inlineStr">
        <is>
          <t>見上げる住人＋職人</t>
        </is>
      </c>
      <c r="I76" s="12" t="inlineStr">
        <is>
          <t>松山市版</t>
        </is>
      </c>
      <c r="J76" s="12" t="inlineStr">
        <is>
          <t>軒天訴求</t>
        </is>
      </c>
      <c r="K76" s="12" t="str"/>
    </row>
    <row r="77">
      <c r="A77" s="12" t="n">
        <v>76</v>
      </c>
      <c r="B77" s="12" t="inlineStr">
        <is>
          <t>軒天 ベニヤ 張り替え</t>
        </is>
      </c>
      <c r="C77" s="12" t="inlineStr">
        <is>
          <t>076.webp</t>
        </is>
      </c>
      <c r="D77" s="12" t="inlineStr">
        <is>
          <t>軒天 ベニヤ 張り替え</t>
        </is>
      </c>
      <c r="E77" s="12" t="inlineStr">
        <is>
          <t>シミ・黒ずみ・剥がれは要注意</t>
        </is>
      </c>
      <c r="F77" s="12" t="inlineStr">
        <is>
          <t>補修と塗装の判断ポイント</t>
        </is>
      </c>
      <c r="G77" s="12" t="inlineStr">
        <is>
          <t>軒天シミ・黒ずみ・住宅軒下</t>
        </is>
      </c>
      <c r="H77" s="12" t="inlineStr">
        <is>
          <t>見上げる住人＋職人</t>
        </is>
      </c>
      <c r="I77" s="12" t="inlineStr">
        <is>
          <t>松山市版</t>
        </is>
      </c>
      <c r="J77" s="12" t="inlineStr">
        <is>
          <t>軒天訴求</t>
        </is>
      </c>
      <c r="K77" s="12" t="str"/>
    </row>
    <row r="78">
      <c r="A78" s="12" t="n">
        <v>77</v>
      </c>
      <c r="B78" s="12" t="inlineStr">
        <is>
          <t>軒天 雨漏り</t>
        </is>
      </c>
      <c r="C78" s="12" t="inlineStr">
        <is>
          <t>077.webp</t>
        </is>
      </c>
      <c r="D78" s="12" t="inlineStr">
        <is>
          <t>軒天 雨漏り</t>
        </is>
      </c>
      <c r="E78" s="12" t="inlineStr">
        <is>
          <t>シミ・黒ずみ・剥がれは要注意</t>
        </is>
      </c>
      <c r="F78" s="12" t="inlineStr">
        <is>
          <t>補修と塗装の判断ポイント</t>
        </is>
      </c>
      <c r="G78" s="12" t="inlineStr">
        <is>
          <t>軒天シミ・黒ずみ・住宅軒下</t>
        </is>
      </c>
      <c r="H78" s="12" t="inlineStr">
        <is>
          <t>見上げる住人＋職人</t>
        </is>
      </c>
      <c r="I78" s="12" t="inlineStr">
        <is>
          <t>松山市版</t>
        </is>
      </c>
      <c r="J78" s="12" t="inlineStr">
        <is>
          <t>軒天訴求</t>
        </is>
      </c>
      <c r="K78" s="12" t="str"/>
    </row>
    <row r="79">
      <c r="A79" s="12" t="n">
        <v>78</v>
      </c>
      <c r="B79" s="12" t="inlineStr">
        <is>
          <t>軒天 塗装 費用</t>
        </is>
      </c>
      <c r="C79" s="12" t="inlineStr">
        <is>
          <t>078.webp</t>
        </is>
      </c>
      <c r="D79" s="12" t="inlineStr">
        <is>
          <t>軒天 塗装 費用</t>
        </is>
      </c>
      <c r="E79" s="12" t="inlineStr">
        <is>
          <t>シミ・黒ずみ・剥がれは要注意</t>
        </is>
      </c>
      <c r="F79" s="12" t="inlineStr">
        <is>
          <t>補修と塗装の判断ポイント</t>
        </is>
      </c>
      <c r="G79" s="12" t="inlineStr">
        <is>
          <t>軒天シミ・黒ずみ・住宅軒下</t>
        </is>
      </c>
      <c r="H79" s="12" t="inlineStr">
        <is>
          <t>見上げる住人＋職人</t>
        </is>
      </c>
      <c r="I79" s="12" t="inlineStr">
        <is>
          <t>松山市版</t>
        </is>
      </c>
      <c r="J79" s="12" t="inlineStr">
        <is>
          <t>軒天訴求</t>
        </is>
      </c>
      <c r="K79" s="12" t="str"/>
    </row>
    <row r="80">
      <c r="A80" s="12" t="n">
        <v>79</v>
      </c>
      <c r="B80" s="12" t="inlineStr">
        <is>
          <t>軒天 補修</t>
        </is>
      </c>
      <c r="C80" s="12" t="inlineStr">
        <is>
          <t>079.webp</t>
        </is>
      </c>
      <c r="D80" s="12" t="inlineStr">
        <is>
          <t>軒天 補修</t>
        </is>
      </c>
      <c r="E80" s="12" t="inlineStr">
        <is>
          <t>シミ・黒ずみ・剥がれは要注意</t>
        </is>
      </c>
      <c r="F80" s="12" t="inlineStr">
        <is>
          <t>補修と塗装の判断ポイント</t>
        </is>
      </c>
      <c r="G80" s="12" t="inlineStr">
        <is>
          <t>軒天シミ・黒ずみ・住宅軒下</t>
        </is>
      </c>
      <c r="H80" s="12" t="inlineStr">
        <is>
          <t>見上げる住人＋職人</t>
        </is>
      </c>
      <c r="I80" s="12" t="inlineStr">
        <is>
          <t>松山市版</t>
        </is>
      </c>
      <c r="J80" s="12" t="inlineStr">
        <is>
          <t>軒天訴求</t>
        </is>
      </c>
      <c r="K80" s="12" t="str"/>
    </row>
    <row r="81">
      <c r="A81" s="12" t="n">
        <v>80</v>
      </c>
      <c r="B81" s="12" t="inlineStr">
        <is>
          <t>軒天 材料 種類</t>
        </is>
      </c>
      <c r="C81" s="12" t="inlineStr">
        <is>
          <t>080.webp</t>
        </is>
      </c>
      <c r="D81" s="12" t="inlineStr">
        <is>
          <t>軒天 材料 種類</t>
        </is>
      </c>
      <c r="E81" s="12" t="inlineStr">
        <is>
          <t>シミ・黒ずみ・剥がれは要注意</t>
        </is>
      </c>
      <c r="F81" s="12" t="inlineStr">
        <is>
          <t>補修と塗装の判断ポイント</t>
        </is>
      </c>
      <c r="G81" s="12" t="inlineStr">
        <is>
          <t>軒天シミ・黒ずみ・住宅軒下</t>
        </is>
      </c>
      <c r="H81" s="12" t="inlineStr">
        <is>
          <t>見上げる住人＋職人</t>
        </is>
      </c>
      <c r="I81" s="12" t="inlineStr">
        <is>
          <t>松山市版</t>
        </is>
      </c>
      <c r="J81" s="12" t="inlineStr">
        <is>
          <t>軒天訴求</t>
        </is>
      </c>
      <c r="K81" s="12" t="str"/>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6" customWidth="1" min="1" max="1"/>
    <col width="24" customWidth="1" min="2" max="2"/>
    <col width="90" customWidth="1" min="3" max="3"/>
  </cols>
  <sheetData>
    <row r="1">
      <c r="A1" s="40" t="inlineStr">
        <is>
          <t>区分</t>
        </is>
      </c>
      <c r="B1" s="40" t="inlineStr">
        <is>
          <t>ルール</t>
        </is>
      </c>
      <c r="C1" s="40" t="inlineStr">
        <is>
          <t>詳細</t>
        </is>
      </c>
    </row>
    <row r="2">
      <c r="A2" s="12" t="inlineStr">
        <is>
          <t>記事本文</t>
        </is>
      </c>
      <c r="B2" s="12" t="inlineStr">
        <is>
          <t>H1は入れない</t>
        </is>
      </c>
      <c r="C2" s="12" t="inlineStr">
        <is>
          <t>WordPress投稿タイトルでH1が出るため、MD本文は導入文から開始する。</t>
        </is>
      </c>
    </row>
    <row r="3">
      <c r="A3" s="12" t="inlineStr">
        <is>
          <t>記事本文</t>
        </is>
      </c>
      <c r="B3" s="12" t="inlineStr">
        <is>
          <t>砂田塗装ブログ型</t>
        </is>
      </c>
      <c r="C3" s="12" t="inlineStr">
        <is>
          <t>症状の悩み→この記事でわかること→地域事情→原因・症状→事例→費用→業者選び→CTA→FAQ→まとめ。</t>
        </is>
      </c>
    </row>
    <row r="4">
      <c r="A4" s="12" t="inlineStr">
        <is>
          <t>記事本文</t>
        </is>
      </c>
      <c r="B4" s="12" t="inlineStr">
        <is>
          <t>地域性</t>
        </is>
      </c>
      <c r="C4" s="12" t="inlineStr">
        <is>
          <t>松山市の紫外線・台風・湿気・塩害・地域名（久米、石井、余戸、三津、北条、道後など）を自然に入れる。</t>
        </is>
      </c>
    </row>
    <row r="5">
      <c r="A5" s="12" t="inlineStr">
        <is>
          <t>記事本文</t>
        </is>
      </c>
      <c r="B5" s="12" t="inlineStr">
        <is>
          <t>訴求サービス</t>
        </is>
      </c>
      <c r="C5" s="12" t="inlineStr">
        <is>
          <t>無料点検、外装劣化診断、写真付き劣化診断書、必要な工事だけ提案、職人目線を入れる。</t>
        </is>
      </c>
    </row>
    <row r="6">
      <c r="A6" s="12" t="inlineStr">
        <is>
          <t>記事本文</t>
        </is>
      </c>
      <c r="B6" s="12" t="inlineStr">
        <is>
          <t>内部リンク</t>
        </is>
      </c>
      <c r="C6" s="12" t="inlineStr">
        <is>
          <t>雨漏り修理、外装劣化診断、料金目安、関連ブログ、施工事例へ自然に誘導する。</t>
        </is>
      </c>
    </row>
    <row r="7">
      <c r="A7" s="12" t="inlineStr">
        <is>
          <t>アイキャッチ</t>
        </is>
      </c>
      <c r="B7" s="12" t="inlineStr">
        <is>
          <t>記事ごとに作り分け</t>
        </is>
      </c>
      <c r="C7" s="12" t="inlineStr">
        <is>
          <t>背景・人物・症状・訴求をKWごとに変更する。共通テンプレートだけにしない。</t>
        </is>
      </c>
    </row>
    <row r="8">
      <c r="A8" s="12" t="inlineStr">
        <is>
          <t>アイキャッチ</t>
        </is>
      </c>
      <c r="B8" s="12" t="inlineStr">
        <is>
          <t>文字後乗せ</t>
        </is>
      </c>
      <c r="C8" s="12" t="inlineStr">
        <is>
          <t>日本語文字は画像生成AIではなく、後から合成して誤字崩れを防ぐ。</t>
        </is>
      </c>
    </row>
    <row r="9">
      <c r="A9" s="12" t="inlineStr">
        <is>
          <t>GitHub</t>
        </is>
      </c>
      <c r="B9" s="12" t="inlineStr">
        <is>
          <t>ファイル名</t>
        </is>
      </c>
      <c r="C9" s="12" t="inlineStr">
        <is>
          <t>記事は articles/001.md、画像は eyecatches/001.webp の形式で管理する。</t>
        </is>
      </c>
    </row>
    <row r="10">
      <c r="A10" s="12" t="inlineStr">
        <is>
          <t>Actions</t>
        </is>
      </c>
      <c r="B10" s="12" t="inlineStr">
        <is>
          <t>実行順</t>
        </is>
      </c>
      <c r="C10" s="12" t="inlineStr">
        <is>
          <t>dry-run → post/create_only limit=1 → WordPress確認 → 5〜10件投稿 → 管理簿更新。</t>
        </is>
      </c>
    </row>
    <row r="11">
      <c r="A11" s="12" t="inlineStr">
        <is>
          <t>Actions</t>
        </is>
      </c>
      <c r="B11" s="12" t="inlineStr">
        <is>
          <t>更新テスト</t>
        </is>
      </c>
      <c r="C11" s="12" t="inlineStr">
        <is>
          <t>既存下書きを更新する場合は write_mode=update_only、または upsert を使う。</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7" customWidth="1" min="1" max="1"/>
    <col width="17" customWidth="1" min="2" max="2"/>
    <col width="18.75" customWidth="1" min="3" max="3"/>
    <col width="13.38000011444092" customWidth="1" min="4" max="4"/>
    <col width="13.38000011444092" customWidth="1" min="5" max="5"/>
    <col width="31.75" customWidth="1" min="6" max="6"/>
    <col width="16.1299991607666" customWidth="1" min="7" max="7"/>
    <col width="20.75" customWidth="1" min="8" max="8"/>
    <col width="20.75" customWidth="1" min="9" max="9"/>
    <col width="9.75" customWidth="1" min="10" max="10"/>
  </cols>
  <sheetData>
    <row r="1" ht="15" customHeight="1">
      <c r="A1" s="6" t="inlineStr">
        <is>
          <t>記事制作ステータス</t>
        </is>
      </c>
      <c r="B1" s="6" t="inlineStr">
        <is>
          <t>画像制作ステータス</t>
        </is>
      </c>
      <c r="C1" s="6" t="inlineStr">
        <is>
          <t>GitHub反映ステータス</t>
        </is>
      </c>
      <c r="D1" s="6" t="inlineStr">
        <is>
          <t>投稿ステータス</t>
        </is>
      </c>
      <c r="E1" s="6" t="inlineStr">
        <is>
          <t>最終実行モード</t>
        </is>
      </c>
      <c r="F1" s="6" t="inlineStr">
        <is>
          <t>主訴求サービス</t>
        </is>
      </c>
      <c r="G1" s="6" t="inlineStr">
        <is>
          <t>CTAタイプ</t>
        </is>
      </c>
      <c r="H1" s="6" t="inlineStr">
        <is>
          <t>記事構成型</t>
        </is>
      </c>
      <c r="I1" s="6" t="inlineStr">
        <is>
          <t>アイキャッチ方向性</t>
        </is>
      </c>
      <c r="J1" s="6" t="inlineStr">
        <is>
          <t>文字数判定</t>
        </is>
      </c>
    </row>
    <row r="2" ht="15" customHeight="1">
      <c r="A2" s="12" t="inlineStr">
        <is>
          <t>未着手</t>
        </is>
      </c>
      <c r="B2" s="12" t="inlineStr">
        <is>
          <t>未着手</t>
        </is>
      </c>
      <c r="C2" s="12" t="inlineStr">
        <is>
          <t>未反映</t>
        </is>
      </c>
      <c r="D2" s="12" t="inlineStr">
        <is>
          <t>未投稿</t>
        </is>
      </c>
      <c r="E2" s="12" t="inlineStr">
        <is>
          <t>create_only</t>
        </is>
      </c>
      <c r="F2" s="12" t="inlineStr">
        <is>
          <t>付帯部点検・外装劣化診断</t>
        </is>
      </c>
      <c r="G2" s="12" t="inlineStr">
        <is>
          <t>雨漏り無料点検CTA</t>
        </is>
      </c>
      <c r="H2" s="12" t="inlineStr">
        <is>
          <t>地域サービス型</t>
        </is>
      </c>
      <c r="I2" s="12" t="inlineStr">
        <is>
          <t>付帯部訴求</t>
        </is>
      </c>
      <c r="J2" s="12" t="inlineStr">
        <is>
          <t>OK</t>
        </is>
      </c>
    </row>
    <row r="3" ht="15" customHeight="1">
      <c r="A3" s="12" t="inlineStr">
        <is>
          <t>作成中</t>
        </is>
      </c>
      <c r="B3" s="12" t="inlineStr">
        <is>
          <t>作成中</t>
        </is>
      </c>
      <c r="C3" s="12" t="inlineStr">
        <is>
          <t>要反映</t>
        </is>
      </c>
      <c r="D3" s="12" t="inlineStr">
        <is>
          <t>dry-run済</t>
        </is>
      </c>
      <c r="E3" s="12" t="inlineStr">
        <is>
          <t>update_only</t>
        </is>
      </c>
      <c r="F3" s="12" t="inlineStr">
        <is>
          <t>写真付き劣化診断書</t>
        </is>
      </c>
      <c r="G3" s="12" t="inlineStr">
        <is>
          <t>写真付き診断CTA</t>
        </is>
      </c>
      <c r="H3" s="12" t="inlineStr">
        <is>
          <t>費用・相場型</t>
        </is>
      </c>
      <c r="I3" s="12" t="inlineStr">
        <is>
          <t>原因解説訴求</t>
        </is>
      </c>
      <c r="J3" s="12" t="inlineStr">
        <is>
          <t>不足</t>
        </is>
      </c>
    </row>
    <row r="4" ht="15" customHeight="1">
      <c r="A4" s="12" t="inlineStr">
        <is>
          <t>作成済</t>
        </is>
      </c>
      <c r="B4" s="12" t="inlineStr">
        <is>
          <t>作成済</t>
        </is>
      </c>
      <c r="C4" s="12" t="inlineStr">
        <is>
          <t>反映済</t>
        </is>
      </c>
      <c r="D4" s="12" t="inlineStr">
        <is>
          <t>下書き投稿済</t>
        </is>
      </c>
      <c r="E4" s="12" t="inlineStr">
        <is>
          <t>upsert</t>
        </is>
      </c>
      <c r="F4" s="12" t="inlineStr">
        <is>
          <t>国家資格者診断・必要な工事だけ提案</t>
        </is>
      </c>
      <c r="G4" s="12" t="inlineStr">
        <is>
          <t>外装劣化診断CTA</t>
        </is>
      </c>
      <c r="H4" s="12" t="inlineStr">
        <is>
          <t>原因・症状解説型</t>
        </is>
      </c>
      <c r="I4" s="12" t="inlineStr">
        <is>
          <t>外壁塗装訴求</t>
        </is>
      </c>
      <c r="J4" s="12" t="inlineStr">
        <is>
          <t>超過</t>
        </is>
      </c>
    </row>
    <row r="5" ht="15" customHeight="1">
      <c r="A5" s="12" t="inlineStr">
        <is>
          <t>要再編集</t>
        </is>
      </c>
      <c r="B5" s="12" t="inlineStr">
        <is>
          <t>差替必要</t>
        </is>
      </c>
      <c r="C5" s="12" t="inlineStr">
        <is>
          <t>反映失敗</t>
        </is>
      </c>
      <c r="D5" s="12" t="inlineStr">
        <is>
          <t>投稿済</t>
        </is>
      </c>
      <c r="E5" s="12" t="n"/>
      <c r="F5" s="12" t="inlineStr">
        <is>
          <t>外装劣化診断・外壁塗装無料見積り</t>
        </is>
      </c>
      <c r="G5" s="12" t="inlineStr">
        <is>
          <t>無料見積りCTA</t>
        </is>
      </c>
      <c r="H5" s="12" t="inlineStr">
        <is>
          <t>業者選び型</t>
        </is>
      </c>
      <c r="I5" s="12" t="inlineStr">
        <is>
          <t>屋根修理訴求</t>
        </is>
      </c>
      <c r="J5" s="12" t="n"/>
    </row>
    <row r="6" ht="15" customHeight="1">
      <c r="A6" s="12" t="inlineStr">
        <is>
          <t>修正中</t>
        </is>
      </c>
      <c r="B6" s="12" t="inlineStr">
        <is>
          <t>修正中</t>
        </is>
      </c>
      <c r="C6" s="12" t="n"/>
      <c r="D6" s="12" t="inlineStr">
        <is>
          <t>更新済</t>
        </is>
      </c>
      <c r="E6" s="12" t="n"/>
      <c r="F6" s="12" t="inlineStr">
        <is>
          <t>外装劣化診断（無料現地調査）</t>
        </is>
      </c>
      <c r="G6" s="12" t="inlineStr">
        <is>
          <t>屋根点検CTA</t>
        </is>
      </c>
      <c r="H6" s="12" t="inlineStr">
        <is>
          <t>建材・屋根材注意喚起型</t>
        </is>
      </c>
      <c r="I6" s="12" t="inlineStr">
        <is>
          <t>強めサムネ・費用訴求</t>
        </is>
      </c>
      <c r="J6" s="12" t="n"/>
    </row>
    <row r="7" ht="15" customHeight="1">
      <c r="A7" s="12" t="inlineStr">
        <is>
          <t>完了</t>
        </is>
      </c>
      <c r="B7" s="12" t="inlineStr">
        <is>
          <t>完了</t>
        </is>
      </c>
      <c r="C7" s="12" t="n"/>
      <c r="D7" s="12" t="inlineStr">
        <is>
          <t>要更新確認</t>
        </is>
      </c>
      <c r="E7" s="12" t="n"/>
      <c r="F7" s="12" t="inlineStr">
        <is>
          <t>屋根無料点検・屋根修理</t>
        </is>
      </c>
      <c r="G7" s="12" t="inlineStr">
        <is>
          <t>防水点検CTA</t>
        </is>
      </c>
      <c r="H7" s="12" t="inlineStr">
        <is>
          <t>ハウスメーカー住宅型</t>
        </is>
      </c>
      <c r="I7" s="12" t="inlineStr">
        <is>
          <t>強めサムネ・雨漏り訴求</t>
        </is>
      </c>
      <c r="J7" s="12" t="n"/>
    </row>
    <row r="8" ht="15" customHeight="1">
      <c r="A8" s="12" t="n"/>
      <c r="B8" s="12" t="n"/>
      <c r="C8" s="12" t="n"/>
      <c r="D8" s="12" t="inlineStr">
        <is>
          <t>skipped</t>
        </is>
      </c>
      <c r="E8" s="12" t="n"/>
      <c r="F8" s="12" t="inlineStr">
        <is>
          <t>無料見積り・費用根拠の見える化</t>
        </is>
      </c>
      <c r="G8" s="12" t="inlineStr">
        <is>
          <t>付帯部点検CTA</t>
        </is>
      </c>
      <c r="H8" s="12" t="n"/>
      <c r="I8" s="12" t="inlineStr">
        <is>
          <t>業者選び訴求</t>
        </is>
      </c>
      <c r="J8" s="12" t="n"/>
    </row>
    <row r="9" ht="15" customHeight="1">
      <c r="A9" s="12" t="n"/>
      <c r="B9" s="12" t="n"/>
      <c r="C9" s="12" t="n"/>
      <c r="D9" s="12" t="inlineStr">
        <is>
          <t>error</t>
        </is>
      </c>
      <c r="E9" s="12" t="n"/>
      <c r="F9" s="12" t="inlineStr">
        <is>
          <t>防水工事・シーリング工事</t>
        </is>
      </c>
      <c r="G9" s="12" t="n"/>
      <c r="H9" s="12" t="n"/>
      <c r="I9" s="12" t="inlineStr">
        <is>
          <t>汎用外装訴求</t>
        </is>
      </c>
      <c r="J9" s="12" t="n"/>
    </row>
    <row r="10" ht="15" customHeight="1">
      <c r="A10" s="12" t="n"/>
      <c r="B10" s="12" t="n"/>
      <c r="C10" s="12" t="n"/>
      <c r="D10" s="12" t="n"/>
      <c r="E10" s="12" t="n"/>
      <c r="F10" s="12" t="inlineStr">
        <is>
          <t>雨漏り無料点検・無料見積り</t>
        </is>
      </c>
      <c r="G10" s="12" t="n"/>
      <c r="H10" s="12" t="n"/>
      <c r="I10" s="12" t="inlineStr">
        <is>
          <t>診断訴求・不安解消</t>
        </is>
      </c>
      <c r="J10" s="12" t="n"/>
    </row>
    <row r="11" ht="15" customHeight="1">
      <c r="A11" s="12" t="n"/>
      <c r="B11" s="12" t="n"/>
      <c r="C11" s="12" t="n"/>
      <c r="D11" s="12" t="n"/>
      <c r="E11" s="12" t="n"/>
      <c r="F11" s="12" t="n"/>
      <c r="G11" s="12" t="n"/>
      <c r="H11" s="12" t="n"/>
      <c r="I11" s="12" t="inlineStr">
        <is>
          <t>調査訴求・原因特定</t>
        </is>
      </c>
      <c r="J11" s="12" t="n"/>
    </row>
    <row r="12" ht="15" customHeight="1">
      <c r="A12" s="12" t="n"/>
      <c r="B12" s="12" t="n"/>
      <c r="C12" s="12" t="n"/>
      <c r="D12" s="12" t="n"/>
      <c r="E12" s="12" t="n"/>
      <c r="F12" s="12" t="n"/>
      <c r="G12" s="12" t="n"/>
      <c r="H12" s="12" t="n"/>
      <c r="I12" s="12" t="inlineStr">
        <is>
          <t>軒天訴求</t>
        </is>
      </c>
      <c r="J12" s="12" t="n"/>
    </row>
    <row r="13" ht="15" customHeight="1">
      <c r="A13" s="12" t="n"/>
      <c r="B13" s="12" t="n"/>
      <c r="C13" s="12" t="n"/>
      <c r="D13" s="12" t="n"/>
      <c r="E13" s="12" t="n"/>
      <c r="F13" s="12" t="n"/>
      <c r="G13" s="12" t="n"/>
      <c r="H13" s="12" t="n"/>
      <c r="I13" s="12" t="inlineStr">
        <is>
          <t>防水訴求</t>
        </is>
      </c>
      <c r="J13" s="12"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K1"/>
  <sheetViews>
    <sheetView workbookViewId="0">
      <selection activeCell="A1" sqref="A1"/>
    </sheetView>
  </sheetViews>
  <sheetFormatPr baseColWidth="8" defaultRowHeight="15"/>
  <cols>
    <col width="20" customWidth="1" min="1" max="1"/>
    <col width="6" customWidth="1" min="2" max="2"/>
    <col width="24" customWidth="1" min="3" max="3"/>
    <col width="12" customWidth="1" min="4" max="4"/>
    <col width="14" customWidth="1" min="5" max="5"/>
    <col width="14" customWidth="1" min="6" max="6"/>
    <col width="12" customWidth="1" min="7" max="7"/>
    <col width="35" customWidth="1" min="8" max="8"/>
    <col width="18" customWidth="1" min="9" max="9"/>
    <col width="18" customWidth="1" min="10" max="10"/>
    <col width="60" customWidth="1" min="11" max="11"/>
  </cols>
  <sheetData>
    <row r="1" ht="15" customHeight="1">
      <c r="A1" s="70" t="inlineStr">
        <is>
          <t>実行日時</t>
        </is>
      </c>
      <c r="B1" s="45" t="inlineStr">
        <is>
          <t>No</t>
        </is>
      </c>
      <c r="C1" s="45" t="inlineStr">
        <is>
          <t>指定KW</t>
        </is>
      </c>
      <c r="D1" s="45" t="inlineStr">
        <is>
          <t>mode</t>
        </is>
      </c>
      <c r="E1" s="45" t="inlineStr">
        <is>
          <t>write_mode</t>
        </is>
      </c>
      <c r="F1" s="45" t="inlineStr">
        <is>
          <t>status</t>
        </is>
      </c>
      <c r="G1" s="45" t="inlineStr">
        <is>
          <t>WP投稿ID</t>
        </is>
      </c>
      <c r="H1" s="45" t="inlineStr">
        <is>
          <t>WP投稿URL</t>
        </is>
      </c>
      <c r="I1" s="45" t="inlineStr">
        <is>
          <t>記事ファイル</t>
        </is>
      </c>
      <c r="J1" s="45" t="inlineStr">
        <is>
          <t>画像ファイル</t>
        </is>
      </c>
      <c r="K1" s="45" t="inlineStr">
        <is>
          <t>message</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8" customWidth="1" min="1" max="1"/>
    <col width="100" customWidth="1" min="2" max="2"/>
  </cols>
  <sheetData>
    <row r="1">
      <c r="A1" s="4" t="inlineStr">
        <is>
          <t>項目</t>
        </is>
      </c>
      <c r="B1" s="4" t="inlineStr">
        <is>
          <t>内容</t>
        </is>
      </c>
    </row>
    <row r="2">
      <c r="A2" s="12" t="inlineStr">
        <is>
          <t>GitHub必須構成</t>
        </is>
      </c>
      <c r="B2" s="12" t="inlineStr">
        <is>
          <t>articles/001.md、eyecatches/001.webp、data/seo_80kw_production_management_v2.xlsx</t>
        </is>
      </c>
    </row>
    <row r="3">
      <c r="A3" s="12" t="inlineStr">
        <is>
          <t>wp_auto_post.pyが読む主な列</t>
        </is>
      </c>
      <c r="B3" s="12" t="inlineStr">
        <is>
          <t>No、指定KW、記事タイトル案、スラッグ、メタディスクリプション案、WPカテゴリ、タグ案、画像ファイル名</t>
        </is>
      </c>
    </row>
    <row r="4">
      <c r="A4" s="12" t="inlineStr">
        <is>
          <t>追加で更新したい列</t>
        </is>
      </c>
      <c r="B4" s="12" t="inlineStr">
        <is>
          <t>投稿ステータス、WP投稿ID、WP投稿URL、最終投稿日時、最終更新日時、最終実行モード、エラー内容、文字数実績、文字数判定</t>
        </is>
      </c>
    </row>
    <row r="5">
      <c r="A5" s="12" t="inlineStr">
        <is>
          <t>update_excelの方針</t>
        </is>
      </c>
      <c r="B5" s="12" t="inlineStr">
        <is>
          <t>update_excel=true のときだけExcelを書き換え、GitHubへcommit/pushする。通常はCSV出力のみ。</t>
        </is>
      </c>
    </row>
    <row r="6">
      <c r="A6" s="12" t="inlineStr">
        <is>
          <t>新規投稿</t>
        </is>
      </c>
      <c r="B6" s="12" t="inlineStr">
        <is>
          <t>mode=post / write_mode=create_only / post_status=draft / limit=1から開始</t>
        </is>
      </c>
    </row>
    <row r="7">
      <c r="A7" s="12" t="inlineStr">
        <is>
          <t>更新テスト</t>
        </is>
      </c>
      <c r="B7" s="12" t="inlineStr">
        <is>
          <t>mode=post / write_mode=update_only / post_status=draft / limit=1</t>
        </is>
      </c>
    </row>
    <row r="8">
      <c r="A8" s="12" t="inlineStr">
        <is>
          <t>まとめ投稿</t>
        </is>
      </c>
      <c r="B8" s="12" t="inlineStr">
        <is>
          <t>mode=post / write_mode=upsert / post_status=draft / limit=5〜10</t>
        </is>
      </c>
    </row>
    <row r="9">
      <c r="A9" s="12" t="inlineStr">
        <is>
          <t>注意</t>
        </is>
      </c>
      <c r="B9" s="12" t="inlineStr">
        <is>
          <t>publishは最後まで使わず、基本はdraftで目視確認してから公開する。</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W81"/>
  <sheetViews>
    <sheetView workbookViewId="0">
      <selection activeCell="A1" sqref="A1"/>
    </sheetView>
  </sheetViews>
  <sheetFormatPr baseColWidth="8" defaultRowHeight="15"/>
  <cols>
    <col width="5.25" customWidth="1" min="1" max="1"/>
    <col width="32.5" customWidth="1" min="2" max="2"/>
    <col width="32.5" customWidth="1" min="3" max="3"/>
    <col width="59.13000106811523" customWidth="1" min="4" max="4"/>
    <col width="20.75" customWidth="1" min="5" max="5"/>
    <col width="17" customWidth="1" min="6" max="6"/>
    <col width="12.63000011444092" customWidth="1" min="7" max="7"/>
    <col width="8.5" customWidth="1" min="8" max="8"/>
    <col width="29" customWidth="1" min="9" max="9"/>
    <col width="15.88000011444092" customWidth="1" min="10" max="10"/>
    <col width="32.5" customWidth="1" min="11" max="11"/>
    <col width="33.5" customWidth="1" min="12" max="12"/>
    <col width="38.13000106811523" customWidth="1" min="13" max="13"/>
    <col width="113" customWidth="1" min="14" max="14"/>
    <col width="15.25" customWidth="1" min="15" max="15"/>
    <col width="31.75" customWidth="1" min="16" max="16"/>
    <col width="15.88000011444092" customWidth="1" min="17" max="17"/>
    <col width="15.88000011444092" customWidth="1" min="18" max="18"/>
    <col width="15.88000011444092" customWidth="1" min="19" max="19"/>
    <col width="23.25" customWidth="1" min="20" max="20"/>
    <col width="9.75" customWidth="1" min="21" max="21"/>
    <col width="68.37999725341797" customWidth="1" min="22" max="22"/>
    <col width="6.75" customWidth="1" min="23" max="23"/>
  </cols>
  <sheetData>
    <row r="1">
      <c r="A1" s="53" t="inlineStr">
        <is>
          <t>No</t>
        </is>
      </c>
      <c r="B1" s="53" t="inlineStr">
        <is>
          <t>指定KW</t>
        </is>
      </c>
      <c r="C1" s="53" t="inlineStr">
        <is>
          <t>管理KW</t>
        </is>
      </c>
      <c r="D1" s="53" t="inlineStr">
        <is>
          <t>記事タイトル案</t>
        </is>
      </c>
      <c r="E1" s="53" t="inlineStr">
        <is>
          <t>記事カテゴリ</t>
        </is>
      </c>
      <c r="F1" s="53" t="inlineStr">
        <is>
          <t>記事タイプ</t>
        </is>
      </c>
      <c r="G1" s="53" t="inlineStr">
        <is>
          <t>文字数目安</t>
        </is>
      </c>
      <c r="H1" s="53" t="inlineStr">
        <is>
          <t>優先度</t>
        </is>
      </c>
      <c r="I1" s="53" t="inlineStr">
        <is>
          <t>ロット</t>
        </is>
      </c>
      <c r="J1" s="53" t="inlineStr">
        <is>
          <t>アイキャッチ型</t>
        </is>
      </c>
      <c r="K1" s="53" t="inlineStr">
        <is>
          <t>画像内テキスト</t>
        </is>
      </c>
      <c r="L1" s="53" t="inlineStr">
        <is>
          <t>スラッグ</t>
        </is>
      </c>
      <c r="M1" s="53" t="inlineStr">
        <is>
          <t>画像ファイル名</t>
        </is>
      </c>
      <c r="N1" s="53" t="inlineStr">
        <is>
          <t>メタディスクリプション案</t>
        </is>
      </c>
      <c r="O1" s="53" t="inlineStr">
        <is>
          <t>WPカテゴリ</t>
        </is>
      </c>
      <c r="P1" s="53" t="inlineStr">
        <is>
          <t>タグ案</t>
        </is>
      </c>
      <c r="Q1" s="53" t="inlineStr">
        <is>
          <t>制作ステータス</t>
        </is>
      </c>
      <c r="R1" s="53" t="inlineStr">
        <is>
          <t>構成ステータス</t>
        </is>
      </c>
      <c r="S1" s="53" t="inlineStr">
        <is>
          <t>本文ステータス</t>
        </is>
      </c>
      <c r="T1" s="53" t="inlineStr">
        <is>
          <t>アイキャッチステータス</t>
        </is>
      </c>
      <c r="U1" s="53" t="inlineStr">
        <is>
          <t>記事URL</t>
        </is>
      </c>
      <c r="V1" s="53" t="inlineStr">
        <is>
          <t>内部リンク方針</t>
        </is>
      </c>
      <c r="W1" s="53" t="inlineStr">
        <is>
          <t>備考</t>
        </is>
      </c>
    </row>
    <row r="2">
      <c r="A2" s="12" t="n">
        <v>1</v>
      </c>
      <c r="B2" s="12" t="inlineStr">
        <is>
          <t>松山市 雨漏り修理</t>
        </is>
      </c>
      <c r="C2" s="12" t="inlineStr">
        <is>
          <t>松山市 雨漏り修理</t>
        </is>
      </c>
      <c r="D2" s="12" t="inlineStr">
        <is>
          <t>松山市で雨漏り修理を依頼するなら？原因調査・費用・業者選びを解説</t>
        </is>
      </c>
      <c r="E2" s="12" t="inlineStr">
        <is>
          <t>雨漏り</t>
        </is>
      </c>
      <c r="F2" s="12" t="inlineStr">
        <is>
          <t>地域サービス型</t>
        </is>
      </c>
      <c r="G2" s="12" t="inlineStr">
        <is>
          <t>4,500〜6,500字</t>
        </is>
      </c>
      <c r="H2" s="12" t="inlineStr">
        <is>
          <t>高</t>
        </is>
      </c>
      <c r="I2" s="12" t="inlineStr">
        <is>
          <t>第1ロット：雨漏り系</t>
        </is>
      </c>
      <c r="J2" s="12" t="inlineStr">
        <is>
          <t>雨漏り系</t>
        </is>
      </c>
      <c r="K2" s="12" t="inlineStr">
        <is>
          <t>松山市の雨漏り修理
症状・費用・注意点</t>
        </is>
      </c>
      <c r="L2" s="12" t="inlineStr">
        <is>
          <t>matsuyama-leak-repair</t>
        </is>
      </c>
      <c r="M2" s="12" t="inlineStr">
        <is>
          <t>matsuyama-leak-repair.webp</t>
        </is>
      </c>
      <c r="N2" s="12" t="inlineStr">
        <is>
          <t>松山市 雨漏り修理について、主な原因、放置リスク、修理方法、業者選びのポイントを松山市で検討中の方向けに解説します。</t>
        </is>
      </c>
      <c r="O2" s="12" t="inlineStr">
        <is>
          <t>雨漏り修理</t>
        </is>
      </c>
      <c r="P2" s="12" t="inlineStr">
        <is>
          <t>松山市、雨漏り、雨漏り修理</t>
        </is>
      </c>
      <c r="Q2" s="12" t="inlineStr">
        <is>
          <t>未着手</t>
        </is>
      </c>
      <c r="R2" s="12" t="inlineStr">
        <is>
          <t>未着手</t>
        </is>
      </c>
      <c r="S2" s="12" t="inlineStr">
        <is>
          <t>未着手</t>
        </is>
      </c>
      <c r="T2" s="12" t="inlineStr">
        <is>
          <t>未着手</t>
        </is>
      </c>
      <c r="U2" s="12" t="n"/>
      <c r="V2" s="12" t="inlineStr">
        <is>
          <t>中心記事「松山市の雨漏り修理」へリンク。関連：雨漏り費用・調査・屋根雨漏り。</t>
        </is>
      </c>
      <c r="W2" s="12" t="n"/>
    </row>
    <row r="3">
      <c r="A3" s="12" t="n">
        <v>2</v>
      </c>
      <c r="B3" s="12" t="inlineStr">
        <is>
          <t>松山市 雨漏り調査</t>
        </is>
      </c>
      <c r="C3" s="12" t="inlineStr">
        <is>
          <t>松山市 雨漏り調査</t>
        </is>
      </c>
      <c r="D3" s="12" t="inlineStr">
        <is>
          <t>松山市の雨漏り調査とは？調査方法・費用・依頼前の注意点</t>
        </is>
      </c>
      <c r="E3" s="12" t="inlineStr">
        <is>
          <t>雨漏り</t>
        </is>
      </c>
      <c r="F3" s="12" t="inlineStr">
        <is>
          <t>地域サービス型</t>
        </is>
      </c>
      <c r="G3" s="12" t="inlineStr">
        <is>
          <t>4,500〜6,500字</t>
        </is>
      </c>
      <c r="H3" s="12" t="inlineStr">
        <is>
          <t>高</t>
        </is>
      </c>
      <c r="I3" s="12" t="inlineStr">
        <is>
          <t>第1ロット：雨漏り系</t>
        </is>
      </c>
      <c r="J3" s="12" t="inlineStr">
        <is>
          <t>雨漏り系</t>
        </is>
      </c>
      <c r="K3" s="12" t="inlineStr">
        <is>
          <t>松山市の雨漏り調査
症状・費用・注意点</t>
        </is>
      </c>
      <c r="L3" s="12" t="inlineStr">
        <is>
          <t>matsuyama-leak-investigation</t>
        </is>
      </c>
      <c r="M3" s="12" t="inlineStr">
        <is>
          <t>matsuyama-leak-investigation.webp</t>
        </is>
      </c>
      <c r="N3" s="12" t="inlineStr">
        <is>
          <t>松山市 雨漏り調査について、主な原因、放置リスク、修理方法、業者選びのポイントを松山市で検討中の方向けに解説します。</t>
        </is>
      </c>
      <c r="O3" s="12" t="inlineStr">
        <is>
          <t>雨漏り修理</t>
        </is>
      </c>
      <c r="P3" s="12" t="inlineStr">
        <is>
          <t>松山市、雨漏り、雨漏り修理</t>
        </is>
      </c>
      <c r="Q3" s="12" t="inlineStr">
        <is>
          <t>未着手</t>
        </is>
      </c>
      <c r="R3" s="12" t="inlineStr">
        <is>
          <t>未着手</t>
        </is>
      </c>
      <c r="S3" s="12" t="inlineStr">
        <is>
          <t>未着手</t>
        </is>
      </c>
      <c r="T3" s="12" t="inlineStr">
        <is>
          <t>未着手</t>
        </is>
      </c>
      <c r="U3" s="12" t="n"/>
      <c r="V3" s="12" t="inlineStr">
        <is>
          <t>中心記事「松山市の雨漏り修理」へリンク。関連：雨漏り費用・調査・屋根雨漏り。</t>
        </is>
      </c>
      <c r="W3" s="12" t="n"/>
    </row>
    <row r="4">
      <c r="A4" s="12" t="n">
        <v>3</v>
      </c>
      <c r="B4" s="12" t="inlineStr">
        <is>
          <t>松山市 雨漏り診断</t>
        </is>
      </c>
      <c r="C4" s="12" t="inlineStr">
        <is>
          <t>松山市 雨漏り診断</t>
        </is>
      </c>
      <c r="D4" s="12" t="inlineStr">
        <is>
          <t>松山市の雨漏り診断でわかること｜原因特定と修理前の確認ポイント</t>
        </is>
      </c>
      <c r="E4" s="12" t="inlineStr">
        <is>
          <t>雨漏り</t>
        </is>
      </c>
      <c r="F4" s="12" t="inlineStr">
        <is>
          <t>地域サービス型</t>
        </is>
      </c>
      <c r="G4" s="12" t="inlineStr">
        <is>
          <t>4,500〜6,500字</t>
        </is>
      </c>
      <c r="H4" s="12" t="inlineStr">
        <is>
          <t>高</t>
        </is>
      </c>
      <c r="I4" s="12" t="inlineStr">
        <is>
          <t>第1ロット：雨漏り系</t>
        </is>
      </c>
      <c r="J4" s="12" t="inlineStr">
        <is>
          <t>雨漏り系</t>
        </is>
      </c>
      <c r="K4" s="12" t="inlineStr">
        <is>
          <t>松山市の雨漏り診断
症状・費用・注意点</t>
        </is>
      </c>
      <c r="L4" s="12" t="inlineStr">
        <is>
          <t>matsuyama-leak-diagnosis</t>
        </is>
      </c>
      <c r="M4" s="12" t="inlineStr">
        <is>
          <t>matsuyama-leak-diagnosis.webp</t>
        </is>
      </c>
      <c r="N4" s="12" t="inlineStr">
        <is>
          <t>松山市 雨漏り診断について、主な原因、放置リスク、修理方法、業者選びのポイントを松山市で検討中の方向けに解説します。</t>
        </is>
      </c>
      <c r="O4" s="12" t="inlineStr">
        <is>
          <t>雨漏り修理</t>
        </is>
      </c>
      <c r="P4" s="12" t="inlineStr">
        <is>
          <t>松山市、雨漏り、雨漏り修理</t>
        </is>
      </c>
      <c r="Q4" s="12" t="inlineStr">
        <is>
          <t>未着手</t>
        </is>
      </c>
      <c r="R4" s="12" t="inlineStr">
        <is>
          <t>未着手</t>
        </is>
      </c>
      <c r="S4" s="12" t="inlineStr">
        <is>
          <t>未着手</t>
        </is>
      </c>
      <c r="T4" s="12" t="inlineStr">
        <is>
          <t>未着手</t>
        </is>
      </c>
      <c r="U4" s="12" t="n"/>
      <c r="V4" s="12" t="inlineStr">
        <is>
          <t>中心記事「松山市の雨漏り修理」へリンク。関連：雨漏り費用・調査・屋根雨漏り。</t>
        </is>
      </c>
      <c r="W4" s="12" t="n"/>
    </row>
    <row r="5">
      <c r="A5" s="12" t="n">
        <v>4</v>
      </c>
      <c r="B5" s="12" t="inlineStr">
        <is>
          <t>松山市 雨漏り業者</t>
        </is>
      </c>
      <c r="C5" s="12" t="inlineStr">
        <is>
          <t>松山市 雨漏り業者</t>
        </is>
      </c>
      <c r="D5" s="12" t="inlineStr">
        <is>
          <t>松山市で雨漏り業者を選ぶポイント｜失敗しない比較方法を解説</t>
        </is>
      </c>
      <c r="E5" s="12" t="inlineStr">
        <is>
          <t>雨漏り</t>
        </is>
      </c>
      <c r="F5" s="12" t="inlineStr">
        <is>
          <t>地域サービス型</t>
        </is>
      </c>
      <c r="G5" s="12" t="inlineStr">
        <is>
          <t>5,000〜7,000字</t>
        </is>
      </c>
      <c r="H5" s="12" t="inlineStr">
        <is>
          <t>高</t>
        </is>
      </c>
      <c r="I5" s="12" t="inlineStr">
        <is>
          <t>第1ロット：雨漏り系</t>
        </is>
      </c>
      <c r="J5" s="12" t="inlineStr">
        <is>
          <t>雨漏り系</t>
        </is>
      </c>
      <c r="K5" s="12" t="inlineStr">
        <is>
          <t>松山市の雨漏り業者
症状・費用・注意点</t>
        </is>
      </c>
      <c r="L5" s="12" t="inlineStr">
        <is>
          <t>matsuyama-leak-contractor</t>
        </is>
      </c>
      <c r="M5" s="12" t="inlineStr">
        <is>
          <t>matsuyama-leak-contractor.webp</t>
        </is>
      </c>
      <c r="N5" s="12" t="inlineStr">
        <is>
          <t>松山市 雨漏り業者について、主な原因、放置リスク、修理方法、業者選びのポイントを松山市で検討中の方向けに解説します。</t>
        </is>
      </c>
      <c r="O5" s="12" t="inlineStr">
        <is>
          <t>雨漏り修理</t>
        </is>
      </c>
      <c r="P5" s="12" t="inlineStr">
        <is>
          <t>松山市、雨漏り、雨漏り修理</t>
        </is>
      </c>
      <c r="Q5" s="12" t="inlineStr">
        <is>
          <t>未着手</t>
        </is>
      </c>
      <c r="R5" s="12" t="inlineStr">
        <is>
          <t>未着手</t>
        </is>
      </c>
      <c r="S5" s="12" t="inlineStr">
        <is>
          <t>未着手</t>
        </is>
      </c>
      <c r="T5" s="12" t="inlineStr">
        <is>
          <t>未着手</t>
        </is>
      </c>
      <c r="U5" s="12" t="n"/>
      <c r="V5" s="12" t="inlineStr">
        <is>
          <t>中心記事「松山市の雨漏り修理」へリンク。関連：雨漏り費用・調査・屋根雨漏り。</t>
        </is>
      </c>
      <c r="W5" s="12" t="n"/>
    </row>
    <row r="6">
      <c r="A6" s="12" t="n">
        <v>5</v>
      </c>
      <c r="B6" s="12" t="inlineStr">
        <is>
          <t>松山市 雨漏り修理 費用</t>
        </is>
      </c>
      <c r="C6" s="12" t="inlineStr">
        <is>
          <t>松山市 雨漏り修理 費用</t>
        </is>
      </c>
      <c r="D6" s="12" t="inlineStr">
        <is>
          <t>松山市の雨漏り修理費用はいくら？相場・内訳・業者選びを解説</t>
        </is>
      </c>
      <c r="E6" s="12" t="inlineStr">
        <is>
          <t>雨漏り</t>
        </is>
      </c>
      <c r="F6" s="12" t="inlineStr">
        <is>
          <t>地域サービス型</t>
        </is>
      </c>
      <c r="G6" s="12" t="inlineStr">
        <is>
          <t>5,000〜7,000字</t>
        </is>
      </c>
      <c r="H6" s="12" t="inlineStr">
        <is>
          <t>高</t>
        </is>
      </c>
      <c r="I6" s="12" t="inlineStr">
        <is>
          <t>第1ロット：雨漏り系</t>
        </is>
      </c>
      <c r="J6" s="12" t="inlineStr">
        <is>
          <t>雨漏り系</t>
        </is>
      </c>
      <c r="K6" s="12" t="inlineStr">
        <is>
          <t>雨漏り修理 費用
相場と注意点を解説</t>
        </is>
      </c>
      <c r="L6" s="12" t="inlineStr">
        <is>
          <t>matsuyama-leak-repair-cost</t>
        </is>
      </c>
      <c r="M6" s="12" t="inlineStr">
        <is>
          <t>matsuyama-leak-repair-cost.webp</t>
        </is>
      </c>
      <c r="N6" s="12" t="inlineStr">
        <is>
          <t>松山市 雨漏り修理 費用について、費用相場、内訳、金額が変わる要因、見積もり時の注意点をわかりやすく解説します。</t>
        </is>
      </c>
      <c r="O6" s="12" t="inlineStr">
        <is>
          <t>雨漏り修理</t>
        </is>
      </c>
      <c r="P6" s="12" t="inlineStr">
        <is>
          <t>松山市、雨漏り、費用、雨漏り修理</t>
        </is>
      </c>
      <c r="Q6" s="12" t="inlineStr">
        <is>
          <t>未着手</t>
        </is>
      </c>
      <c r="R6" s="12" t="inlineStr">
        <is>
          <t>未着手</t>
        </is>
      </c>
      <c r="S6" s="12" t="inlineStr">
        <is>
          <t>未着手</t>
        </is>
      </c>
      <c r="T6" s="12" t="inlineStr">
        <is>
          <t>未着手</t>
        </is>
      </c>
      <c r="U6" s="12" t="n"/>
      <c r="V6" s="12" t="inlineStr">
        <is>
          <t>中心記事「松山市の雨漏り修理」へリンク。関連：雨漏り費用・調査・屋根雨漏り。</t>
        </is>
      </c>
      <c r="W6" s="12" t="n"/>
    </row>
    <row r="7">
      <c r="A7" s="12" t="n">
        <v>6</v>
      </c>
      <c r="B7" s="12" t="inlineStr">
        <is>
          <t>松山市 雨漏り 原因</t>
        </is>
      </c>
      <c r="C7" s="12" t="inlineStr">
        <is>
          <t>松山市 雨漏り 原因</t>
        </is>
      </c>
      <c r="D7" s="12" t="inlineStr">
        <is>
          <t>松山市で多い雨漏りの原因とは？屋根・外壁・ベランダ別に解説</t>
        </is>
      </c>
      <c r="E7" s="12" t="inlineStr">
        <is>
          <t>雨漏り</t>
        </is>
      </c>
      <c r="F7" s="12" t="inlineStr">
        <is>
          <t>地域サービス型</t>
        </is>
      </c>
      <c r="G7" s="12" t="inlineStr">
        <is>
          <t>4,500〜6,500字</t>
        </is>
      </c>
      <c r="H7" s="12" t="inlineStr">
        <is>
          <t>高</t>
        </is>
      </c>
      <c r="I7" s="12" t="inlineStr">
        <is>
          <t>第1ロット：雨漏り系</t>
        </is>
      </c>
      <c r="J7" s="12" t="inlineStr">
        <is>
          <t>雨漏り系</t>
        </is>
      </c>
      <c r="K7" s="12" t="inlineStr">
        <is>
          <t>雨漏り 原因
放置リスクと対処法</t>
        </is>
      </c>
      <c r="L7" s="12" t="inlineStr">
        <is>
          <t>matsuyama-leak-cause</t>
        </is>
      </c>
      <c r="M7" s="12" t="inlineStr">
        <is>
          <t>matsuyama-leak-cause.webp</t>
        </is>
      </c>
      <c r="N7" s="12" t="inlineStr">
        <is>
          <t>松山市 雨漏り 原因について、主な原因、放置リスク、修理方法、業者選びのポイントを松山市で検討中の方向けに解説します。</t>
        </is>
      </c>
      <c r="O7" s="12" t="inlineStr">
        <is>
          <t>雨漏り修理</t>
        </is>
      </c>
      <c r="P7" s="12" t="inlineStr">
        <is>
          <t>松山市、雨漏り、雨漏り修理</t>
        </is>
      </c>
      <c r="Q7" s="12" t="inlineStr">
        <is>
          <t>未着手</t>
        </is>
      </c>
      <c r="R7" s="12" t="inlineStr">
        <is>
          <t>未着手</t>
        </is>
      </c>
      <c r="S7" s="12" t="inlineStr">
        <is>
          <t>未着手</t>
        </is>
      </c>
      <c r="T7" s="12" t="inlineStr">
        <is>
          <t>未着手</t>
        </is>
      </c>
      <c r="U7" s="12" t="n"/>
      <c r="V7" s="12" t="inlineStr">
        <is>
          <t>中心記事「松山市の雨漏り修理」へリンク。関連：雨漏り費用・調査・屋根雨漏り。</t>
        </is>
      </c>
      <c r="W7" s="12" t="n"/>
    </row>
    <row r="8">
      <c r="A8" s="12" t="n">
        <v>7</v>
      </c>
      <c r="B8" s="12" t="inlineStr">
        <is>
          <t>松山市 ベランダ雨漏り</t>
        </is>
      </c>
      <c r="C8" s="12" t="inlineStr">
        <is>
          <t>松山市 ベランダ雨漏り</t>
        </is>
      </c>
      <c r="D8" s="12" t="inlineStr">
        <is>
          <t>松山市のベランダ雨漏りはなぜ起こる？原因・修理費用・防水対策</t>
        </is>
      </c>
      <c r="E8" s="12" t="inlineStr">
        <is>
          <t>雨漏り</t>
        </is>
      </c>
      <c r="F8" s="12" t="inlineStr">
        <is>
          <t>地域サービス型</t>
        </is>
      </c>
      <c r="G8" s="12" t="inlineStr">
        <is>
          <t>4,500〜6,500字</t>
        </is>
      </c>
      <c r="H8" s="12" t="inlineStr">
        <is>
          <t>高</t>
        </is>
      </c>
      <c r="I8" s="12" t="inlineStr">
        <is>
          <t>第1ロット：雨漏り系</t>
        </is>
      </c>
      <c r="J8" s="12" t="inlineStr">
        <is>
          <t>雨漏り系</t>
        </is>
      </c>
      <c r="K8" s="12" t="inlineStr">
        <is>
          <t>松山市のベランダ雨漏り
症状・費用・注意点</t>
        </is>
      </c>
      <c r="L8" s="12" t="inlineStr">
        <is>
          <t>matsuyama-balcony-leak</t>
        </is>
      </c>
      <c r="M8" s="12" t="inlineStr">
        <is>
          <t>matsuyama-balcony-leak.webp</t>
        </is>
      </c>
      <c r="N8" s="12" t="inlineStr">
        <is>
          <t>松山市 ベランダ雨漏りについて、主な原因、放置リスク、修理方法、業者選びのポイントを松山市で検討中の方向けに解説します。</t>
        </is>
      </c>
      <c r="O8" s="12" t="inlineStr">
        <is>
          <t>雨漏り修理</t>
        </is>
      </c>
      <c r="P8" s="12" t="inlineStr">
        <is>
          <t>松山市、雨漏り、雨漏り修理</t>
        </is>
      </c>
      <c r="Q8" s="12" t="inlineStr">
        <is>
          <t>未着手</t>
        </is>
      </c>
      <c r="R8" s="12" t="inlineStr">
        <is>
          <t>未着手</t>
        </is>
      </c>
      <c r="S8" s="12" t="inlineStr">
        <is>
          <t>未着手</t>
        </is>
      </c>
      <c r="T8" s="12" t="inlineStr">
        <is>
          <t>未着手</t>
        </is>
      </c>
      <c r="U8" s="12" t="n"/>
      <c r="V8" s="12" t="inlineStr">
        <is>
          <t>中心記事「松山市の雨漏り修理」へリンク。関連：雨漏り費用・調査・屋根雨漏り。</t>
        </is>
      </c>
      <c r="W8" s="12" t="n"/>
    </row>
    <row r="9">
      <c r="A9" s="12" t="n">
        <v>8</v>
      </c>
      <c r="B9" s="12" t="inlineStr">
        <is>
          <t>松山市 サッシ雨漏り</t>
        </is>
      </c>
      <c r="C9" s="12" t="inlineStr">
        <is>
          <t>松山市 サッシ雨漏り</t>
        </is>
      </c>
      <c r="D9" s="12" t="inlineStr">
        <is>
          <t>松山市のサッシ雨漏りの原因とは？窓まわりの補修方法を解説</t>
        </is>
      </c>
      <c r="E9" s="12" t="inlineStr">
        <is>
          <t>雨漏り</t>
        </is>
      </c>
      <c r="F9" s="12" t="inlineStr">
        <is>
          <t>地域サービス型</t>
        </is>
      </c>
      <c r="G9" s="12" t="inlineStr">
        <is>
          <t>4,500〜6,500字</t>
        </is>
      </c>
      <c r="H9" s="12" t="inlineStr">
        <is>
          <t>高</t>
        </is>
      </c>
      <c r="I9" s="12" t="inlineStr">
        <is>
          <t>第1ロット：雨漏り系</t>
        </is>
      </c>
      <c r="J9" s="12" t="inlineStr">
        <is>
          <t>雨漏り系</t>
        </is>
      </c>
      <c r="K9" s="12" t="inlineStr">
        <is>
          <t>松山市のサッシ雨漏り
症状・費用・注意点</t>
        </is>
      </c>
      <c r="L9" s="12" t="inlineStr">
        <is>
          <t>matsuyama-sash-leak</t>
        </is>
      </c>
      <c r="M9" s="12" t="inlineStr">
        <is>
          <t>matsuyama-sash-leak.webp</t>
        </is>
      </c>
      <c r="N9" s="12" t="inlineStr">
        <is>
          <t>松山市 サッシ雨漏りについて、主な原因、放置リスク、修理方法、業者選びのポイントを松山市で検討中の方向けに解説します。</t>
        </is>
      </c>
      <c r="O9" s="12" t="inlineStr">
        <is>
          <t>雨漏り修理</t>
        </is>
      </c>
      <c r="P9" s="12" t="inlineStr">
        <is>
          <t>松山市、雨漏り、雨漏り修理</t>
        </is>
      </c>
      <c r="Q9" s="12" t="inlineStr">
        <is>
          <t>未着手</t>
        </is>
      </c>
      <c r="R9" s="12" t="inlineStr">
        <is>
          <t>未着手</t>
        </is>
      </c>
      <c r="S9" s="12" t="inlineStr">
        <is>
          <t>未着手</t>
        </is>
      </c>
      <c r="T9" s="12" t="inlineStr">
        <is>
          <t>未着手</t>
        </is>
      </c>
      <c r="U9" s="12" t="n"/>
      <c r="V9" s="12" t="inlineStr">
        <is>
          <t>中心記事「松山市の雨漏り修理」へリンク。関連：雨漏り費用・調査・屋根雨漏り。</t>
        </is>
      </c>
      <c r="W9" s="12" t="n"/>
    </row>
    <row r="10">
      <c r="A10" s="12" t="n">
        <v>9</v>
      </c>
      <c r="B10" s="12" t="inlineStr">
        <is>
          <t>松山市 外壁雨漏り</t>
        </is>
      </c>
      <c r="C10" s="12" t="inlineStr">
        <is>
          <t>松山市 外壁雨漏り</t>
        </is>
      </c>
      <c r="D10" s="12" t="inlineStr">
        <is>
          <t>松山市の外壁雨漏りの原因と対策｜ひび割れ・シーリング劣化に注意</t>
        </is>
      </c>
      <c r="E10" s="12" t="inlineStr">
        <is>
          <t>雨漏り</t>
        </is>
      </c>
      <c r="F10" s="12" t="inlineStr">
        <is>
          <t>地域サービス型</t>
        </is>
      </c>
      <c r="G10" s="12" t="inlineStr">
        <is>
          <t>4,500〜6,500字</t>
        </is>
      </c>
      <c r="H10" s="12" t="inlineStr">
        <is>
          <t>高</t>
        </is>
      </c>
      <c r="I10" s="12" t="inlineStr">
        <is>
          <t>第1ロット：雨漏り系</t>
        </is>
      </c>
      <c r="J10" s="12" t="inlineStr">
        <is>
          <t>雨漏り系</t>
        </is>
      </c>
      <c r="K10" s="12" t="inlineStr">
        <is>
          <t>松山市の外壁雨漏り
症状・費用・注意点</t>
        </is>
      </c>
      <c r="L10" s="12" t="inlineStr">
        <is>
          <t>matsuyama-exterior-wall-leak</t>
        </is>
      </c>
      <c r="M10" s="12" t="inlineStr">
        <is>
          <t>matsuyama-exterior-wall-leak.webp</t>
        </is>
      </c>
      <c r="N10" s="12" t="inlineStr">
        <is>
          <t>松山市 外壁雨漏りについて、主な原因、放置リスク、修理方法、業者選びのポイントを松山市で検討中の方向けに解説します。</t>
        </is>
      </c>
      <c r="O10" s="12" t="inlineStr">
        <is>
          <t>雨漏り修理</t>
        </is>
      </c>
      <c r="P10" s="12" t="inlineStr">
        <is>
          <t>松山市、雨漏り、雨漏り修理</t>
        </is>
      </c>
      <c r="Q10" s="12" t="inlineStr">
        <is>
          <t>未着手</t>
        </is>
      </c>
      <c r="R10" s="12" t="inlineStr">
        <is>
          <t>未着手</t>
        </is>
      </c>
      <c r="S10" s="12" t="inlineStr">
        <is>
          <t>未着手</t>
        </is>
      </c>
      <c r="T10" s="12" t="inlineStr">
        <is>
          <t>未着手</t>
        </is>
      </c>
      <c r="U10" s="12" t="n"/>
      <c r="V10" s="12" t="inlineStr">
        <is>
          <t>中心記事「松山市の雨漏り修理」へリンク。関連：雨漏り費用・調査・屋根雨漏り。</t>
        </is>
      </c>
      <c r="W10" s="12" t="n"/>
    </row>
    <row r="11">
      <c r="A11" s="12" t="n">
        <v>10</v>
      </c>
      <c r="B11" s="12" t="inlineStr">
        <is>
          <t>松山市 屋根雨漏り</t>
        </is>
      </c>
      <c r="C11" s="12" t="inlineStr">
        <is>
          <t>松山市 屋根雨漏り</t>
        </is>
      </c>
      <c r="D11" s="12" t="inlineStr">
        <is>
          <t>松山市の屋根雨漏りは早めの修理が重要｜原因・費用・業者選び</t>
        </is>
      </c>
      <c r="E11" s="12" t="inlineStr">
        <is>
          <t>雨漏り</t>
        </is>
      </c>
      <c r="F11" s="12" t="inlineStr">
        <is>
          <t>地域サービス型</t>
        </is>
      </c>
      <c r="G11" s="12" t="inlineStr">
        <is>
          <t>4,500〜6,500字</t>
        </is>
      </c>
      <c r="H11" s="12" t="inlineStr">
        <is>
          <t>高</t>
        </is>
      </c>
      <c r="I11" s="12" t="inlineStr">
        <is>
          <t>第1ロット：雨漏り系</t>
        </is>
      </c>
      <c r="J11" s="12" t="inlineStr">
        <is>
          <t>雨漏り系</t>
        </is>
      </c>
      <c r="K11" s="12" t="inlineStr">
        <is>
          <t>松山市の屋根雨漏り
症状・費用・注意点</t>
        </is>
      </c>
      <c r="L11" s="12" t="inlineStr">
        <is>
          <t>matsuyama-roof-leak</t>
        </is>
      </c>
      <c r="M11" s="12" t="inlineStr">
        <is>
          <t>matsuyama-roof-leak.webp</t>
        </is>
      </c>
      <c r="N11" s="12" t="inlineStr">
        <is>
          <t>松山市 屋根雨漏りについて、主な原因、放置リスク、修理方法、業者選びのポイントを松山市で検討中の方向けに解説します。</t>
        </is>
      </c>
      <c r="O11" s="12" t="inlineStr">
        <is>
          <t>雨漏り修理</t>
        </is>
      </c>
      <c r="P11" s="12" t="inlineStr">
        <is>
          <t>松山市、雨漏り、雨漏り修理</t>
        </is>
      </c>
      <c r="Q11" s="12" t="inlineStr">
        <is>
          <t>未着手</t>
        </is>
      </c>
      <c r="R11" s="12" t="inlineStr">
        <is>
          <t>未着手</t>
        </is>
      </c>
      <c r="S11" s="12" t="inlineStr">
        <is>
          <t>未着手</t>
        </is>
      </c>
      <c r="T11" s="12" t="inlineStr">
        <is>
          <t>未着手</t>
        </is>
      </c>
      <c r="U11" s="12" t="n"/>
      <c r="V11" s="12" t="inlineStr">
        <is>
          <t>中心記事「松山市の雨漏り修理」へリンク。関連：雨漏り費用・調査・屋根雨漏り。</t>
        </is>
      </c>
      <c r="W11" s="12" t="n"/>
    </row>
    <row r="12">
      <c r="A12" s="12" t="n">
        <v>11</v>
      </c>
      <c r="B12" s="12" t="inlineStr">
        <is>
          <t>松山市 屋根修理</t>
        </is>
      </c>
      <c r="C12" s="12" t="inlineStr">
        <is>
          <t>松山市 屋根修理</t>
        </is>
      </c>
      <c r="D12" s="12" t="inlineStr">
        <is>
          <t>松山市の屋根修理はどこに頼む？症状別の対処法と費用目安</t>
        </is>
      </c>
      <c r="E12" s="12" t="inlineStr">
        <is>
          <t>屋根修理・屋根材</t>
        </is>
      </c>
      <c r="F12" s="12" t="inlineStr">
        <is>
          <t>地域サービス型</t>
        </is>
      </c>
      <c r="G12" s="12" t="inlineStr">
        <is>
          <t>5,000〜7,000字</t>
        </is>
      </c>
      <c r="H12" s="12" t="inlineStr">
        <is>
          <t>高</t>
        </is>
      </c>
      <c r="I12" s="12" t="inlineStr">
        <is>
          <t>第2ロット：屋根修理・屋根材系</t>
        </is>
      </c>
      <c r="J12" s="12" t="inlineStr">
        <is>
          <t>屋根修理系</t>
        </is>
      </c>
      <c r="K12" s="12" t="inlineStr">
        <is>
          <t>松山市の屋根修理
症状・費用・注意点</t>
        </is>
      </c>
      <c r="L12" s="12" t="inlineStr">
        <is>
          <t>matsuyama-roof-repair</t>
        </is>
      </c>
      <c r="M12" s="12" t="inlineStr">
        <is>
          <t>matsuyama-roof-repair.webp</t>
        </is>
      </c>
      <c r="N12" s="12" t="inlineStr">
        <is>
          <t>松山市 屋根修理について、劣化症状、修理方法、費用目安、依頼前に確認したいポイントをわかりやすく解説します。</t>
        </is>
      </c>
      <c r="O12" s="12" t="inlineStr">
        <is>
          <t>屋根修理</t>
        </is>
      </c>
      <c r="P12" s="12" t="inlineStr">
        <is>
          <t>松山市、屋根修理</t>
        </is>
      </c>
      <c r="Q12" s="12" t="inlineStr">
        <is>
          <t>未着手</t>
        </is>
      </c>
      <c r="R12" s="12" t="inlineStr">
        <is>
          <t>未着手</t>
        </is>
      </c>
      <c r="S12" s="12" t="inlineStr">
        <is>
          <t>未着手</t>
        </is>
      </c>
      <c r="T12" s="12" t="inlineStr">
        <is>
          <t>未着手</t>
        </is>
      </c>
      <c r="U12" s="12" t="n"/>
      <c r="V12" s="12" t="inlineStr">
        <is>
          <t>中心記事「松山市の屋根修理」へリンク。関連：屋根カバー・屋根材注意記事。</t>
        </is>
      </c>
      <c r="W12" s="12" t="n"/>
    </row>
    <row r="13">
      <c r="A13" s="12" t="n">
        <v>12</v>
      </c>
      <c r="B13" s="12" t="inlineStr">
        <is>
          <t>松山市 棟板金修理</t>
        </is>
      </c>
      <c r="C13" s="12" t="inlineStr">
        <is>
          <t>松山市 棟板金修理</t>
        </is>
      </c>
      <c r="D13" s="12" t="inlineStr">
        <is>
          <t>松山市の棟板金修理とは？浮き・釘抜け・雨漏りリスクを解説</t>
        </is>
      </c>
      <c r="E13" s="12" t="inlineStr">
        <is>
          <t>屋根修理・屋根材</t>
        </is>
      </c>
      <c r="F13" s="12" t="inlineStr">
        <is>
          <t>地域サービス型</t>
        </is>
      </c>
      <c r="G13" s="12" t="inlineStr">
        <is>
          <t>5,000〜7,000字</t>
        </is>
      </c>
      <c r="H13" s="12" t="inlineStr">
        <is>
          <t>高</t>
        </is>
      </c>
      <c r="I13" s="12" t="inlineStr">
        <is>
          <t>第2ロット：屋根修理・屋根材系</t>
        </is>
      </c>
      <c r="J13" s="12" t="inlineStr">
        <is>
          <t>屋根修理系</t>
        </is>
      </c>
      <c r="K13" s="12" t="inlineStr">
        <is>
          <t>松山市の棟板金修理
症状・費用・注意点</t>
        </is>
      </c>
      <c r="L13" s="12" t="inlineStr">
        <is>
          <t>matsuyama-ridge-flashing-repair</t>
        </is>
      </c>
      <c r="M13" s="12" t="inlineStr">
        <is>
          <t>matsuyama-ridge-flashing-repair.webp</t>
        </is>
      </c>
      <c r="N13" s="12" t="inlineStr">
        <is>
          <t>松山市 棟板金修理について、劣化症状、修理方法、費用目安、依頼前に確認したいポイントをわかりやすく解説します。</t>
        </is>
      </c>
      <c r="O13" s="12" t="inlineStr">
        <is>
          <t>屋根修理</t>
        </is>
      </c>
      <c r="P13" s="12" t="inlineStr">
        <is>
          <t>松山市、屋根修理</t>
        </is>
      </c>
      <c r="Q13" s="12" t="inlineStr">
        <is>
          <t>未着手</t>
        </is>
      </c>
      <c r="R13" s="12" t="inlineStr">
        <is>
          <t>未着手</t>
        </is>
      </c>
      <c r="S13" s="12" t="inlineStr">
        <is>
          <t>未着手</t>
        </is>
      </c>
      <c r="T13" s="12" t="inlineStr">
        <is>
          <t>未着手</t>
        </is>
      </c>
      <c r="U13" s="12" t="n"/>
      <c r="V13" s="12" t="inlineStr">
        <is>
          <t>中心記事「松山市の屋根修理」へリンク。関連：屋根カバー・屋根材注意記事。</t>
        </is>
      </c>
      <c r="W13" s="12" t="n"/>
    </row>
    <row r="14">
      <c r="A14" s="12" t="n">
        <v>13</v>
      </c>
      <c r="B14" s="12" t="inlineStr">
        <is>
          <t>松山市 谷板金修理</t>
        </is>
      </c>
      <c r="C14" s="12" t="inlineStr">
        <is>
          <t>松山市 谷板金修理</t>
        </is>
      </c>
      <c r="D14" s="12" t="inlineStr">
        <is>
          <t>松山市の谷板金修理が必要な症状｜雨漏り原因と費用目安</t>
        </is>
      </c>
      <c r="E14" s="12" t="inlineStr">
        <is>
          <t>屋根修理・屋根材</t>
        </is>
      </c>
      <c r="F14" s="12" t="inlineStr">
        <is>
          <t>地域サービス型</t>
        </is>
      </c>
      <c r="G14" s="12" t="inlineStr">
        <is>
          <t>5,000〜7,000字</t>
        </is>
      </c>
      <c r="H14" s="12" t="inlineStr">
        <is>
          <t>高</t>
        </is>
      </c>
      <c r="I14" s="12" t="inlineStr">
        <is>
          <t>第2ロット：屋根修理・屋根材系</t>
        </is>
      </c>
      <c r="J14" s="12" t="inlineStr">
        <is>
          <t>屋根修理系</t>
        </is>
      </c>
      <c r="K14" s="12" t="inlineStr">
        <is>
          <t>松山市の谷板金修理
症状・費用・注意点</t>
        </is>
      </c>
      <c r="L14" s="12" t="inlineStr">
        <is>
          <t>matsuyama-valley-flashing-repair</t>
        </is>
      </c>
      <c r="M14" s="12" t="inlineStr">
        <is>
          <t>matsuyama-valley-flashing-repair.webp</t>
        </is>
      </c>
      <c r="N14" s="12" t="inlineStr">
        <is>
          <t>松山市 谷板金修理について、劣化症状、修理方法、費用目安、依頼前に確認したいポイントをわかりやすく解説します。</t>
        </is>
      </c>
      <c r="O14" s="12" t="inlineStr">
        <is>
          <t>屋根修理</t>
        </is>
      </c>
      <c r="P14" s="12" t="inlineStr">
        <is>
          <t>松山市、屋根修理</t>
        </is>
      </c>
      <c r="Q14" s="12" t="inlineStr">
        <is>
          <t>未着手</t>
        </is>
      </c>
      <c r="R14" s="12" t="inlineStr">
        <is>
          <t>未着手</t>
        </is>
      </c>
      <c r="S14" s="12" t="inlineStr">
        <is>
          <t>未着手</t>
        </is>
      </c>
      <c r="T14" s="12" t="inlineStr">
        <is>
          <t>未着手</t>
        </is>
      </c>
      <c r="U14" s="12" t="n"/>
      <c r="V14" s="12" t="inlineStr">
        <is>
          <t>中心記事「松山市の屋根修理」へリンク。関連：屋根カバー・屋根材注意記事。</t>
        </is>
      </c>
      <c r="W14" s="12" t="n"/>
    </row>
    <row r="15">
      <c r="A15" s="12" t="n">
        <v>14</v>
      </c>
      <c r="B15" s="12" t="inlineStr">
        <is>
          <t>松山市 瓦修理</t>
        </is>
      </c>
      <c r="C15" s="12" t="inlineStr">
        <is>
          <t>松山市 瓦修理</t>
        </is>
      </c>
      <c r="D15" s="12" t="inlineStr">
        <is>
          <t>松山市の瓦修理はいつ必要？割れ・ズレ・雨漏りの対処法</t>
        </is>
      </c>
      <c r="E15" s="12" t="inlineStr">
        <is>
          <t>屋根修理・屋根材</t>
        </is>
      </c>
      <c r="F15" s="12" t="inlineStr">
        <is>
          <t>地域サービス型</t>
        </is>
      </c>
      <c r="G15" s="12" t="inlineStr">
        <is>
          <t>5,000〜7,000字</t>
        </is>
      </c>
      <c r="H15" s="12" t="inlineStr">
        <is>
          <t>高</t>
        </is>
      </c>
      <c r="I15" s="12" t="inlineStr">
        <is>
          <t>第2ロット：屋根修理・屋根材系</t>
        </is>
      </c>
      <c r="J15" s="12" t="inlineStr">
        <is>
          <t>屋根修理系</t>
        </is>
      </c>
      <c r="K15" s="12" t="inlineStr">
        <is>
          <t>松山市の瓦修理
症状・費用・注意点</t>
        </is>
      </c>
      <c r="L15" s="12" t="inlineStr">
        <is>
          <t>matsuyama-tile-roof-repair</t>
        </is>
      </c>
      <c r="M15" s="12" t="inlineStr">
        <is>
          <t>matsuyama-tile-roof-repair.webp</t>
        </is>
      </c>
      <c r="N15" s="12" t="inlineStr">
        <is>
          <t>松山市 瓦修理について、劣化症状、修理方法、費用目安、依頼前に確認したいポイントをわかりやすく解説します。</t>
        </is>
      </c>
      <c r="O15" s="12" t="inlineStr">
        <is>
          <t>屋根修理</t>
        </is>
      </c>
      <c r="P15" s="12" t="inlineStr">
        <is>
          <t>松山市、屋根修理</t>
        </is>
      </c>
      <c r="Q15" s="12" t="inlineStr">
        <is>
          <t>未着手</t>
        </is>
      </c>
      <c r="R15" s="12" t="inlineStr">
        <is>
          <t>未着手</t>
        </is>
      </c>
      <c r="S15" s="12" t="inlineStr">
        <is>
          <t>未着手</t>
        </is>
      </c>
      <c r="T15" s="12" t="inlineStr">
        <is>
          <t>未着手</t>
        </is>
      </c>
      <c r="U15" s="12" t="n"/>
      <c r="V15" s="12" t="inlineStr">
        <is>
          <t>中心記事「松山市の屋根修理」へリンク。関連：屋根カバー・屋根材注意記事。</t>
        </is>
      </c>
      <c r="W15" s="12" t="n"/>
    </row>
    <row r="16">
      <c r="A16" s="12" t="n">
        <v>15</v>
      </c>
      <c r="B16" s="12" t="inlineStr">
        <is>
          <t>松山市 漆喰補修</t>
        </is>
      </c>
      <c r="C16" s="12" t="inlineStr">
        <is>
          <t>松山市 漆喰補修</t>
        </is>
      </c>
      <c r="D16" s="12" t="inlineStr">
        <is>
          <t>松山市の漆喰補修とは？劣化症状・費用・雨漏り予防を解説</t>
        </is>
      </c>
      <c r="E16" s="12" t="inlineStr">
        <is>
          <t>屋根修理・屋根材</t>
        </is>
      </c>
      <c r="F16" s="12" t="inlineStr">
        <is>
          <t>地域サービス型</t>
        </is>
      </c>
      <c r="G16" s="12" t="inlineStr">
        <is>
          <t>5,000〜7,000字</t>
        </is>
      </c>
      <c r="H16" s="12" t="inlineStr">
        <is>
          <t>高</t>
        </is>
      </c>
      <c r="I16" s="12" t="inlineStr">
        <is>
          <t>第2ロット：屋根修理・屋根材系</t>
        </is>
      </c>
      <c r="J16" s="12" t="inlineStr">
        <is>
          <t>屋根修理系</t>
        </is>
      </c>
      <c r="K16" s="12" t="inlineStr">
        <is>
          <t>松山市の漆喰補修
症状・費用・注意点</t>
        </is>
      </c>
      <c r="L16" s="12" t="inlineStr">
        <is>
          <t>matsuyama-plaster-repair</t>
        </is>
      </c>
      <c r="M16" s="12" t="inlineStr">
        <is>
          <t>matsuyama-plaster-repair.webp</t>
        </is>
      </c>
      <c r="N16" s="12" t="inlineStr">
        <is>
          <t>松山市 漆喰補修について、劣化症状、修理方法、費用目安、依頼前に確認したいポイントをわかりやすく解説します。</t>
        </is>
      </c>
      <c r="O16" s="12" t="inlineStr">
        <is>
          <t>屋根修理</t>
        </is>
      </c>
      <c r="P16" s="12" t="inlineStr">
        <is>
          <t>松山市、屋根修理</t>
        </is>
      </c>
      <c r="Q16" s="12" t="inlineStr">
        <is>
          <t>未着手</t>
        </is>
      </c>
      <c r="R16" s="12" t="inlineStr">
        <is>
          <t>未着手</t>
        </is>
      </c>
      <c r="S16" s="12" t="inlineStr">
        <is>
          <t>未着手</t>
        </is>
      </c>
      <c r="T16" s="12" t="inlineStr">
        <is>
          <t>未着手</t>
        </is>
      </c>
      <c r="U16" s="12" t="n"/>
      <c r="V16" s="12" t="inlineStr">
        <is>
          <t>中心記事「松山市の屋根修理」へリンク。関連：屋根カバー・屋根材注意記事。</t>
        </is>
      </c>
      <c r="W16" s="12" t="n"/>
    </row>
    <row r="17">
      <c r="A17" s="12" t="n">
        <v>16</v>
      </c>
      <c r="B17" s="12" t="inlineStr">
        <is>
          <t>松山市 屋根リフォーム</t>
        </is>
      </c>
      <c r="C17" s="12" t="inlineStr">
        <is>
          <t>松山市 屋根リフォーム</t>
        </is>
      </c>
      <c r="D17" s="12" t="inlineStr">
        <is>
          <t>松山市の屋根リフォーム方法｜カバー工法・葺き替え・修理の違い</t>
        </is>
      </c>
      <c r="E17" s="12" t="inlineStr">
        <is>
          <t>屋根修理・屋根材</t>
        </is>
      </c>
      <c r="F17" s="12" t="inlineStr">
        <is>
          <t>地域サービス型</t>
        </is>
      </c>
      <c r="G17" s="12" t="inlineStr">
        <is>
          <t>5,000〜7,000字</t>
        </is>
      </c>
      <c r="H17" s="12" t="inlineStr">
        <is>
          <t>高</t>
        </is>
      </c>
      <c r="I17" s="12" t="inlineStr">
        <is>
          <t>第2ロット：屋根修理・屋根材系</t>
        </is>
      </c>
      <c r="J17" s="12" t="inlineStr">
        <is>
          <t>屋根修理系</t>
        </is>
      </c>
      <c r="K17" s="12" t="inlineStr">
        <is>
          <t>松山市の屋根リフォーム
症状・費用・注意点</t>
        </is>
      </c>
      <c r="L17" s="12" t="inlineStr">
        <is>
          <t>matsuyama-roof-remodel</t>
        </is>
      </c>
      <c r="M17" s="12" t="inlineStr">
        <is>
          <t>matsuyama-roof-remodel.webp</t>
        </is>
      </c>
      <c r="N17" s="12" t="inlineStr">
        <is>
          <t>松山市 屋根リフォームについて、劣化症状、修理方法、費用目安、依頼前に確認したいポイントをわかりやすく解説します。</t>
        </is>
      </c>
      <c r="O17" s="12" t="inlineStr">
        <is>
          <t>屋根修理</t>
        </is>
      </c>
      <c r="P17" s="12" t="inlineStr">
        <is>
          <t>松山市、屋根修理</t>
        </is>
      </c>
      <c r="Q17" s="12" t="inlineStr">
        <is>
          <t>未着手</t>
        </is>
      </c>
      <c r="R17" s="12" t="inlineStr">
        <is>
          <t>未着手</t>
        </is>
      </c>
      <c r="S17" s="12" t="inlineStr">
        <is>
          <t>未着手</t>
        </is>
      </c>
      <c r="T17" s="12" t="inlineStr">
        <is>
          <t>未着手</t>
        </is>
      </c>
      <c r="U17" s="12" t="n"/>
      <c r="V17" s="12" t="inlineStr">
        <is>
          <t>中心記事「松山市の屋根修理」へリンク。関連：屋根カバー・屋根材注意記事。</t>
        </is>
      </c>
      <c r="W17" s="12" t="n"/>
    </row>
    <row r="18">
      <c r="A18" s="12" t="n">
        <v>17</v>
      </c>
      <c r="B18" s="12" t="inlineStr">
        <is>
          <t>松山市 ガルテクト</t>
        </is>
      </c>
      <c r="C18" s="12" t="inlineStr">
        <is>
          <t>松山市 ガルテクト</t>
        </is>
      </c>
      <c r="D18" s="12" t="inlineStr">
        <is>
          <t>松山市でガルテクトを使う屋根工事｜特徴・費用・注意点</t>
        </is>
      </c>
      <c r="E18" s="12" t="inlineStr">
        <is>
          <t>屋根修理・屋根材</t>
        </is>
      </c>
      <c r="F18" s="12" t="inlineStr">
        <is>
          <t>屋根材注意型</t>
        </is>
      </c>
      <c r="G18" s="12" t="inlineStr">
        <is>
          <t>5,000〜7,000字</t>
        </is>
      </c>
      <c r="H18" s="12" t="inlineStr">
        <is>
          <t>高</t>
        </is>
      </c>
      <c r="I18" s="12" t="inlineStr">
        <is>
          <t>第2ロット：屋根修理・屋根材系</t>
        </is>
      </c>
      <c r="J18" s="12" t="inlineStr">
        <is>
          <t>屋根修理系</t>
        </is>
      </c>
      <c r="K18" s="12" t="inlineStr">
        <is>
          <t>松山市のガルテクト
症状・費用・注意点</t>
        </is>
      </c>
      <c r="L18" s="12" t="inlineStr">
        <is>
          <t>matsuyama-galtect</t>
        </is>
      </c>
      <c r="M18" s="12" t="inlineStr">
        <is>
          <t>matsuyama-galtect.webp</t>
        </is>
      </c>
      <c r="N18" s="12" t="inlineStr">
        <is>
          <t>松山市 ガルテクトについて、劣化症状、修理方法、費用目安、依頼前に確認したいポイントをわかりやすく解説します。</t>
        </is>
      </c>
      <c r="O18" s="12" t="inlineStr">
        <is>
          <t>屋根修理</t>
        </is>
      </c>
      <c r="P18" s="12" t="inlineStr">
        <is>
          <t>松山市、屋根修理</t>
        </is>
      </c>
      <c r="Q18" s="12" t="inlineStr">
        <is>
          <t>未着手</t>
        </is>
      </c>
      <c r="R18" s="12" t="inlineStr">
        <is>
          <t>未着手</t>
        </is>
      </c>
      <c r="S18" s="12" t="inlineStr">
        <is>
          <t>未着手</t>
        </is>
      </c>
      <c r="T18" s="12" t="inlineStr">
        <is>
          <t>未着手</t>
        </is>
      </c>
      <c r="U18" s="12" t="n"/>
      <c r="V18" s="12" t="inlineStr">
        <is>
          <t>中心記事「松山市の屋根修理」へリンク。関連：屋根カバー・屋根材注意記事。</t>
        </is>
      </c>
      <c r="W18" s="12" t="n"/>
    </row>
    <row r="19">
      <c r="A19" s="12" t="n">
        <v>18</v>
      </c>
      <c r="B19" s="12" t="inlineStr">
        <is>
          <t>松山市 ヴェルウッド</t>
        </is>
      </c>
      <c r="C19" s="12" t="inlineStr">
        <is>
          <t>松山市 ヴェルウッド</t>
        </is>
      </c>
      <c r="D19" s="12" t="inlineStr">
        <is>
          <t>松山市でヴェルウッドを使う屋根工事｜特徴・注意点を解説</t>
        </is>
      </c>
      <c r="E19" s="12" t="inlineStr">
        <is>
          <t>屋根修理・屋根材</t>
        </is>
      </c>
      <c r="F19" s="12" t="inlineStr">
        <is>
          <t>屋根材注意型</t>
        </is>
      </c>
      <c r="G19" s="12" t="inlineStr">
        <is>
          <t>5,000〜7,000字</t>
        </is>
      </c>
      <c r="H19" s="12" t="inlineStr">
        <is>
          <t>高</t>
        </is>
      </c>
      <c r="I19" s="12" t="inlineStr">
        <is>
          <t>第2ロット：屋根修理・屋根材系</t>
        </is>
      </c>
      <c r="J19" s="12" t="inlineStr">
        <is>
          <t>屋根修理系</t>
        </is>
      </c>
      <c r="K19" s="12" t="inlineStr">
        <is>
          <t>松山市のヴェルウッド
症状・費用・注意点</t>
        </is>
      </c>
      <c r="L19" s="12" t="inlineStr">
        <is>
          <t>matsuyama-velwood</t>
        </is>
      </c>
      <c r="M19" s="12" t="inlineStr">
        <is>
          <t>matsuyama-velwood.webp</t>
        </is>
      </c>
      <c r="N19" s="12" t="inlineStr">
        <is>
          <t>松山市 ヴェルウッドについて、劣化症状、修理方法、費用目安、依頼前に確認したいポイントをわかりやすく解説します。</t>
        </is>
      </c>
      <c r="O19" s="12" t="inlineStr">
        <is>
          <t>屋根修理</t>
        </is>
      </c>
      <c r="P19" s="12" t="inlineStr">
        <is>
          <t>松山市、屋根修理</t>
        </is>
      </c>
      <c r="Q19" s="12" t="inlineStr">
        <is>
          <t>未着手</t>
        </is>
      </c>
      <c r="R19" s="12" t="inlineStr">
        <is>
          <t>未着手</t>
        </is>
      </c>
      <c r="S19" s="12" t="inlineStr">
        <is>
          <t>未着手</t>
        </is>
      </c>
      <c r="T19" s="12" t="inlineStr">
        <is>
          <t>未着手</t>
        </is>
      </c>
      <c r="U19" s="12" t="n"/>
      <c r="V19" s="12" t="inlineStr">
        <is>
          <t>中心記事「松山市の屋根修理」へリンク。関連：屋根カバー・屋根材注意記事。</t>
        </is>
      </c>
      <c r="W19" s="12" t="n"/>
    </row>
    <row r="20">
      <c r="A20" s="12" t="n">
        <v>19</v>
      </c>
      <c r="B20" s="12" t="inlineStr">
        <is>
          <t>松山市 パミール屋根</t>
        </is>
      </c>
      <c r="C20" s="12" t="inlineStr">
        <is>
          <t>松山市 パミール屋根</t>
        </is>
      </c>
      <c r="D20" s="12" t="inlineStr">
        <is>
          <t>松山市のパミール屋根は塗装できる？劣化症状と対策を解説</t>
        </is>
      </c>
      <c r="E20" s="12" t="inlineStr">
        <is>
          <t>屋根修理・屋根材</t>
        </is>
      </c>
      <c r="F20" s="12" t="inlineStr">
        <is>
          <t>屋根材注意型</t>
        </is>
      </c>
      <c r="G20" s="12" t="inlineStr">
        <is>
          <t>5,000〜7,000字</t>
        </is>
      </c>
      <c r="H20" s="12" t="inlineStr">
        <is>
          <t>高</t>
        </is>
      </c>
      <c r="I20" s="12" t="inlineStr">
        <is>
          <t>第2ロット：屋根修理・屋根材系</t>
        </is>
      </c>
      <c r="J20" s="12" t="inlineStr">
        <is>
          <t>屋根修理系</t>
        </is>
      </c>
      <c r="K20" s="12" t="inlineStr">
        <is>
          <t>松山市のパミール屋根
症状・費用・注意点</t>
        </is>
      </c>
      <c r="L20" s="12" t="inlineStr">
        <is>
          <t>matsuyama-pamir-roof</t>
        </is>
      </c>
      <c r="M20" s="12" t="inlineStr">
        <is>
          <t>matsuyama-pamir-roof.webp</t>
        </is>
      </c>
      <c r="N20" s="12" t="inlineStr">
        <is>
          <t>松山市 パミール屋根について、劣化症状、修理方法、費用目安、依頼前に確認したいポイントをわかりやすく解説します。</t>
        </is>
      </c>
      <c r="O20" s="12" t="inlineStr">
        <is>
          <t>屋根修理</t>
        </is>
      </c>
      <c r="P20" s="12" t="inlineStr">
        <is>
          <t>松山市、屋根修理</t>
        </is>
      </c>
      <c r="Q20" s="12" t="inlineStr">
        <is>
          <t>未着手</t>
        </is>
      </c>
      <c r="R20" s="12" t="inlineStr">
        <is>
          <t>未着手</t>
        </is>
      </c>
      <c r="S20" s="12" t="inlineStr">
        <is>
          <t>未着手</t>
        </is>
      </c>
      <c r="T20" s="12" t="inlineStr">
        <is>
          <t>未着手</t>
        </is>
      </c>
      <c r="U20" s="12" t="n"/>
      <c r="V20" s="12" t="inlineStr">
        <is>
          <t>中心記事「松山市の屋根修理」へリンク。関連：屋根カバー・屋根材注意記事。</t>
        </is>
      </c>
      <c r="W20" s="12" t="n"/>
    </row>
    <row r="21">
      <c r="A21" s="12" t="n">
        <v>20</v>
      </c>
      <c r="B21" s="12" t="inlineStr">
        <is>
          <t>パナソニックホームズ 外壁塗装 松山市</t>
        </is>
      </c>
      <c r="C21" s="12" t="inlineStr">
        <is>
          <t>パナソニックホームズ 外壁塗装 松山市</t>
        </is>
      </c>
      <c r="D21" s="12" t="inlineStr">
        <is>
          <t>パナソニックホームズの外壁塗装を松山市で行う際の注意点を解説</t>
        </is>
      </c>
      <c r="E21" s="12" t="inlineStr">
        <is>
          <t>ハウスメーカー外壁塗装</t>
        </is>
      </c>
      <c r="F21" s="12" t="inlineStr">
        <is>
          <t>ハウスメーカー型</t>
        </is>
      </c>
      <c r="G21" s="12" t="inlineStr">
        <is>
          <t>4,500〜6,000字</t>
        </is>
      </c>
      <c r="H21" s="12" t="inlineStr">
        <is>
          <t>中</t>
        </is>
      </c>
      <c r="I21" s="12" t="inlineStr">
        <is>
          <t>第3ロット：外壁塗装・防水系</t>
        </is>
      </c>
      <c r="J21" s="12" t="inlineStr">
        <is>
          <t>外壁塗装系</t>
        </is>
      </c>
      <c r="K21" s="12" t="inlineStr">
        <is>
          <t>パナソニックホームズ 外壁塗装 松山市
症状・費用・注意点</t>
        </is>
      </c>
      <c r="L21" s="12" t="inlineStr">
        <is>
          <t>panasonic-homes-exterior-paint-matsuyama</t>
        </is>
      </c>
      <c r="M21" s="12" t="inlineStr">
        <is>
          <t>panasonic-homes-exterior-paint-matsuyama.webp</t>
        </is>
      </c>
      <c r="N21" s="12" t="inlineStr">
        <is>
          <t>パナソニックホームズ 外壁塗装 松山市について、特徴、注意点、費用目安、業者選びのポイントを初心者にもわかりやすく解説します。</t>
        </is>
      </c>
      <c r="O21" s="12" t="inlineStr">
        <is>
          <t>外壁塗装</t>
        </is>
      </c>
      <c r="P21" s="12" t="inlineStr">
        <is>
          <t>松山市、外壁塗装</t>
        </is>
      </c>
      <c r="Q21" s="12" t="inlineStr">
        <is>
          <t>未着手</t>
        </is>
      </c>
      <c r="R21" s="12" t="inlineStr">
        <is>
          <t>未着手</t>
        </is>
      </c>
      <c r="S21" s="12" t="inlineStr">
        <is>
          <t>未着手</t>
        </is>
      </c>
      <c r="T21" s="12" t="inlineStr">
        <is>
          <t>未着手</t>
        </is>
      </c>
      <c r="U21" s="12" t="n"/>
      <c r="V21" s="12" t="inlineStr">
        <is>
          <t>関連：外壁塗装工期、足場代、防水工事、屋根カバーへリンク。</t>
        </is>
      </c>
      <c r="W21" s="12" t="n"/>
    </row>
    <row r="22">
      <c r="A22" s="12" t="n">
        <v>21</v>
      </c>
      <c r="B22" s="12" t="inlineStr">
        <is>
          <t>レオハウス 外壁塗装 松山市</t>
        </is>
      </c>
      <c r="C22" s="12" t="inlineStr">
        <is>
          <t>レオハウス 外壁塗装 松山市</t>
        </is>
      </c>
      <c r="D22" s="12" t="inlineStr">
        <is>
          <t>レオハウスの外壁塗装を松山市で行う際の注意点を解説</t>
        </is>
      </c>
      <c r="E22" s="12" t="inlineStr">
        <is>
          <t>ハウスメーカー外壁塗装</t>
        </is>
      </c>
      <c r="F22" s="12" t="inlineStr">
        <is>
          <t>ハウスメーカー型</t>
        </is>
      </c>
      <c r="G22" s="12" t="inlineStr">
        <is>
          <t>4,500〜6,000字</t>
        </is>
      </c>
      <c r="H22" s="12" t="inlineStr">
        <is>
          <t>中</t>
        </is>
      </c>
      <c r="I22" s="12" t="inlineStr">
        <is>
          <t>第3ロット：外壁塗装・防水系</t>
        </is>
      </c>
      <c r="J22" s="12" t="inlineStr">
        <is>
          <t>外壁塗装系</t>
        </is>
      </c>
      <c r="K22" s="12" t="inlineStr">
        <is>
          <t>レオハウス 外壁塗装 松山市
症状・費用・注意点</t>
        </is>
      </c>
      <c r="L22" s="12" t="inlineStr">
        <is>
          <t>leo-house-exterior-paint-matsuyama</t>
        </is>
      </c>
      <c r="M22" s="12" t="inlineStr">
        <is>
          <t>leo-house-exterior-paint-matsuyama.webp</t>
        </is>
      </c>
      <c r="N22" s="12" t="inlineStr">
        <is>
          <t>レオハウス 外壁塗装 松山市について、特徴、注意点、費用目安、業者選びのポイントを初心者にもわかりやすく解説します。</t>
        </is>
      </c>
      <c r="O22" s="12" t="inlineStr">
        <is>
          <t>外壁塗装</t>
        </is>
      </c>
      <c r="P22" s="12" t="inlineStr">
        <is>
          <t>松山市、外壁塗装</t>
        </is>
      </c>
      <c r="Q22" s="12" t="inlineStr">
        <is>
          <t>未着手</t>
        </is>
      </c>
      <c r="R22" s="12" t="inlineStr">
        <is>
          <t>未着手</t>
        </is>
      </c>
      <c r="S22" s="12" t="inlineStr">
        <is>
          <t>未着手</t>
        </is>
      </c>
      <c r="T22" s="12" t="inlineStr">
        <is>
          <t>未着手</t>
        </is>
      </c>
      <c r="U22" s="12" t="n"/>
      <c r="V22" s="12" t="inlineStr">
        <is>
          <t>関連：外壁塗装工期、足場代、防水工事、屋根カバーへリンク。</t>
        </is>
      </c>
      <c r="W22" s="12" t="n"/>
    </row>
    <row r="23">
      <c r="A23" s="12" t="n">
        <v>22</v>
      </c>
      <c r="B23" s="12" t="inlineStr">
        <is>
          <t>アットハウジング 外壁塗装 松山市</t>
        </is>
      </c>
      <c r="C23" s="12" t="inlineStr">
        <is>
          <t>アットハウジング 外壁塗装 松山市</t>
        </is>
      </c>
      <c r="D23" s="12" t="inlineStr">
        <is>
          <t>アットハウジングの外壁塗装を松山市で行う際の注意点を解説</t>
        </is>
      </c>
      <c r="E23" s="12" t="inlineStr">
        <is>
          <t>ハウスメーカー外壁塗装</t>
        </is>
      </c>
      <c r="F23" s="12" t="inlineStr">
        <is>
          <t>ハウスメーカー型</t>
        </is>
      </c>
      <c r="G23" s="12" t="inlineStr">
        <is>
          <t>4,500〜6,000字</t>
        </is>
      </c>
      <c r="H23" s="12" t="inlineStr">
        <is>
          <t>中</t>
        </is>
      </c>
      <c r="I23" s="12" t="inlineStr">
        <is>
          <t>第3ロット：外壁塗装・防水系</t>
        </is>
      </c>
      <c r="J23" s="12" t="inlineStr">
        <is>
          <t>外壁塗装系</t>
        </is>
      </c>
      <c r="K23" s="12" t="inlineStr">
        <is>
          <t>アットハウジング 外壁塗装 松山市
症状・費用・注意点</t>
        </is>
      </c>
      <c r="L23" s="12" t="inlineStr">
        <is>
          <t>at-housing-exterior-paint-matsuyama</t>
        </is>
      </c>
      <c r="M23" s="12" t="inlineStr">
        <is>
          <t>at-housing-exterior-paint-matsuyama.webp</t>
        </is>
      </c>
      <c r="N23" s="12" t="inlineStr">
        <is>
          <t>アットハウジング 外壁塗装 松山市について、特徴、注意点、費用目安、業者選びのポイントを初心者にもわかりやすく解説します。</t>
        </is>
      </c>
      <c r="O23" s="12" t="inlineStr">
        <is>
          <t>外壁塗装</t>
        </is>
      </c>
      <c r="P23" s="12" t="inlineStr">
        <is>
          <t>松山市、外壁塗装</t>
        </is>
      </c>
      <c r="Q23" s="12" t="inlineStr">
        <is>
          <t>未着手</t>
        </is>
      </c>
      <c r="R23" s="12" t="inlineStr">
        <is>
          <t>未着手</t>
        </is>
      </c>
      <c r="S23" s="12" t="inlineStr">
        <is>
          <t>未着手</t>
        </is>
      </c>
      <c r="T23" s="12" t="inlineStr">
        <is>
          <t>未着手</t>
        </is>
      </c>
      <c r="U23" s="12" t="n"/>
      <c r="V23" s="12" t="inlineStr">
        <is>
          <t>関連：外壁塗装工期、足場代、防水工事、屋根カバーへリンク。</t>
        </is>
      </c>
      <c r="W23" s="12" t="n"/>
    </row>
    <row r="24">
      <c r="A24" s="12" t="n">
        <v>23</v>
      </c>
      <c r="B24" s="12" t="inlineStr">
        <is>
          <t>日本ハウスHD 外壁塗装 松山市</t>
        </is>
      </c>
      <c r="C24" s="12" t="inlineStr">
        <is>
          <t>日本ハウスHD 外壁塗装 松山市</t>
        </is>
      </c>
      <c r="D24" s="12" t="inlineStr">
        <is>
          <t>日本ハウスHDの外壁塗装を松山市で行う際の注意点を解説</t>
        </is>
      </c>
      <c r="E24" s="12" t="inlineStr">
        <is>
          <t>ハウスメーカー外壁塗装</t>
        </is>
      </c>
      <c r="F24" s="12" t="inlineStr">
        <is>
          <t>ハウスメーカー型</t>
        </is>
      </c>
      <c r="G24" s="12" t="inlineStr">
        <is>
          <t>4,500〜6,000字</t>
        </is>
      </c>
      <c r="H24" s="12" t="inlineStr">
        <is>
          <t>中</t>
        </is>
      </c>
      <c r="I24" s="12" t="inlineStr">
        <is>
          <t>第3ロット：外壁塗装・防水系</t>
        </is>
      </c>
      <c r="J24" s="12" t="inlineStr">
        <is>
          <t>外壁塗装系</t>
        </is>
      </c>
      <c r="K24" s="12" t="inlineStr">
        <is>
          <t>日本ハウスHD 外壁塗装 松山市
症状・費用・注意点</t>
        </is>
      </c>
      <c r="L24" s="12" t="inlineStr">
        <is>
          <t>nihon-house-hd-exterior-paint-matsuyama</t>
        </is>
      </c>
      <c r="M24" s="12" t="inlineStr">
        <is>
          <t>nihon-house-hd-exterior-paint-matsuyama.webp</t>
        </is>
      </c>
      <c r="N24" s="12" t="inlineStr">
        <is>
          <t>日本ハウスHD 外壁塗装 松山市について、特徴、注意点、費用目安、業者選びのポイントを初心者にもわかりやすく解説します。</t>
        </is>
      </c>
      <c r="O24" s="12" t="inlineStr">
        <is>
          <t>外壁塗装</t>
        </is>
      </c>
      <c r="P24" s="12" t="inlineStr">
        <is>
          <t>松山市、外壁塗装</t>
        </is>
      </c>
      <c r="Q24" s="12" t="inlineStr">
        <is>
          <t>未着手</t>
        </is>
      </c>
      <c r="R24" s="12" t="inlineStr">
        <is>
          <t>未着手</t>
        </is>
      </c>
      <c r="S24" s="12" t="inlineStr">
        <is>
          <t>未着手</t>
        </is>
      </c>
      <c r="T24" s="12" t="inlineStr">
        <is>
          <t>未着手</t>
        </is>
      </c>
      <c r="U24" s="12" t="n"/>
      <c r="V24" s="12" t="inlineStr">
        <is>
          <t>関連：外壁塗装工期、足場代、防水工事、屋根カバーへリンク。</t>
        </is>
      </c>
      <c r="W24" s="12" t="n"/>
    </row>
    <row r="25">
      <c r="A25" s="12" t="n">
        <v>24</v>
      </c>
      <c r="B25" s="12" t="inlineStr">
        <is>
          <t>アイフルホーム 外壁塗装 松山市</t>
        </is>
      </c>
      <c r="C25" s="12" t="inlineStr">
        <is>
          <t>アイフルホーム 外壁塗装 松山市</t>
        </is>
      </c>
      <c r="D25" s="12" t="inlineStr">
        <is>
          <t>アイフルホームの外壁塗装を松山市で行う際の注意点を解説</t>
        </is>
      </c>
      <c r="E25" s="12" t="inlineStr">
        <is>
          <t>ハウスメーカー外壁塗装</t>
        </is>
      </c>
      <c r="F25" s="12" t="inlineStr">
        <is>
          <t>ハウスメーカー型</t>
        </is>
      </c>
      <c r="G25" s="12" t="inlineStr">
        <is>
          <t>4,500〜6,000字</t>
        </is>
      </c>
      <c r="H25" s="12" t="inlineStr">
        <is>
          <t>中</t>
        </is>
      </c>
      <c r="I25" s="12" t="inlineStr">
        <is>
          <t>第3ロット：外壁塗装・防水系</t>
        </is>
      </c>
      <c r="J25" s="12" t="inlineStr">
        <is>
          <t>外壁塗装系</t>
        </is>
      </c>
      <c r="K25" s="12" t="inlineStr">
        <is>
          <t>アイフルホーム 外壁塗装 松山市
症状・費用・注意点</t>
        </is>
      </c>
      <c r="L25" s="12" t="inlineStr">
        <is>
          <t>eyeful-home-exterior-paint-matsuyama</t>
        </is>
      </c>
      <c r="M25" s="12" t="inlineStr">
        <is>
          <t>eyeful-home-exterior-paint-matsuyama.webp</t>
        </is>
      </c>
      <c r="N25" s="12" t="inlineStr">
        <is>
          <t>アイフルホーム 外壁塗装 松山市について、特徴、注意点、費用目安、業者選びのポイントを初心者にもわかりやすく解説します。</t>
        </is>
      </c>
      <c r="O25" s="12" t="inlineStr">
        <is>
          <t>外壁塗装</t>
        </is>
      </c>
      <c r="P25" s="12" t="inlineStr">
        <is>
          <t>松山市、外壁塗装</t>
        </is>
      </c>
      <c r="Q25" s="12" t="inlineStr">
        <is>
          <t>未着手</t>
        </is>
      </c>
      <c r="R25" s="12" t="inlineStr">
        <is>
          <t>未着手</t>
        </is>
      </c>
      <c r="S25" s="12" t="inlineStr">
        <is>
          <t>未着手</t>
        </is>
      </c>
      <c r="T25" s="12" t="inlineStr">
        <is>
          <t>未着手</t>
        </is>
      </c>
      <c r="U25" s="12" t="n"/>
      <c r="V25" s="12" t="inlineStr">
        <is>
          <t>関連：外壁塗装工期、足場代、防水工事、屋根カバーへリンク。</t>
        </is>
      </c>
      <c r="W25" s="12" t="n"/>
    </row>
    <row r="26">
      <c r="A26" s="12" t="n">
        <v>25</v>
      </c>
      <c r="B26" s="12" t="inlineStr">
        <is>
          <t>外壁から雨漏りする原因</t>
        </is>
      </c>
      <c r="C26" s="12" t="inlineStr">
        <is>
          <t>外壁から雨漏りする原因</t>
        </is>
      </c>
      <c r="D26" s="12" t="inlineStr">
        <is>
          <t>外壁から雨漏りする原因とは？ひび割れ・コーキング劣化の対策</t>
        </is>
      </c>
      <c r="E26" s="12" t="inlineStr">
        <is>
          <t>雨漏り</t>
        </is>
      </c>
      <c r="F26" s="12" t="inlineStr">
        <is>
          <t>原因・症状型</t>
        </is>
      </c>
      <c r="G26" s="12" t="inlineStr">
        <is>
          <t>4,500〜6,500字</t>
        </is>
      </c>
      <c r="H26" s="12" t="inlineStr">
        <is>
          <t>高</t>
        </is>
      </c>
      <c r="I26" s="12" t="inlineStr">
        <is>
          <t>第1ロット：雨漏り系</t>
        </is>
      </c>
      <c r="J26" s="12" t="inlineStr">
        <is>
          <t>雨漏り系</t>
        </is>
      </c>
      <c r="K26" s="12" t="inlineStr">
        <is>
          <t>外壁から雨漏りの原因
放置リスクと対処法</t>
        </is>
      </c>
      <c r="L26" s="12" t="inlineStr">
        <is>
          <t>exterior-wall-leak-cause</t>
        </is>
      </c>
      <c r="M26" s="12" t="inlineStr">
        <is>
          <t>exterior-wall-leak-cause.webp</t>
        </is>
      </c>
      <c r="N26" s="12" t="inlineStr">
        <is>
          <t>外壁から雨漏りする原因について、主な原因、放置リスク、修理方法、業者選びのポイントを松山市で検討中の方向けに解説します。</t>
        </is>
      </c>
      <c r="O26" s="12" t="inlineStr">
        <is>
          <t>雨漏り修理</t>
        </is>
      </c>
      <c r="P26" s="12" t="inlineStr">
        <is>
          <t>雨漏り、雨漏り修理</t>
        </is>
      </c>
      <c r="Q26" s="12" t="inlineStr">
        <is>
          <t>未着手</t>
        </is>
      </c>
      <c r="R26" s="12" t="inlineStr">
        <is>
          <t>未着手</t>
        </is>
      </c>
      <c r="S26" s="12" t="inlineStr">
        <is>
          <t>未着手</t>
        </is>
      </c>
      <c r="T26" s="12" t="inlineStr">
        <is>
          <t>未着手</t>
        </is>
      </c>
      <c r="U26" s="12" t="n"/>
      <c r="V26" s="12" t="inlineStr">
        <is>
          <t>中心記事「松山市の雨漏り修理」へリンク。関連：雨漏り費用・調査・屋根雨漏り。</t>
        </is>
      </c>
      <c r="W26" s="12" t="n"/>
    </row>
    <row r="27">
      <c r="A27" s="12" t="n">
        <v>26</v>
      </c>
      <c r="B27" s="12" t="inlineStr">
        <is>
          <t>窓枠から雨漏りする原因</t>
        </is>
      </c>
      <c r="C27" s="12" t="inlineStr">
        <is>
          <t>窓枠から雨漏りする原因</t>
        </is>
      </c>
      <c r="D27" s="12" t="inlineStr">
        <is>
          <t>窓枠から雨漏りする原因とは？サッシまわりの劣化と修理方法</t>
        </is>
      </c>
      <c r="E27" s="12" t="inlineStr">
        <is>
          <t>雨漏り</t>
        </is>
      </c>
      <c r="F27" s="12" t="inlineStr">
        <is>
          <t>原因・症状型</t>
        </is>
      </c>
      <c r="G27" s="12" t="inlineStr">
        <is>
          <t>4,500〜6,500字</t>
        </is>
      </c>
      <c r="H27" s="12" t="inlineStr">
        <is>
          <t>高</t>
        </is>
      </c>
      <c r="I27" s="12" t="inlineStr">
        <is>
          <t>第1ロット：雨漏り系</t>
        </is>
      </c>
      <c r="J27" s="12" t="inlineStr">
        <is>
          <t>雨漏り系</t>
        </is>
      </c>
      <c r="K27" s="12" t="inlineStr">
        <is>
          <t>窓枠から雨漏りの原因
放置リスクと対処法</t>
        </is>
      </c>
      <c r="L27" s="12" t="inlineStr">
        <is>
          <t>window-frame-leak-cause</t>
        </is>
      </c>
      <c r="M27" s="12" t="inlineStr">
        <is>
          <t>window-frame-leak-cause.webp</t>
        </is>
      </c>
      <c r="N27" s="12" t="inlineStr">
        <is>
          <t>窓枠から雨漏りする原因について、主な原因、放置リスク、修理方法、業者選びのポイントを松山市で検討中の方向けに解説します。</t>
        </is>
      </c>
      <c r="O27" s="12" t="inlineStr">
        <is>
          <t>雨漏り修理</t>
        </is>
      </c>
      <c r="P27" s="12" t="inlineStr">
        <is>
          <t>雨漏り、雨漏り修理</t>
        </is>
      </c>
      <c r="Q27" s="12" t="inlineStr">
        <is>
          <t>未着手</t>
        </is>
      </c>
      <c r="R27" s="12" t="inlineStr">
        <is>
          <t>未着手</t>
        </is>
      </c>
      <c r="S27" s="12" t="inlineStr">
        <is>
          <t>未着手</t>
        </is>
      </c>
      <c r="T27" s="12" t="inlineStr">
        <is>
          <t>未着手</t>
        </is>
      </c>
      <c r="U27" s="12" t="n"/>
      <c r="V27" s="12" t="inlineStr">
        <is>
          <t>中心記事「松山市の雨漏り修理」へリンク。関連：雨漏り費用・調査・屋根雨漏り。</t>
        </is>
      </c>
      <c r="W27" s="12" t="n"/>
    </row>
    <row r="28">
      <c r="A28" s="12" t="n">
        <v>27</v>
      </c>
      <c r="B28" s="12" t="inlineStr">
        <is>
          <t>天窓雨漏り修理</t>
        </is>
      </c>
      <c r="C28" s="12" t="inlineStr">
        <is>
          <t>天窓雨漏り修理</t>
        </is>
      </c>
      <c r="D28" s="12" t="inlineStr">
        <is>
          <t>天窓の雨漏り修理はどうする？原因・費用・放置リスクを解説</t>
        </is>
      </c>
      <c r="E28" s="12" t="inlineStr">
        <is>
          <t>雨漏り</t>
        </is>
      </c>
      <c r="F28" s="12" t="inlineStr">
        <is>
          <t>原因・症状型</t>
        </is>
      </c>
      <c r="G28" s="12" t="inlineStr">
        <is>
          <t>4,500〜6,500字</t>
        </is>
      </c>
      <c r="H28" s="12" t="inlineStr">
        <is>
          <t>高</t>
        </is>
      </c>
      <c r="I28" s="12" t="inlineStr">
        <is>
          <t>第1ロット：雨漏り系</t>
        </is>
      </c>
      <c r="J28" s="12" t="inlineStr">
        <is>
          <t>雨漏り系</t>
        </is>
      </c>
      <c r="K28" s="12" t="inlineStr">
        <is>
          <t>天窓雨漏り修理
原因と修理方法</t>
        </is>
      </c>
      <c r="L28" s="12" t="inlineStr">
        <is>
          <t>skylight-leak-repair</t>
        </is>
      </c>
      <c r="M28" s="12" t="inlineStr">
        <is>
          <t>skylight-leak-repair.webp</t>
        </is>
      </c>
      <c r="N28" s="12" t="inlineStr">
        <is>
          <t>天窓雨漏り修理について、主な原因、放置リスク、修理方法、業者選びのポイントを松山市で検討中の方向けに解説します。</t>
        </is>
      </c>
      <c r="O28" s="12" t="inlineStr">
        <is>
          <t>雨漏り修理</t>
        </is>
      </c>
      <c r="P28" s="12" t="inlineStr">
        <is>
          <t>雨漏り、雨漏り修理</t>
        </is>
      </c>
      <c r="Q28" s="12" t="inlineStr">
        <is>
          <t>未着手</t>
        </is>
      </c>
      <c r="R28" s="12" t="inlineStr">
        <is>
          <t>未着手</t>
        </is>
      </c>
      <c r="S28" s="12" t="inlineStr">
        <is>
          <t>未着手</t>
        </is>
      </c>
      <c r="T28" s="12" t="inlineStr">
        <is>
          <t>未着手</t>
        </is>
      </c>
      <c r="U28" s="12" t="n"/>
      <c r="V28" s="12" t="inlineStr">
        <is>
          <t>中心記事「松山市の雨漏り修理」へリンク。関連：雨漏り費用・調査・屋根雨漏り。</t>
        </is>
      </c>
      <c r="W28" s="12" t="n"/>
    </row>
    <row r="29">
      <c r="A29" s="12" t="n">
        <v>28</v>
      </c>
      <c r="B29" s="12" t="inlineStr">
        <is>
          <t>笠木雨漏り</t>
        </is>
      </c>
      <c r="C29" s="12" t="inlineStr">
        <is>
          <t>笠木雨漏り</t>
        </is>
      </c>
      <c r="D29" s="12" t="inlineStr">
        <is>
          <t>笠木雨漏りの原因とは？ベランダ・外壁まわりの防水対策</t>
        </is>
      </c>
      <c r="E29" s="12" t="inlineStr">
        <is>
          <t>雨漏り</t>
        </is>
      </c>
      <c r="F29" s="12" t="inlineStr">
        <is>
          <t>原因・症状型</t>
        </is>
      </c>
      <c r="G29" s="12" t="inlineStr">
        <is>
          <t>4,500〜6,500字</t>
        </is>
      </c>
      <c r="H29" s="12" t="inlineStr">
        <is>
          <t>高</t>
        </is>
      </c>
      <c r="I29" s="12" t="inlineStr">
        <is>
          <t>第1ロット：雨漏り系</t>
        </is>
      </c>
      <c r="J29" s="12" t="inlineStr">
        <is>
          <t>雨漏り系</t>
        </is>
      </c>
      <c r="K29" s="12" t="inlineStr">
        <is>
          <t>笠木雨漏り
原因と修理方法</t>
        </is>
      </c>
      <c r="L29" s="12" t="inlineStr">
        <is>
          <t>coping-leak</t>
        </is>
      </c>
      <c r="M29" s="12" t="inlineStr">
        <is>
          <t>coping-leak.webp</t>
        </is>
      </c>
      <c r="N29" s="12" t="inlineStr">
        <is>
          <t>笠木雨漏りについて、主な原因、放置リスク、修理方法、業者選びのポイントを松山市で検討中の方向けに解説します。</t>
        </is>
      </c>
      <c r="O29" s="12" t="inlineStr">
        <is>
          <t>雨漏り修理</t>
        </is>
      </c>
      <c r="P29" s="12" t="inlineStr">
        <is>
          <t>雨漏り、雨漏り修理</t>
        </is>
      </c>
      <c r="Q29" s="12" t="inlineStr">
        <is>
          <t>未着手</t>
        </is>
      </c>
      <c r="R29" s="12" t="inlineStr">
        <is>
          <t>未着手</t>
        </is>
      </c>
      <c r="S29" s="12" t="inlineStr">
        <is>
          <t>未着手</t>
        </is>
      </c>
      <c r="T29" s="12" t="inlineStr">
        <is>
          <t>未着手</t>
        </is>
      </c>
      <c r="U29" s="12" t="n"/>
      <c r="V29" s="12" t="inlineStr">
        <is>
          <t>中心記事「松山市の雨漏り修理」へリンク。関連：雨漏り費用・調査・屋根雨漏り。</t>
        </is>
      </c>
      <c r="W29" s="12" t="n"/>
    </row>
    <row r="30">
      <c r="A30" s="12" t="n">
        <v>29</v>
      </c>
      <c r="B30" s="12" t="inlineStr">
        <is>
          <t>幕板雨漏り</t>
        </is>
      </c>
      <c r="C30" s="12" t="inlineStr">
        <is>
          <t>幕板雨漏り</t>
        </is>
      </c>
      <c r="D30" s="12" t="inlineStr">
        <is>
          <t>幕板から雨漏りする原因とは？劣化症状と補修方法を解説</t>
        </is>
      </c>
      <c r="E30" s="12" t="inlineStr">
        <is>
          <t>雨漏り</t>
        </is>
      </c>
      <c r="F30" s="12" t="inlineStr">
        <is>
          <t>原因・症状型</t>
        </is>
      </c>
      <c r="G30" s="12" t="inlineStr">
        <is>
          <t>4,500〜6,500字</t>
        </is>
      </c>
      <c r="H30" s="12" t="inlineStr">
        <is>
          <t>高</t>
        </is>
      </c>
      <c r="I30" s="12" t="inlineStr">
        <is>
          <t>第1ロット：雨漏り系</t>
        </is>
      </c>
      <c r="J30" s="12" t="inlineStr">
        <is>
          <t>雨漏り系</t>
        </is>
      </c>
      <c r="K30" s="12" t="inlineStr">
        <is>
          <t>幕板雨漏り
原因と修理方法</t>
        </is>
      </c>
      <c r="L30" s="12" t="inlineStr">
        <is>
          <t>decorative-trim-leak</t>
        </is>
      </c>
      <c r="M30" s="12" t="inlineStr">
        <is>
          <t>decorative-trim-leak.webp</t>
        </is>
      </c>
      <c r="N30" s="12" t="inlineStr">
        <is>
          <t>幕板雨漏りについて、主な原因、放置リスク、修理方法、業者選びのポイントを松山市で検討中の方向けに解説します。</t>
        </is>
      </c>
      <c r="O30" s="12" t="inlineStr">
        <is>
          <t>雨漏り修理</t>
        </is>
      </c>
      <c r="P30" s="12" t="inlineStr">
        <is>
          <t>雨漏り、雨漏り修理</t>
        </is>
      </c>
      <c r="Q30" s="12" t="inlineStr">
        <is>
          <t>未着手</t>
        </is>
      </c>
      <c r="R30" s="12" t="inlineStr">
        <is>
          <t>未着手</t>
        </is>
      </c>
      <c r="S30" s="12" t="inlineStr">
        <is>
          <t>未着手</t>
        </is>
      </c>
      <c r="T30" s="12" t="inlineStr">
        <is>
          <t>未着手</t>
        </is>
      </c>
      <c r="U30" s="12" t="n"/>
      <c r="V30" s="12" t="inlineStr">
        <is>
          <t>中心記事「松山市の雨漏り修理」へリンク。関連：雨漏り費用・調査・屋根雨漏り。</t>
        </is>
      </c>
      <c r="W30" s="12" t="n"/>
    </row>
    <row r="31">
      <c r="A31" s="12" t="n">
        <v>30</v>
      </c>
      <c r="B31" s="12" t="inlineStr">
        <is>
          <t>バルコニー雨漏り</t>
        </is>
      </c>
      <c r="C31" s="12" t="inlineStr">
        <is>
          <t>バルコニー雨漏り</t>
        </is>
      </c>
      <c r="D31" s="12" t="inlineStr">
        <is>
          <t>バルコニー雨漏りの原因と修理方法｜防水工事の費用目安も解説</t>
        </is>
      </c>
      <c r="E31" s="12" t="inlineStr">
        <is>
          <t>雨漏り</t>
        </is>
      </c>
      <c r="F31" s="12" t="inlineStr">
        <is>
          <t>原因・症状型</t>
        </is>
      </c>
      <c r="G31" s="12" t="inlineStr">
        <is>
          <t>4,500〜6,500字</t>
        </is>
      </c>
      <c r="H31" s="12" t="inlineStr">
        <is>
          <t>高</t>
        </is>
      </c>
      <c r="I31" s="12" t="inlineStr">
        <is>
          <t>第1ロット：雨漏り系</t>
        </is>
      </c>
      <c r="J31" s="12" t="inlineStr">
        <is>
          <t>雨漏り系</t>
        </is>
      </c>
      <c r="K31" s="12" t="inlineStr">
        <is>
          <t>バルコニー雨漏り
原因と修理方法</t>
        </is>
      </c>
      <c r="L31" s="12" t="inlineStr">
        <is>
          <t>balcony-leak</t>
        </is>
      </c>
      <c r="M31" s="12" t="inlineStr">
        <is>
          <t>balcony-leak.webp</t>
        </is>
      </c>
      <c r="N31" s="12" t="inlineStr">
        <is>
          <t>バルコニー雨漏りについて、主な原因、放置リスク、修理方法、業者選びのポイントを松山市で検討中の方向けに解説します。</t>
        </is>
      </c>
      <c r="O31" s="12" t="inlineStr">
        <is>
          <t>雨漏り修理</t>
        </is>
      </c>
      <c r="P31" s="12" t="inlineStr">
        <is>
          <t>雨漏り、雨漏り修理</t>
        </is>
      </c>
      <c r="Q31" s="12" t="inlineStr">
        <is>
          <t>未着手</t>
        </is>
      </c>
      <c r="R31" s="12" t="inlineStr">
        <is>
          <t>未着手</t>
        </is>
      </c>
      <c r="S31" s="12" t="inlineStr">
        <is>
          <t>未着手</t>
        </is>
      </c>
      <c r="T31" s="12" t="inlineStr">
        <is>
          <t>未着手</t>
        </is>
      </c>
      <c r="U31" s="12" t="n"/>
      <c r="V31" s="12" t="inlineStr">
        <is>
          <t>中心記事「松山市の雨漏り修理」へリンク。関連：雨漏り費用・調査・屋根雨漏り。</t>
        </is>
      </c>
      <c r="W31" s="12" t="n"/>
    </row>
    <row r="32">
      <c r="A32" s="12" t="n">
        <v>31</v>
      </c>
      <c r="B32" s="12" t="inlineStr">
        <is>
          <t>軒天雨漏り</t>
        </is>
      </c>
      <c r="C32" s="12" t="inlineStr">
        <is>
          <t>軒天雨漏り</t>
        </is>
      </c>
      <c r="D32" s="12" t="inlineStr">
        <is>
          <t>軒天の雨漏りは危険？シミ・剥がれの原因と補修方法</t>
        </is>
      </c>
      <c r="E32" s="12" t="inlineStr">
        <is>
          <t>雨漏り</t>
        </is>
      </c>
      <c r="F32" s="12" t="inlineStr">
        <is>
          <t>原因・症状型</t>
        </is>
      </c>
      <c r="G32" s="12" t="inlineStr">
        <is>
          <t>4,500〜6,500字</t>
        </is>
      </c>
      <c r="H32" s="12" t="inlineStr">
        <is>
          <t>高</t>
        </is>
      </c>
      <c r="I32" s="12" t="inlineStr">
        <is>
          <t>第1ロット：雨漏り系</t>
        </is>
      </c>
      <c r="J32" s="12" t="inlineStr">
        <is>
          <t>雨漏り系</t>
        </is>
      </c>
      <c r="K32" s="12" t="inlineStr">
        <is>
          <t>軒天雨漏り
原因と修理方法</t>
        </is>
      </c>
      <c r="L32" s="12" t="inlineStr">
        <is>
          <t>soffit-leak</t>
        </is>
      </c>
      <c r="M32" s="12" t="inlineStr">
        <is>
          <t>soffit-leak.webp</t>
        </is>
      </c>
      <c r="N32" s="12" t="inlineStr">
        <is>
          <t>軒天雨漏りについて、主な原因、放置リスク、修理方法、業者選びのポイントを松山市で検討中の方向けに解説します。</t>
        </is>
      </c>
      <c r="O32" s="12" t="inlineStr">
        <is>
          <t>雨漏り修理</t>
        </is>
      </c>
      <c r="P32" s="12" t="inlineStr">
        <is>
          <t>雨漏り、軒天、雨漏り修理</t>
        </is>
      </c>
      <c r="Q32" s="12" t="inlineStr">
        <is>
          <t>未着手</t>
        </is>
      </c>
      <c r="R32" s="12" t="inlineStr">
        <is>
          <t>未着手</t>
        </is>
      </c>
      <c r="S32" s="12" t="inlineStr">
        <is>
          <t>未着手</t>
        </is>
      </c>
      <c r="T32" s="12" t="inlineStr">
        <is>
          <t>未着手</t>
        </is>
      </c>
      <c r="U32" s="12" t="n"/>
      <c r="V32" s="12" t="inlineStr">
        <is>
          <t>中心記事「松山市の雨漏り修理」へリンク。関連：雨漏り費用・調査・屋根雨漏り。</t>
        </is>
      </c>
      <c r="W32" s="12" t="n"/>
    </row>
    <row r="33">
      <c r="A33" s="12" t="n">
        <v>32</v>
      </c>
      <c r="B33" s="12" t="inlineStr">
        <is>
          <t>雨漏り火災保険</t>
        </is>
      </c>
      <c r="C33" s="12" t="inlineStr">
        <is>
          <t>雨漏り火災保険</t>
        </is>
      </c>
      <c r="D33" s="12" t="inlineStr">
        <is>
          <t>雨漏り修理に火災保険は使える？対象条件と申請前の注意点</t>
        </is>
      </c>
      <c r="E33" s="12" t="inlineStr">
        <is>
          <t>雨漏り</t>
        </is>
      </c>
      <c r="F33" s="12" t="inlineStr">
        <is>
          <t>原因・症状型</t>
        </is>
      </c>
      <c r="G33" s="12" t="inlineStr">
        <is>
          <t>5,000〜7,000字</t>
        </is>
      </c>
      <c r="H33" s="12" t="inlineStr">
        <is>
          <t>高</t>
        </is>
      </c>
      <c r="I33" s="12" t="inlineStr">
        <is>
          <t>第1ロット：雨漏り系</t>
        </is>
      </c>
      <c r="J33" s="12" t="inlineStr">
        <is>
          <t>雨漏り系</t>
        </is>
      </c>
      <c r="K33" s="12" t="inlineStr">
        <is>
          <t>雨漏り火災保険
原因と修理方法</t>
        </is>
      </c>
      <c r="L33" s="12" t="inlineStr">
        <is>
          <t>leak-fire-insurance</t>
        </is>
      </c>
      <c r="M33" s="12" t="inlineStr">
        <is>
          <t>leak-fire-insurance.webp</t>
        </is>
      </c>
      <c r="N33" s="12" t="inlineStr">
        <is>
          <t>雨漏り火災保険について、主な原因、放置リスク、修理方法、業者選びのポイントを松山市で検討中の方向けに解説します。</t>
        </is>
      </c>
      <c r="O33" s="12" t="inlineStr">
        <is>
          <t>雨漏り修理</t>
        </is>
      </c>
      <c r="P33" s="12" t="inlineStr">
        <is>
          <t>雨漏り、雨漏り修理</t>
        </is>
      </c>
      <c r="Q33" s="12" t="inlineStr">
        <is>
          <t>未着手</t>
        </is>
      </c>
      <c r="R33" s="12" t="inlineStr">
        <is>
          <t>未着手</t>
        </is>
      </c>
      <c r="S33" s="12" t="inlineStr">
        <is>
          <t>未着手</t>
        </is>
      </c>
      <c r="T33" s="12" t="inlineStr">
        <is>
          <t>未着手</t>
        </is>
      </c>
      <c r="U33" s="12" t="n"/>
      <c r="V33" s="12" t="inlineStr">
        <is>
          <t>中心記事「松山市の雨漏り修理」へリンク。関連：雨漏り費用・調査・屋根雨漏り。</t>
        </is>
      </c>
      <c r="W33" s="12" t="n"/>
    </row>
    <row r="34">
      <c r="A34" s="12" t="n">
        <v>33</v>
      </c>
      <c r="B34" s="12" t="inlineStr">
        <is>
          <t>コーキング劣化 雨漏り</t>
        </is>
      </c>
      <c r="C34" s="12" t="inlineStr">
        <is>
          <t>コーキング劣化 雨漏り</t>
        </is>
      </c>
      <c r="D34" s="12" t="inlineStr">
        <is>
          <t>コーキング劣化で雨漏りする原因とは？補修時期と費用を解説</t>
        </is>
      </c>
      <c r="E34" s="12" t="inlineStr">
        <is>
          <t>防水・シーリング</t>
        </is>
      </c>
      <c r="F34" s="12" t="inlineStr">
        <is>
          <t>防水・シーリング型</t>
        </is>
      </c>
      <c r="G34" s="12" t="inlineStr">
        <is>
          <t>4,500〜6,000字</t>
        </is>
      </c>
      <c r="H34" s="12" t="inlineStr">
        <is>
          <t>中</t>
        </is>
      </c>
      <c r="I34" s="12" t="inlineStr">
        <is>
          <t>第3ロット：外壁塗装・防水系</t>
        </is>
      </c>
      <c r="J34" s="12" t="inlineStr">
        <is>
          <t>防水系</t>
        </is>
      </c>
      <c r="K34" s="12" t="inlineStr">
        <is>
          <t>コーキング劣化 雨漏り
原因と修理方法</t>
        </is>
      </c>
      <c r="L34" s="12" t="inlineStr">
        <is>
          <t>caulking-deterioration-leak</t>
        </is>
      </c>
      <c r="M34" s="12" t="inlineStr">
        <is>
          <t>caulking-deterioration-leak.webp</t>
        </is>
      </c>
      <c r="N34" s="12" t="inlineStr">
        <is>
          <t>コーキング劣化 雨漏りについて、工事内容、耐用年数、費用目安、雨漏りを防ぐための注意点をわかりやすく解説します。</t>
        </is>
      </c>
      <c r="O34" s="12" t="inlineStr">
        <is>
          <t>防水・シーリング</t>
        </is>
      </c>
      <c r="P34" s="12" t="inlineStr">
        <is>
          <t>雨漏り、防水・シーリング</t>
        </is>
      </c>
      <c r="Q34" s="12" t="inlineStr">
        <is>
          <t>未着手</t>
        </is>
      </c>
      <c r="R34" s="12" t="inlineStr">
        <is>
          <t>未着手</t>
        </is>
      </c>
      <c r="S34" s="12" t="inlineStr">
        <is>
          <t>未着手</t>
        </is>
      </c>
      <c r="T34" s="12" t="inlineStr">
        <is>
          <t>未着手</t>
        </is>
      </c>
      <c r="U34" s="12" t="n"/>
      <c r="V34" s="12" t="inlineStr">
        <is>
          <t>関連：ベランダ防水費用、シーリング打ち替え費用、外壁雨漏りへリンク。</t>
        </is>
      </c>
      <c r="W34" s="12" t="n"/>
    </row>
    <row r="35">
      <c r="A35" s="12" t="n">
        <v>34</v>
      </c>
      <c r="B35" s="12" t="inlineStr">
        <is>
          <t>外壁ひび割れ 雨漏り</t>
        </is>
      </c>
      <c r="C35" s="12" t="inlineStr">
        <is>
          <t>外壁ひび割れ 雨漏り</t>
        </is>
      </c>
      <c r="D35" s="12" t="inlineStr">
        <is>
          <t>外壁ひび割れで雨漏りする？危険な症状と補修方法を解説</t>
        </is>
      </c>
      <c r="E35" s="12" t="inlineStr">
        <is>
          <t>防水・シーリング</t>
        </is>
      </c>
      <c r="F35" s="12" t="inlineStr">
        <is>
          <t>防水・シーリング型</t>
        </is>
      </c>
      <c r="G35" s="12" t="inlineStr">
        <is>
          <t>4,500〜6,000字</t>
        </is>
      </c>
      <c r="H35" s="12" t="inlineStr">
        <is>
          <t>中</t>
        </is>
      </c>
      <c r="I35" s="12" t="inlineStr">
        <is>
          <t>第3ロット：外壁塗装・防水系</t>
        </is>
      </c>
      <c r="J35" s="12" t="inlineStr">
        <is>
          <t>防水系</t>
        </is>
      </c>
      <c r="K35" s="12" t="inlineStr">
        <is>
          <t>外壁ひび割れ 雨漏り
原因と修理方法</t>
        </is>
      </c>
      <c r="L35" s="12" t="inlineStr">
        <is>
          <t>exterior-wall-crack-leak</t>
        </is>
      </c>
      <c r="M35" s="12" t="inlineStr">
        <is>
          <t>exterior-wall-crack-leak.webp</t>
        </is>
      </c>
      <c r="N35" s="12" t="inlineStr">
        <is>
          <t>外壁ひび割れ 雨漏りについて、工事内容、耐用年数、費用目安、雨漏りを防ぐための注意点をわかりやすく解説します。</t>
        </is>
      </c>
      <c r="O35" s="12" t="inlineStr">
        <is>
          <t>防水・シーリング</t>
        </is>
      </c>
      <c r="P35" s="12" t="inlineStr">
        <is>
          <t>雨漏り、防水・シーリング</t>
        </is>
      </c>
      <c r="Q35" s="12" t="inlineStr">
        <is>
          <t>未着手</t>
        </is>
      </c>
      <c r="R35" s="12" t="inlineStr">
        <is>
          <t>未着手</t>
        </is>
      </c>
      <c r="S35" s="12" t="inlineStr">
        <is>
          <t>未着手</t>
        </is>
      </c>
      <c r="T35" s="12" t="inlineStr">
        <is>
          <t>未着手</t>
        </is>
      </c>
      <c r="U35" s="12" t="n"/>
      <c r="V35" s="12" t="inlineStr">
        <is>
          <t>関連：ベランダ防水費用、シーリング打ち替え費用、外壁雨漏りへリンク。</t>
        </is>
      </c>
      <c r="W35" s="12" t="n"/>
    </row>
    <row r="36">
      <c r="A36" s="12" t="n">
        <v>35</v>
      </c>
      <c r="B36" s="12" t="inlineStr">
        <is>
          <t>シーリング打ち替え 費用</t>
        </is>
      </c>
      <c r="C36" s="12" t="inlineStr">
        <is>
          <t>シーリング打ち替え 費用</t>
        </is>
      </c>
      <c r="D36" s="12" t="inlineStr">
        <is>
          <t>シーリング打ち替え費用はいくら？相場・内訳・注意点を解説</t>
        </is>
      </c>
      <c r="E36" s="12" t="inlineStr">
        <is>
          <t>防水・シーリング</t>
        </is>
      </c>
      <c r="F36" s="12" t="inlineStr">
        <is>
          <t>費用・相場型</t>
        </is>
      </c>
      <c r="G36" s="12" t="inlineStr">
        <is>
          <t>5,000〜7,000字</t>
        </is>
      </c>
      <c r="H36" s="12" t="inlineStr">
        <is>
          <t>中</t>
        </is>
      </c>
      <c r="I36" s="12" t="inlineStr">
        <is>
          <t>第3ロット：外壁塗装・防水系</t>
        </is>
      </c>
      <c r="J36" s="12" t="inlineStr">
        <is>
          <t>防水系</t>
        </is>
      </c>
      <c r="K36" s="12" t="inlineStr">
        <is>
          <t>シーリング打ち替え 費用
相場と注意点を解説</t>
        </is>
      </c>
      <c r="L36" s="12" t="inlineStr">
        <is>
          <t>sealing-replacement-cost</t>
        </is>
      </c>
      <c r="M36" s="12" t="inlineStr">
        <is>
          <t>sealing-replacement-cost.webp</t>
        </is>
      </c>
      <c r="N36" s="12" t="inlineStr">
        <is>
          <t>シーリング打ち替え 費用について、費用相場、内訳、金額が変わる要因、見積もり時の注意点をわかりやすく解説します。</t>
        </is>
      </c>
      <c r="O36" s="12" t="inlineStr">
        <is>
          <t>防水・シーリング</t>
        </is>
      </c>
      <c r="P36" s="12" t="inlineStr">
        <is>
          <t>シーリング、費用、防水・シーリング</t>
        </is>
      </c>
      <c r="Q36" s="12" t="inlineStr">
        <is>
          <t>未着手</t>
        </is>
      </c>
      <c r="R36" s="12" t="inlineStr">
        <is>
          <t>未着手</t>
        </is>
      </c>
      <c r="S36" s="12" t="inlineStr">
        <is>
          <t>未着手</t>
        </is>
      </c>
      <c r="T36" s="12" t="inlineStr">
        <is>
          <t>未着手</t>
        </is>
      </c>
      <c r="U36" s="12" t="n"/>
      <c r="V36" s="12" t="inlineStr">
        <is>
          <t>関連：ベランダ防水費用、シーリング打ち替え費用、外壁雨漏りへリンク。</t>
        </is>
      </c>
      <c r="W36" s="12" t="n"/>
    </row>
    <row r="37">
      <c r="A37" s="12" t="n">
        <v>36</v>
      </c>
      <c r="B37" s="12" t="inlineStr">
        <is>
          <t>オートンイクシード 費用</t>
        </is>
      </c>
      <c r="C37" s="12" t="inlineStr">
        <is>
          <t>オートンイクシード 費用</t>
        </is>
      </c>
      <c r="D37" s="12" t="inlineStr">
        <is>
          <t>オートンイクシードの費用は高い？特徴・相場・向いている住宅</t>
        </is>
      </c>
      <c r="E37" s="12" t="inlineStr">
        <is>
          <t>防水・シーリング</t>
        </is>
      </c>
      <c r="F37" s="12" t="inlineStr">
        <is>
          <t>費用・相場型</t>
        </is>
      </c>
      <c r="G37" s="12" t="inlineStr">
        <is>
          <t>5,000〜7,000字</t>
        </is>
      </c>
      <c r="H37" s="12" t="inlineStr">
        <is>
          <t>中</t>
        </is>
      </c>
      <c r="I37" s="12" t="inlineStr">
        <is>
          <t>第3ロット：外壁塗装・防水系</t>
        </is>
      </c>
      <c r="J37" s="12" t="inlineStr">
        <is>
          <t>防水系</t>
        </is>
      </c>
      <c r="K37" s="12" t="inlineStr">
        <is>
          <t>オートンイクシード 費用
相場と注意点を解説</t>
        </is>
      </c>
      <c r="L37" s="12" t="inlineStr">
        <is>
          <t>auton-exceed-cost</t>
        </is>
      </c>
      <c r="M37" s="12" t="inlineStr">
        <is>
          <t>auton-exceed-cost.webp</t>
        </is>
      </c>
      <c r="N37" s="12" t="inlineStr">
        <is>
          <t>オートンイクシード 費用について、費用相場、内訳、金額が変わる要因、見積もり時の注意点をわかりやすく解説します。</t>
        </is>
      </c>
      <c r="O37" s="12" t="inlineStr">
        <is>
          <t>防水・シーリング</t>
        </is>
      </c>
      <c r="P37" s="12" t="inlineStr">
        <is>
          <t>費用、防水・シーリング</t>
        </is>
      </c>
      <c r="Q37" s="12" t="inlineStr">
        <is>
          <t>未着手</t>
        </is>
      </c>
      <c r="R37" s="12" t="inlineStr">
        <is>
          <t>未着手</t>
        </is>
      </c>
      <c r="S37" s="12" t="inlineStr">
        <is>
          <t>未着手</t>
        </is>
      </c>
      <c r="T37" s="12" t="inlineStr">
        <is>
          <t>未着手</t>
        </is>
      </c>
      <c r="U37" s="12" t="n"/>
      <c r="V37" s="12" t="inlineStr">
        <is>
          <t>関連：ベランダ防水費用、シーリング打ち替え費用、外壁雨漏りへリンク。</t>
        </is>
      </c>
      <c r="W37" s="12" t="n"/>
    </row>
    <row r="38">
      <c r="A38" s="12" t="n">
        <v>37</v>
      </c>
      <c r="B38" s="12" t="inlineStr">
        <is>
          <t>ベランダ防水 費用</t>
        </is>
      </c>
      <c r="C38" s="12" t="inlineStr">
        <is>
          <t>ベランダ防水 費用</t>
        </is>
      </c>
      <c r="D38" s="12" t="inlineStr">
        <is>
          <t>ベランダ防水の費用相場はいくら？工法別の違いと注意点</t>
        </is>
      </c>
      <c r="E38" s="12" t="inlineStr">
        <is>
          <t>防水・シーリング</t>
        </is>
      </c>
      <c r="F38" s="12" t="inlineStr">
        <is>
          <t>費用・相場型</t>
        </is>
      </c>
      <c r="G38" s="12" t="inlineStr">
        <is>
          <t>5,000〜7,000字</t>
        </is>
      </c>
      <c r="H38" s="12" t="inlineStr">
        <is>
          <t>中</t>
        </is>
      </c>
      <c r="I38" s="12" t="inlineStr">
        <is>
          <t>第3ロット：外壁塗装・防水系</t>
        </is>
      </c>
      <c r="J38" s="12" t="inlineStr">
        <is>
          <t>防水系</t>
        </is>
      </c>
      <c r="K38" s="12" t="inlineStr">
        <is>
          <t>ベランダ防水 費用
相場と注意点を解説</t>
        </is>
      </c>
      <c r="L38" s="12" t="inlineStr">
        <is>
          <t>balcony-waterproof-cost</t>
        </is>
      </c>
      <c r="M38" s="12" t="inlineStr">
        <is>
          <t>balcony-waterproof-cost.webp</t>
        </is>
      </c>
      <c r="N38" s="12" t="inlineStr">
        <is>
          <t>ベランダ防水 費用について、費用相場、内訳、金額が変わる要因、見積もり時の注意点をわかりやすく解説します。</t>
        </is>
      </c>
      <c r="O38" s="12" t="inlineStr">
        <is>
          <t>防水・シーリング</t>
        </is>
      </c>
      <c r="P38" s="12" t="inlineStr">
        <is>
          <t>防水、費用、防水・シーリング</t>
        </is>
      </c>
      <c r="Q38" s="12" t="inlineStr">
        <is>
          <t>未着手</t>
        </is>
      </c>
      <c r="R38" s="12" t="inlineStr">
        <is>
          <t>未着手</t>
        </is>
      </c>
      <c r="S38" s="12" t="inlineStr">
        <is>
          <t>未着手</t>
        </is>
      </c>
      <c r="T38" s="12" t="inlineStr">
        <is>
          <t>未着手</t>
        </is>
      </c>
      <c r="U38" s="12" t="n"/>
      <c r="V38" s="12" t="inlineStr">
        <is>
          <t>関連：ベランダ防水費用、シーリング打ち替え費用、外壁雨漏りへリンク。</t>
        </is>
      </c>
      <c r="W38" s="12" t="n"/>
    </row>
    <row r="39">
      <c r="A39" s="12" t="n">
        <v>38</v>
      </c>
      <c r="B39" s="12" t="inlineStr">
        <is>
          <t>FRP防水 耐用年数</t>
        </is>
      </c>
      <c r="C39" s="12" t="inlineStr">
        <is>
          <t>FRP防水 耐用年数</t>
        </is>
      </c>
      <c r="D39" s="12" t="inlineStr">
        <is>
          <t>FRP防水の耐用年数はどれくらい？劣化症状とメンテナンス時期</t>
        </is>
      </c>
      <c r="E39" s="12" t="inlineStr">
        <is>
          <t>防水・シーリング</t>
        </is>
      </c>
      <c r="F39" s="12" t="inlineStr">
        <is>
          <t>防水・シーリング型</t>
        </is>
      </c>
      <c r="G39" s="12" t="inlineStr">
        <is>
          <t>4,500〜6,000字</t>
        </is>
      </c>
      <c r="H39" s="12" t="inlineStr">
        <is>
          <t>中</t>
        </is>
      </c>
      <c r="I39" s="12" t="inlineStr">
        <is>
          <t>第3ロット：外壁塗装・防水系</t>
        </is>
      </c>
      <c r="J39" s="12" t="inlineStr">
        <is>
          <t>防水系</t>
        </is>
      </c>
      <c r="K39" s="12" t="inlineStr">
        <is>
          <t>FRP防水の耐用年数
劣化症状と時期</t>
        </is>
      </c>
      <c r="L39" s="12" t="inlineStr">
        <is>
          <t>frp-waterproof-lifespan</t>
        </is>
      </c>
      <c r="M39" s="12" t="inlineStr">
        <is>
          <t>frp-waterproof-lifespan.webp</t>
        </is>
      </c>
      <c r="N39" s="12" t="inlineStr">
        <is>
          <t>FRP防水 耐用年数について、工事内容、耐用年数、費用目安、雨漏りを防ぐための注意点をわかりやすく解説します。</t>
        </is>
      </c>
      <c r="O39" s="12" t="inlineStr">
        <is>
          <t>防水・シーリング</t>
        </is>
      </c>
      <c r="P39" s="12" t="inlineStr">
        <is>
          <t>防水、防水・シーリング</t>
        </is>
      </c>
      <c r="Q39" s="12" t="inlineStr">
        <is>
          <t>未着手</t>
        </is>
      </c>
      <c r="R39" s="12" t="inlineStr">
        <is>
          <t>未着手</t>
        </is>
      </c>
      <c r="S39" s="12" t="inlineStr">
        <is>
          <t>未着手</t>
        </is>
      </c>
      <c r="T39" s="12" t="inlineStr">
        <is>
          <t>未着手</t>
        </is>
      </c>
      <c r="U39" s="12" t="n"/>
      <c r="V39" s="12" t="inlineStr">
        <is>
          <t>関連：ベランダ防水費用、シーリング打ち替え費用、外壁雨漏りへリンク。</t>
        </is>
      </c>
      <c r="W39" s="12" t="n"/>
    </row>
    <row r="40">
      <c r="A40" s="12" t="n">
        <v>39</v>
      </c>
      <c r="B40" s="12" t="inlineStr">
        <is>
          <t>ウレタン防水 耐用年数</t>
        </is>
      </c>
      <c r="C40" s="12" t="inlineStr">
        <is>
          <t>ウレタン防水 耐用年数</t>
        </is>
      </c>
      <c r="D40" s="12" t="inlineStr">
        <is>
          <t>ウレタン防水の耐用年数は？メリット・劣化症状・補修時期</t>
        </is>
      </c>
      <c r="E40" s="12" t="inlineStr">
        <is>
          <t>防水・シーリング</t>
        </is>
      </c>
      <c r="F40" s="12" t="inlineStr">
        <is>
          <t>防水・シーリング型</t>
        </is>
      </c>
      <c r="G40" s="12" t="inlineStr">
        <is>
          <t>4,500〜6,000字</t>
        </is>
      </c>
      <c r="H40" s="12" t="inlineStr">
        <is>
          <t>中</t>
        </is>
      </c>
      <c r="I40" s="12" t="inlineStr">
        <is>
          <t>第3ロット：外壁塗装・防水系</t>
        </is>
      </c>
      <c r="J40" s="12" t="inlineStr">
        <is>
          <t>防水系</t>
        </is>
      </c>
      <c r="K40" s="12" t="inlineStr">
        <is>
          <t>ウレタン防水の耐用年数
劣化症状と時期</t>
        </is>
      </c>
      <c r="L40" s="12" t="inlineStr">
        <is>
          <t>urethane-waterproof-lifespan</t>
        </is>
      </c>
      <c r="M40" s="12" t="inlineStr">
        <is>
          <t>urethane-waterproof-lifespan.webp</t>
        </is>
      </c>
      <c r="N40" s="12" t="inlineStr">
        <is>
          <t>ウレタン防水 耐用年数について、工事内容、耐用年数、費用目安、雨漏りを防ぐための注意点をわかりやすく解説します。</t>
        </is>
      </c>
      <c r="O40" s="12" t="inlineStr">
        <is>
          <t>防水・シーリング</t>
        </is>
      </c>
      <c r="P40" s="12" t="inlineStr">
        <is>
          <t>防水、防水・シーリング</t>
        </is>
      </c>
      <c r="Q40" s="12" t="inlineStr">
        <is>
          <t>未着手</t>
        </is>
      </c>
      <c r="R40" s="12" t="inlineStr">
        <is>
          <t>未着手</t>
        </is>
      </c>
      <c r="S40" s="12" t="inlineStr">
        <is>
          <t>未着手</t>
        </is>
      </c>
      <c r="T40" s="12" t="inlineStr">
        <is>
          <t>未着手</t>
        </is>
      </c>
      <c r="U40" s="12" t="n"/>
      <c r="V40" s="12" t="inlineStr">
        <is>
          <t>関連：ベランダ防水費用、シーリング打ち替え費用、外壁雨漏りへリンク。</t>
        </is>
      </c>
      <c r="W40" s="12" t="n"/>
    </row>
    <row r="41">
      <c r="A41" s="12" t="n">
        <v>40</v>
      </c>
      <c r="B41" s="12" t="inlineStr">
        <is>
          <t>塩ビシート防水 耐用年数</t>
        </is>
      </c>
      <c r="C41" s="12" t="inlineStr">
        <is>
          <t>塩ビシート防水 耐用年数</t>
        </is>
      </c>
      <c r="D41" s="12" t="inlineStr">
        <is>
          <t>塩ビシート防水の耐用年数は？特徴・劣化症状・注意点</t>
        </is>
      </c>
      <c r="E41" s="12" t="inlineStr">
        <is>
          <t>防水・シーリング</t>
        </is>
      </c>
      <c r="F41" s="12" t="inlineStr">
        <is>
          <t>防水・シーリング型</t>
        </is>
      </c>
      <c r="G41" s="12" t="inlineStr">
        <is>
          <t>4,500〜6,000字</t>
        </is>
      </c>
      <c r="H41" s="12" t="inlineStr">
        <is>
          <t>中</t>
        </is>
      </c>
      <c r="I41" s="12" t="inlineStr">
        <is>
          <t>第3ロット：外壁塗装・防水系</t>
        </is>
      </c>
      <c r="J41" s="12" t="inlineStr">
        <is>
          <t>防水系</t>
        </is>
      </c>
      <c r="K41" s="12" t="inlineStr">
        <is>
          <t>塩ビシート防水の耐用年数
劣化症状と時期</t>
        </is>
      </c>
      <c r="L41" s="12" t="inlineStr">
        <is>
          <t>pvc-sheet-waterproof-lifespan</t>
        </is>
      </c>
      <c r="M41" s="12" t="inlineStr">
        <is>
          <t>pvc-sheet-waterproof-lifespan.webp</t>
        </is>
      </c>
      <c r="N41" s="12" t="inlineStr">
        <is>
          <t>塩ビシート防水 耐用年数について、工事内容、耐用年数、費用目安、雨漏りを防ぐための注意点をわかりやすく解説します。</t>
        </is>
      </c>
      <c r="O41" s="12" t="inlineStr">
        <is>
          <t>防水・シーリング</t>
        </is>
      </c>
      <c r="P41" s="12" t="inlineStr">
        <is>
          <t>防水、防水・シーリング</t>
        </is>
      </c>
      <c r="Q41" s="12" t="inlineStr">
        <is>
          <t>未着手</t>
        </is>
      </c>
      <c r="R41" s="12" t="inlineStr">
        <is>
          <t>未着手</t>
        </is>
      </c>
      <c r="S41" s="12" t="inlineStr">
        <is>
          <t>未着手</t>
        </is>
      </c>
      <c r="T41" s="12" t="inlineStr">
        <is>
          <t>未着手</t>
        </is>
      </c>
      <c r="U41" s="12" t="n"/>
      <c r="V41" s="12" t="inlineStr">
        <is>
          <t>関連：ベランダ防水費用、シーリング打ち替え費用、外壁雨漏りへリンク。</t>
        </is>
      </c>
      <c r="W41" s="12" t="n"/>
    </row>
    <row r="42">
      <c r="A42" s="12" t="n">
        <v>41</v>
      </c>
      <c r="B42" s="12" t="inlineStr">
        <is>
          <t>屋根カバー メリット</t>
        </is>
      </c>
      <c r="C42" s="12" t="inlineStr">
        <is>
          <t>屋根カバー メリット</t>
        </is>
      </c>
      <c r="D42" s="12" t="inlineStr">
        <is>
          <t>屋根カバー工法のメリットとは？費用・注意点・向いている屋根</t>
        </is>
      </c>
      <c r="E42" s="12" t="inlineStr">
        <is>
          <t>屋根修理・屋根材</t>
        </is>
      </c>
      <c r="F42" s="12" t="inlineStr">
        <is>
          <t>地域サービス型</t>
        </is>
      </c>
      <c r="G42" s="12" t="inlineStr">
        <is>
          <t>5,000〜7,000字</t>
        </is>
      </c>
      <c r="H42" s="12" t="inlineStr">
        <is>
          <t>高</t>
        </is>
      </c>
      <c r="I42" s="12" t="inlineStr">
        <is>
          <t>第2ロット：屋根修理・屋根材系</t>
        </is>
      </c>
      <c r="J42" s="12" t="inlineStr">
        <is>
          <t>屋根修理系</t>
        </is>
      </c>
      <c r="K42" s="12" t="inlineStr">
        <is>
          <t>屋根カバー メリット
ポイントを解説</t>
        </is>
      </c>
      <c r="L42" s="12" t="inlineStr">
        <is>
          <t>roof-cover-method-merit</t>
        </is>
      </c>
      <c r="M42" s="12" t="inlineStr">
        <is>
          <t>roof-cover-method-merit.webp</t>
        </is>
      </c>
      <c r="N42" s="12" t="inlineStr">
        <is>
          <t>屋根カバー メリットについて、劣化症状、修理方法、費用目安、依頼前に確認したいポイントをわかりやすく解説します。</t>
        </is>
      </c>
      <c r="O42" s="12" t="inlineStr">
        <is>
          <t>屋根修理</t>
        </is>
      </c>
      <c r="P42" s="12" t="inlineStr">
        <is>
          <t>屋根修理</t>
        </is>
      </c>
      <c r="Q42" s="12" t="inlineStr">
        <is>
          <t>未着手</t>
        </is>
      </c>
      <c r="R42" s="12" t="inlineStr">
        <is>
          <t>未着手</t>
        </is>
      </c>
      <c r="S42" s="12" t="inlineStr">
        <is>
          <t>未着手</t>
        </is>
      </c>
      <c r="T42" s="12" t="inlineStr">
        <is>
          <t>未着手</t>
        </is>
      </c>
      <c r="U42" s="12" t="n"/>
      <c r="V42" s="12" t="inlineStr">
        <is>
          <t>中心記事「松山市の屋根修理」へリンク。関連：屋根カバー・屋根材注意記事。</t>
        </is>
      </c>
      <c r="W42" s="12" t="n"/>
    </row>
    <row r="43">
      <c r="A43" s="12" t="n">
        <v>42</v>
      </c>
      <c r="B43" s="12" t="inlineStr">
        <is>
          <t>ガルテクト デメリット</t>
        </is>
      </c>
      <c r="C43" s="12" t="inlineStr">
        <is>
          <t>ガルテクト デメリット</t>
        </is>
      </c>
      <c r="D43" s="12" t="inlineStr">
        <is>
          <t>ガルテクトのデメリットとは？屋根カバー前に知りたい注意点</t>
        </is>
      </c>
      <c r="E43" s="12" t="inlineStr">
        <is>
          <t>屋根修理・屋根材</t>
        </is>
      </c>
      <c r="F43" s="12" t="inlineStr">
        <is>
          <t>屋根材注意型</t>
        </is>
      </c>
      <c r="G43" s="12" t="inlineStr">
        <is>
          <t>5,000〜7,000字</t>
        </is>
      </c>
      <c r="H43" s="12" t="inlineStr">
        <is>
          <t>高</t>
        </is>
      </c>
      <c r="I43" s="12" t="inlineStr">
        <is>
          <t>第2ロット：屋根修理・屋根材系</t>
        </is>
      </c>
      <c r="J43" s="12" t="inlineStr">
        <is>
          <t>屋根修理系</t>
        </is>
      </c>
      <c r="K43" s="12" t="inlineStr">
        <is>
          <t>ガルテクトのデメリット
施工前の注意点</t>
        </is>
      </c>
      <c r="L43" s="12" t="inlineStr">
        <is>
          <t>galtect-demerit</t>
        </is>
      </c>
      <c r="M43" s="12" t="inlineStr">
        <is>
          <t>galtect-demerit.webp</t>
        </is>
      </c>
      <c r="N43" s="12" t="inlineStr">
        <is>
          <t>ガルテクト デメリットについて、劣化症状、修理方法、費用目安、依頼前に確認したいポイントをわかりやすく解説します。</t>
        </is>
      </c>
      <c r="O43" s="12" t="inlineStr">
        <is>
          <t>屋根修理</t>
        </is>
      </c>
      <c r="P43" s="12" t="inlineStr">
        <is>
          <t>屋根修理</t>
        </is>
      </c>
      <c r="Q43" s="12" t="inlineStr">
        <is>
          <t>未着手</t>
        </is>
      </c>
      <c r="R43" s="12" t="inlineStr">
        <is>
          <t>未着手</t>
        </is>
      </c>
      <c r="S43" s="12" t="inlineStr">
        <is>
          <t>未着手</t>
        </is>
      </c>
      <c r="T43" s="12" t="inlineStr">
        <is>
          <t>未着手</t>
        </is>
      </c>
      <c r="U43" s="12" t="n"/>
      <c r="V43" s="12" t="inlineStr">
        <is>
          <t>中心記事「松山市の屋根修理」へリンク。関連：屋根カバー・屋根材注意記事。</t>
        </is>
      </c>
      <c r="W43" s="12" t="n"/>
    </row>
    <row r="44">
      <c r="A44" s="12" t="n">
        <v>43</v>
      </c>
      <c r="B44" s="12" t="inlineStr">
        <is>
          <t>ヴェルウッド デメリット</t>
        </is>
      </c>
      <c r="C44" s="12" t="inlineStr">
        <is>
          <t>ヴェルウッド デメリット</t>
        </is>
      </c>
      <c r="D44" s="12" t="inlineStr">
        <is>
          <t>ヴェルウッドのデメリットとは？屋根材選びで確認したいポイント</t>
        </is>
      </c>
      <c r="E44" s="12" t="inlineStr">
        <is>
          <t>屋根修理・屋根材</t>
        </is>
      </c>
      <c r="F44" s="12" t="inlineStr">
        <is>
          <t>屋根材注意型</t>
        </is>
      </c>
      <c r="G44" s="12" t="inlineStr">
        <is>
          <t>5,000〜7,000字</t>
        </is>
      </c>
      <c r="H44" s="12" t="inlineStr">
        <is>
          <t>高</t>
        </is>
      </c>
      <c r="I44" s="12" t="inlineStr">
        <is>
          <t>第2ロット：屋根修理・屋根材系</t>
        </is>
      </c>
      <c r="J44" s="12" t="inlineStr">
        <is>
          <t>屋根修理系</t>
        </is>
      </c>
      <c r="K44" s="12" t="inlineStr">
        <is>
          <t>ヴェルウッドのデメリット
施工前の注意点</t>
        </is>
      </c>
      <c r="L44" s="12" t="inlineStr">
        <is>
          <t>velwood-demerit</t>
        </is>
      </c>
      <c r="M44" s="12" t="inlineStr">
        <is>
          <t>velwood-demerit.webp</t>
        </is>
      </c>
      <c r="N44" s="12" t="inlineStr">
        <is>
          <t>ヴェルウッド デメリットについて、劣化症状、修理方法、費用目安、依頼前に確認したいポイントをわかりやすく解説します。</t>
        </is>
      </c>
      <c r="O44" s="12" t="inlineStr">
        <is>
          <t>屋根修理</t>
        </is>
      </c>
      <c r="P44" s="12" t="inlineStr">
        <is>
          <t>屋根修理</t>
        </is>
      </c>
      <c r="Q44" s="12" t="inlineStr">
        <is>
          <t>未着手</t>
        </is>
      </c>
      <c r="R44" s="12" t="inlineStr">
        <is>
          <t>未着手</t>
        </is>
      </c>
      <c r="S44" s="12" t="inlineStr">
        <is>
          <t>未着手</t>
        </is>
      </c>
      <c r="T44" s="12" t="inlineStr">
        <is>
          <t>未着手</t>
        </is>
      </c>
      <c r="U44" s="12" t="n"/>
      <c r="V44" s="12" t="inlineStr">
        <is>
          <t>中心記事「松山市の屋根修理」へリンク。関連：屋根カバー・屋根材注意記事。</t>
        </is>
      </c>
      <c r="W44" s="12" t="n"/>
    </row>
    <row r="45">
      <c r="A45" s="12" t="n">
        <v>44</v>
      </c>
      <c r="B45" s="12" t="inlineStr">
        <is>
          <t>パミール 屋根 対策</t>
        </is>
      </c>
      <c r="C45" s="12" t="inlineStr">
        <is>
          <t>パミール 屋根 対策</t>
        </is>
      </c>
      <c r="D45" s="12" t="inlineStr">
        <is>
          <t>パミール屋根の対策とは？塗装できない理由と修理方法を解説</t>
        </is>
      </c>
      <c r="E45" s="12" t="inlineStr">
        <is>
          <t>屋根修理・屋根材</t>
        </is>
      </c>
      <c r="F45" s="12" t="inlineStr">
        <is>
          <t>屋根材注意型</t>
        </is>
      </c>
      <c r="G45" s="12" t="inlineStr">
        <is>
          <t>5,000〜7,000字</t>
        </is>
      </c>
      <c r="H45" s="12" t="inlineStr">
        <is>
          <t>高</t>
        </is>
      </c>
      <c r="I45" s="12" t="inlineStr">
        <is>
          <t>第2ロット：屋根修理・屋根材系</t>
        </is>
      </c>
      <c r="J45" s="12" t="inlineStr">
        <is>
          <t>屋根修理系</t>
        </is>
      </c>
      <c r="K45" s="12" t="inlineStr">
        <is>
          <t>パミール 屋根 対策
ポイントを解説</t>
        </is>
      </c>
      <c r="L45" s="12" t="inlineStr">
        <is>
          <t>pamir-roof-countermeasure</t>
        </is>
      </c>
      <c r="M45" s="12" t="inlineStr">
        <is>
          <t>pamir-roof-countermeasure.webp</t>
        </is>
      </c>
      <c r="N45" s="12" t="inlineStr">
        <is>
          <t>パミール 屋根 対策について、劣化症状、修理方法、費用目安、依頼前に確認したいポイントをわかりやすく解説します。</t>
        </is>
      </c>
      <c r="O45" s="12" t="inlineStr">
        <is>
          <t>屋根修理</t>
        </is>
      </c>
      <c r="P45" s="12" t="inlineStr">
        <is>
          <t>屋根修理</t>
        </is>
      </c>
      <c r="Q45" s="12" t="inlineStr">
        <is>
          <t>未着手</t>
        </is>
      </c>
      <c r="R45" s="12" t="inlineStr">
        <is>
          <t>未着手</t>
        </is>
      </c>
      <c r="S45" s="12" t="inlineStr">
        <is>
          <t>未着手</t>
        </is>
      </c>
      <c r="T45" s="12" t="inlineStr">
        <is>
          <t>未着手</t>
        </is>
      </c>
      <c r="U45" s="12" t="n"/>
      <c r="V45" s="12" t="inlineStr">
        <is>
          <t>中心記事「松山市の屋根修理」へリンク。関連：屋根カバー・屋根材注意記事。</t>
        </is>
      </c>
      <c r="W45" s="12" t="n"/>
    </row>
    <row r="46">
      <c r="A46" s="12" t="n">
        <v>45</v>
      </c>
      <c r="B46" s="12" t="inlineStr">
        <is>
          <t>コロニアルNEO 雨漏り</t>
        </is>
      </c>
      <c r="C46" s="12" t="inlineStr">
        <is>
          <t>コロニアルNEO 雨漏り</t>
        </is>
      </c>
      <c r="D46" s="12" t="inlineStr">
        <is>
          <t>コロニアルNEOは雨漏りしやすい？劣化症状と対策を解説</t>
        </is>
      </c>
      <c r="E46" s="12" t="inlineStr">
        <is>
          <t>屋根修理・屋根材</t>
        </is>
      </c>
      <c r="F46" s="12" t="inlineStr">
        <is>
          <t>屋根材注意型</t>
        </is>
      </c>
      <c r="G46" s="12" t="inlineStr">
        <is>
          <t>5,000〜7,000字</t>
        </is>
      </c>
      <c r="H46" s="12" t="inlineStr">
        <is>
          <t>高</t>
        </is>
      </c>
      <c r="I46" s="12" t="inlineStr">
        <is>
          <t>第2ロット：屋根修理・屋根材系</t>
        </is>
      </c>
      <c r="J46" s="12" t="inlineStr">
        <is>
          <t>屋根修理系</t>
        </is>
      </c>
      <c r="K46" s="12" t="inlineStr">
        <is>
          <t>コロニアルNEO 雨漏り
原因と修理方法</t>
        </is>
      </c>
      <c r="L46" s="12" t="inlineStr">
        <is>
          <t>colonial-neo-leak</t>
        </is>
      </c>
      <c r="M46" s="12" t="inlineStr">
        <is>
          <t>colonial-neo-leak.webp</t>
        </is>
      </c>
      <c r="N46" s="12" t="inlineStr">
        <is>
          <t>コロニアルNEO 雨漏りについて、劣化症状、修理方法、費用目安、依頼前に確認したいポイントをわかりやすく解説します。</t>
        </is>
      </c>
      <c r="O46" s="12" t="inlineStr">
        <is>
          <t>屋根修理</t>
        </is>
      </c>
      <c r="P46" s="12" t="inlineStr">
        <is>
          <t>雨漏り、屋根修理</t>
        </is>
      </c>
      <c r="Q46" s="12" t="inlineStr">
        <is>
          <t>未着手</t>
        </is>
      </c>
      <c r="R46" s="12" t="inlineStr">
        <is>
          <t>未着手</t>
        </is>
      </c>
      <c r="S46" s="12" t="inlineStr">
        <is>
          <t>未着手</t>
        </is>
      </c>
      <c r="T46" s="12" t="inlineStr">
        <is>
          <t>未着手</t>
        </is>
      </c>
      <c r="U46" s="12" t="n"/>
      <c r="V46" s="12" t="inlineStr">
        <is>
          <t>中心記事「松山市の屋根修理」へリンク。関連：屋根カバー・屋根材注意記事。</t>
        </is>
      </c>
      <c r="W46" s="12" t="n"/>
    </row>
    <row r="47">
      <c r="A47" s="12" t="n">
        <v>46</v>
      </c>
      <c r="B47" s="12" t="inlineStr">
        <is>
          <t>アーバニー 屋根 修理</t>
        </is>
      </c>
      <c r="C47" s="12" t="inlineStr">
        <is>
          <t>アーバニー 屋根 修理</t>
        </is>
      </c>
      <c r="D47" s="12" t="inlineStr">
        <is>
          <t>アーバニー屋根の修理方法｜割れ・剥がれ・雨漏り対策</t>
        </is>
      </c>
      <c r="E47" s="12" t="inlineStr">
        <is>
          <t>屋根修理・屋根材</t>
        </is>
      </c>
      <c r="F47" s="12" t="inlineStr">
        <is>
          <t>屋根材注意型</t>
        </is>
      </c>
      <c r="G47" s="12" t="inlineStr">
        <is>
          <t>5,000〜7,000字</t>
        </is>
      </c>
      <c r="H47" s="12" t="inlineStr">
        <is>
          <t>高</t>
        </is>
      </c>
      <c r="I47" s="12" t="inlineStr">
        <is>
          <t>第2ロット：屋根修理・屋根材系</t>
        </is>
      </c>
      <c r="J47" s="12" t="inlineStr">
        <is>
          <t>屋根修理系</t>
        </is>
      </c>
      <c r="K47" s="12" t="inlineStr">
        <is>
          <t>アーバニー 屋根 修理
ポイントを解説</t>
        </is>
      </c>
      <c r="L47" s="12" t="inlineStr">
        <is>
          <t>urbany-roof-repair</t>
        </is>
      </c>
      <c r="M47" s="12" t="inlineStr">
        <is>
          <t>urbany-roof-repair.webp</t>
        </is>
      </c>
      <c r="N47" s="12" t="inlineStr">
        <is>
          <t>アーバニー 屋根 修理について、劣化症状、修理方法、費用目安、依頼前に確認したいポイントをわかりやすく解説します。</t>
        </is>
      </c>
      <c r="O47" s="12" t="inlineStr">
        <is>
          <t>屋根修理</t>
        </is>
      </c>
      <c r="P47" s="12" t="inlineStr">
        <is>
          <t>屋根修理</t>
        </is>
      </c>
      <c r="Q47" s="12" t="inlineStr">
        <is>
          <t>未着手</t>
        </is>
      </c>
      <c r="R47" s="12" t="inlineStr">
        <is>
          <t>未着手</t>
        </is>
      </c>
      <c r="S47" s="12" t="inlineStr">
        <is>
          <t>未着手</t>
        </is>
      </c>
      <c r="T47" s="12" t="inlineStr">
        <is>
          <t>未着手</t>
        </is>
      </c>
      <c r="U47" s="12" t="n"/>
      <c r="V47" s="12" t="inlineStr">
        <is>
          <t>中心記事「松山市の屋根修理」へリンク。関連：屋根カバー・屋根材注意記事。</t>
        </is>
      </c>
      <c r="W47" s="12" t="n"/>
    </row>
    <row r="48">
      <c r="A48" s="12" t="n">
        <v>47</v>
      </c>
      <c r="B48" s="12" t="inlineStr">
        <is>
          <t>セキスイかわらU 修理</t>
        </is>
      </c>
      <c r="C48" s="12" t="inlineStr">
        <is>
          <t>セキスイかわらU 修理</t>
        </is>
      </c>
      <c r="D48" s="12" t="inlineStr">
        <is>
          <t>セキスイかわらUの修理はどうする？塗装前に知るべき注意点</t>
        </is>
      </c>
      <c r="E48" s="12" t="inlineStr">
        <is>
          <t>屋根修理・屋根材</t>
        </is>
      </c>
      <c r="F48" s="12" t="inlineStr">
        <is>
          <t>屋根材注意型</t>
        </is>
      </c>
      <c r="G48" s="12" t="inlineStr">
        <is>
          <t>5,000〜7,000字</t>
        </is>
      </c>
      <c r="H48" s="12" t="inlineStr">
        <is>
          <t>高</t>
        </is>
      </c>
      <c r="I48" s="12" t="inlineStr">
        <is>
          <t>第2ロット：屋根修理・屋根材系</t>
        </is>
      </c>
      <c r="J48" s="12" t="inlineStr">
        <is>
          <t>屋根修理系</t>
        </is>
      </c>
      <c r="K48" s="12" t="inlineStr">
        <is>
          <t>セキスイかわらU 修理
ポイントを解説</t>
        </is>
      </c>
      <c r="L48" s="12" t="inlineStr">
        <is>
          <t>sekisui-kawara-u-repair</t>
        </is>
      </c>
      <c r="M48" s="12" t="inlineStr">
        <is>
          <t>sekisui-kawara-u-repair.webp</t>
        </is>
      </c>
      <c r="N48" s="12" t="inlineStr">
        <is>
          <t>セキスイかわらU 修理について、劣化症状、修理方法、費用目安、依頼前に確認したいポイントをわかりやすく解説します。</t>
        </is>
      </c>
      <c r="O48" s="12" t="inlineStr">
        <is>
          <t>屋根修理</t>
        </is>
      </c>
      <c r="P48" s="12" t="inlineStr">
        <is>
          <t>屋根修理</t>
        </is>
      </c>
      <c r="Q48" s="12" t="inlineStr">
        <is>
          <t>未着手</t>
        </is>
      </c>
      <c r="R48" s="12" t="inlineStr">
        <is>
          <t>未着手</t>
        </is>
      </c>
      <c r="S48" s="12" t="inlineStr">
        <is>
          <t>未着手</t>
        </is>
      </c>
      <c r="T48" s="12" t="inlineStr">
        <is>
          <t>未着手</t>
        </is>
      </c>
      <c r="U48" s="12" t="n"/>
      <c r="V48" s="12" t="inlineStr">
        <is>
          <t>中心記事「松山市の屋根修理」へリンク。関連：屋根カバー・屋根材注意記事。</t>
        </is>
      </c>
      <c r="W48" s="12" t="n"/>
    </row>
    <row r="49">
      <c r="A49" s="12" t="n">
        <v>48</v>
      </c>
      <c r="B49" s="12" t="inlineStr">
        <is>
          <t>モニエル瓦 塗装</t>
        </is>
      </c>
      <c r="C49" s="12" t="inlineStr">
        <is>
          <t>モニエル瓦 塗装</t>
        </is>
      </c>
      <c r="D49" s="12" t="inlineStr">
        <is>
          <t>モニエル瓦の塗装は難しい？特徴・注意点・業者選びを解説</t>
        </is>
      </c>
      <c r="E49" s="12" t="inlineStr">
        <is>
          <t>屋根修理・屋根材</t>
        </is>
      </c>
      <c r="F49" s="12" t="inlineStr">
        <is>
          <t>屋根材注意型</t>
        </is>
      </c>
      <c r="G49" s="12" t="inlineStr">
        <is>
          <t>5,000〜7,000字</t>
        </is>
      </c>
      <c r="H49" s="12" t="inlineStr">
        <is>
          <t>高</t>
        </is>
      </c>
      <c r="I49" s="12" t="inlineStr">
        <is>
          <t>第2ロット：屋根修理・屋根材系</t>
        </is>
      </c>
      <c r="J49" s="12" t="inlineStr">
        <is>
          <t>屋根修理系</t>
        </is>
      </c>
      <c r="K49" s="12" t="inlineStr">
        <is>
          <t>モニエル瓦 塗装
特徴・費用・注意点</t>
        </is>
      </c>
      <c r="L49" s="12" t="inlineStr">
        <is>
          <t>monier-tile-paint</t>
        </is>
      </c>
      <c r="M49" s="12" t="inlineStr">
        <is>
          <t>monier-tile-paint.webp</t>
        </is>
      </c>
      <c r="N49" s="12" t="inlineStr">
        <is>
          <t>モニエル瓦 塗装について、劣化症状、修理方法、費用目安、依頼前に確認したいポイントをわかりやすく解説します。</t>
        </is>
      </c>
      <c r="O49" s="12" t="inlineStr">
        <is>
          <t>屋根修理</t>
        </is>
      </c>
      <c r="P49" s="12" t="inlineStr">
        <is>
          <t>屋根修理</t>
        </is>
      </c>
      <c r="Q49" s="12" t="inlineStr">
        <is>
          <t>未着手</t>
        </is>
      </c>
      <c r="R49" s="12" t="inlineStr">
        <is>
          <t>未着手</t>
        </is>
      </c>
      <c r="S49" s="12" t="inlineStr">
        <is>
          <t>未着手</t>
        </is>
      </c>
      <c r="T49" s="12" t="inlineStr">
        <is>
          <t>未着手</t>
        </is>
      </c>
      <c r="U49" s="12" t="n"/>
      <c r="V49" s="12" t="inlineStr">
        <is>
          <t>中心記事「松山市の屋根修理」へリンク。関連：屋根カバー・屋根材注意記事。</t>
        </is>
      </c>
      <c r="W49" s="12" t="n"/>
    </row>
    <row r="50">
      <c r="A50" s="12" t="n">
        <v>49</v>
      </c>
      <c r="B50" s="12" t="inlineStr">
        <is>
          <t>屋根塗装しない方がいい屋根</t>
        </is>
      </c>
      <c r="C50" s="12" t="inlineStr">
        <is>
          <t>屋根塗装しない方がいい屋根</t>
        </is>
      </c>
      <c r="D50" s="12" t="inlineStr">
        <is>
          <t>屋根塗装しない方がいい屋根とは？塗装できない屋根材と対策</t>
        </is>
      </c>
      <c r="E50" s="12" t="inlineStr">
        <is>
          <t>屋根修理・屋根材</t>
        </is>
      </c>
      <c r="F50" s="12" t="inlineStr">
        <is>
          <t>屋根材注意型</t>
        </is>
      </c>
      <c r="G50" s="12" t="inlineStr">
        <is>
          <t>5,000〜7,000字</t>
        </is>
      </c>
      <c r="H50" s="12" t="inlineStr">
        <is>
          <t>高</t>
        </is>
      </c>
      <c r="I50" s="12" t="inlineStr">
        <is>
          <t>第2ロット：屋根修理・屋根材系</t>
        </is>
      </c>
      <c r="J50" s="12" t="inlineStr">
        <is>
          <t>屋根修理系</t>
        </is>
      </c>
      <c r="K50" s="12" t="inlineStr">
        <is>
          <t>屋根塗装しない方がいい屋根
特徴・費用・注意点</t>
        </is>
      </c>
      <c r="L50" s="12" t="inlineStr">
        <is>
          <t>roof-not-suitable-for-painting</t>
        </is>
      </c>
      <c r="M50" s="12" t="inlineStr">
        <is>
          <t>roof-not-suitable-for-painting.webp</t>
        </is>
      </c>
      <c r="N50" s="12" t="inlineStr">
        <is>
          <t>屋根塗装しない方がいい屋根について、劣化症状、修理方法、費用目安、依頼前に確認したいポイントをわかりやすく解説します。</t>
        </is>
      </c>
      <c r="O50" s="12" t="inlineStr">
        <is>
          <t>屋根修理</t>
        </is>
      </c>
      <c r="P50" s="12" t="inlineStr">
        <is>
          <t>屋根修理</t>
        </is>
      </c>
      <c r="Q50" s="12" t="inlineStr">
        <is>
          <t>未着手</t>
        </is>
      </c>
      <c r="R50" s="12" t="inlineStr">
        <is>
          <t>未着手</t>
        </is>
      </c>
      <c r="S50" s="12" t="inlineStr">
        <is>
          <t>未着手</t>
        </is>
      </c>
      <c r="T50" s="12" t="inlineStr">
        <is>
          <t>未着手</t>
        </is>
      </c>
      <c r="U50" s="12" t="n"/>
      <c r="V50" s="12" t="inlineStr">
        <is>
          <t>中心記事「松山市の屋根修理」へリンク。関連：屋根カバー・屋根材注意記事。</t>
        </is>
      </c>
      <c r="W50" s="12" t="n"/>
    </row>
    <row r="51">
      <c r="A51" s="12" t="n">
        <v>50</v>
      </c>
      <c r="B51" s="12" t="inlineStr">
        <is>
          <t>外壁塗装と防水工事</t>
        </is>
      </c>
      <c r="C51" s="12" t="inlineStr">
        <is>
          <t>外壁塗装と防水工事</t>
        </is>
      </c>
      <c r="D51" s="12" t="inlineStr">
        <is>
          <t>外壁塗装と防水工事は同時にできる？違い・費用・注意点</t>
        </is>
      </c>
      <c r="E51" s="12" t="inlineStr">
        <is>
          <t>防水・シーリング</t>
        </is>
      </c>
      <c r="F51" s="12" t="inlineStr">
        <is>
          <t>防水・シーリング型</t>
        </is>
      </c>
      <c r="G51" s="12" t="inlineStr">
        <is>
          <t>4,500〜6,000字</t>
        </is>
      </c>
      <c r="H51" s="12" t="inlineStr">
        <is>
          <t>中</t>
        </is>
      </c>
      <c r="I51" s="12" t="inlineStr">
        <is>
          <t>第3ロット：外壁塗装・防水系</t>
        </is>
      </c>
      <c r="J51" s="12" t="inlineStr">
        <is>
          <t>防水系</t>
        </is>
      </c>
      <c r="K51" s="12" t="inlineStr">
        <is>
          <t>外壁塗装と防水工事
特徴・費用・注意点</t>
        </is>
      </c>
      <c r="L51" s="12" t="inlineStr">
        <is>
          <t>exterior-paint-waterproofing</t>
        </is>
      </c>
      <c r="M51" s="12" t="inlineStr">
        <is>
          <t>exterior-paint-waterproofing.webp</t>
        </is>
      </c>
      <c r="N51" s="12" t="inlineStr">
        <is>
          <t>外壁塗装と防水工事について、工事内容、耐用年数、費用目安、雨漏りを防ぐための注意点をわかりやすく解説します。</t>
        </is>
      </c>
      <c r="O51" s="12" t="inlineStr">
        <is>
          <t>防水・シーリング</t>
        </is>
      </c>
      <c r="P51" s="12" t="inlineStr">
        <is>
          <t>外壁塗装、防水、防水・シーリング</t>
        </is>
      </c>
      <c r="Q51" s="12" t="inlineStr">
        <is>
          <t>未着手</t>
        </is>
      </c>
      <c r="R51" s="12" t="inlineStr">
        <is>
          <t>未着手</t>
        </is>
      </c>
      <c r="S51" s="12" t="inlineStr">
        <is>
          <t>未着手</t>
        </is>
      </c>
      <c r="T51" s="12" t="inlineStr">
        <is>
          <t>未着手</t>
        </is>
      </c>
      <c r="U51" s="12" t="n"/>
      <c r="V51" s="12" t="inlineStr">
        <is>
          <t>関連：ベランダ防水費用、シーリング打ち替え費用、外壁雨漏りへリンク。</t>
        </is>
      </c>
      <c r="W51" s="12" t="n"/>
    </row>
    <row r="52">
      <c r="A52" s="12" t="n">
        <v>51</v>
      </c>
      <c r="B52" s="12" t="inlineStr">
        <is>
          <t>外壁塗装と屋根カバー</t>
        </is>
      </c>
      <c r="C52" s="12" t="inlineStr">
        <is>
          <t>外壁塗装と屋根カバー</t>
        </is>
      </c>
      <c r="D52" s="12" t="inlineStr">
        <is>
          <t>屋根カバー工法のメリットとは？費用・注意点・向いている屋根</t>
        </is>
      </c>
      <c r="E52" s="12" t="inlineStr">
        <is>
          <t>屋根修理・屋根材</t>
        </is>
      </c>
      <c r="F52" s="12" t="inlineStr">
        <is>
          <t>地域サービス型</t>
        </is>
      </c>
      <c r="G52" s="12" t="inlineStr">
        <is>
          <t>5,000〜7,000字</t>
        </is>
      </c>
      <c r="H52" s="12" t="inlineStr">
        <is>
          <t>高</t>
        </is>
      </c>
      <c r="I52" s="12" t="inlineStr">
        <is>
          <t>第2ロット：屋根修理・屋根材系</t>
        </is>
      </c>
      <c r="J52" s="12" t="inlineStr">
        <is>
          <t>屋根修理系</t>
        </is>
      </c>
      <c r="K52" s="12" t="inlineStr">
        <is>
          <t>外壁塗装と屋根カバー
特徴・費用・注意点</t>
        </is>
      </c>
      <c r="L52" s="12" t="inlineStr">
        <is>
          <t>exterior-paint-roof-cover</t>
        </is>
      </c>
      <c r="M52" s="12" t="inlineStr">
        <is>
          <t>exterior-paint-roof-cover.webp</t>
        </is>
      </c>
      <c r="N52" s="12" t="inlineStr">
        <is>
          <t>外壁塗装と屋根カバーについて、劣化症状、修理方法、費用目安、依頼前に確認したいポイントをわかりやすく解説します。</t>
        </is>
      </c>
      <c r="O52" s="12" t="inlineStr">
        <is>
          <t>屋根修理</t>
        </is>
      </c>
      <c r="P52" s="12" t="inlineStr">
        <is>
          <t>外壁塗装、屋根修理</t>
        </is>
      </c>
      <c r="Q52" s="12" t="inlineStr">
        <is>
          <t>未着手</t>
        </is>
      </c>
      <c r="R52" s="12" t="inlineStr">
        <is>
          <t>未着手</t>
        </is>
      </c>
      <c r="S52" s="12" t="inlineStr">
        <is>
          <t>未着手</t>
        </is>
      </c>
      <c r="T52" s="12" t="inlineStr">
        <is>
          <t>未着手</t>
        </is>
      </c>
      <c r="U52" s="12" t="n"/>
      <c r="V52" s="12" t="inlineStr">
        <is>
          <t>中心記事「松山市の屋根修理」へリンク。関連：屋根カバー・屋根材注意記事。</t>
        </is>
      </c>
      <c r="W52" s="12" t="n"/>
    </row>
    <row r="53">
      <c r="A53" s="12" t="n">
        <v>52</v>
      </c>
      <c r="B53" s="12" t="inlineStr">
        <is>
          <t>外壁塗装 雨の日</t>
        </is>
      </c>
      <c r="C53" s="12" t="inlineStr">
        <is>
          <t>外壁塗装 雨の日</t>
        </is>
      </c>
      <c r="D53" s="12" t="inlineStr">
        <is>
          <t>外壁塗装は雨の日にできる？季節ごとの注意点を解説</t>
        </is>
      </c>
      <c r="E53" s="12" t="inlineStr">
        <is>
          <t>外壁塗装</t>
        </is>
      </c>
      <c r="F53" s="12" t="inlineStr">
        <is>
          <t>季節・時期型</t>
        </is>
      </c>
      <c r="G53" s="12" t="inlineStr">
        <is>
          <t>4,500〜6,000字</t>
        </is>
      </c>
      <c r="H53" s="12" t="inlineStr">
        <is>
          <t>中</t>
        </is>
      </c>
      <c r="I53" s="12" t="inlineStr">
        <is>
          <t>第3ロット：外壁塗装・防水系</t>
        </is>
      </c>
      <c r="J53" s="12" t="inlineStr">
        <is>
          <t>外壁塗装系</t>
        </is>
      </c>
      <c r="K53" s="12" t="inlineStr">
        <is>
          <t>外壁塗装 雨の日
特徴・費用・注意点</t>
        </is>
      </c>
      <c r="L53" s="12" t="inlineStr">
        <is>
          <t>exterior-paint-rainy-day</t>
        </is>
      </c>
      <c r="M53" s="12" t="inlineStr">
        <is>
          <t>exterior-paint-rainy-day.webp</t>
        </is>
      </c>
      <c r="N53" s="12" t="inlineStr">
        <is>
          <t>外壁塗装 雨の日について、特徴、注意点、費用目安、業者選びのポイントを初心者にもわかりやすく解説します。</t>
        </is>
      </c>
      <c r="O53" s="12" t="inlineStr">
        <is>
          <t>外壁塗装</t>
        </is>
      </c>
      <c r="P53" s="12" t="inlineStr">
        <is>
          <t>外壁塗装</t>
        </is>
      </c>
      <c r="Q53" s="12" t="inlineStr">
        <is>
          <t>未着手</t>
        </is>
      </c>
      <c r="R53" s="12" t="inlineStr">
        <is>
          <t>未着手</t>
        </is>
      </c>
      <c r="S53" s="12" t="inlineStr">
        <is>
          <t>未着手</t>
        </is>
      </c>
      <c r="T53" s="12" t="inlineStr">
        <is>
          <t>未着手</t>
        </is>
      </c>
      <c r="U53" s="12" t="n"/>
      <c r="V53" s="12" t="inlineStr">
        <is>
          <t>関連：外壁塗装工期、足場代、防水工事、屋根カバーへリンク。</t>
        </is>
      </c>
      <c r="W53" s="12" t="n"/>
    </row>
    <row r="54">
      <c r="A54" s="12" t="n">
        <v>53</v>
      </c>
      <c r="B54" s="12" t="inlineStr">
        <is>
          <t>外壁塗装 梅雨</t>
        </is>
      </c>
      <c r="C54" s="12" t="inlineStr">
        <is>
          <t>外壁塗装 梅雨</t>
        </is>
      </c>
      <c r="D54" s="12" t="inlineStr">
        <is>
          <t>外壁塗装は梅雨にできる？季節ごとの注意点を解説</t>
        </is>
      </c>
      <c r="E54" s="12" t="inlineStr">
        <is>
          <t>外壁塗装</t>
        </is>
      </c>
      <c r="F54" s="12" t="inlineStr">
        <is>
          <t>季節・時期型</t>
        </is>
      </c>
      <c r="G54" s="12" t="inlineStr">
        <is>
          <t>4,500〜6,000字</t>
        </is>
      </c>
      <c r="H54" s="12" t="inlineStr">
        <is>
          <t>中</t>
        </is>
      </c>
      <c r="I54" s="12" t="inlineStr">
        <is>
          <t>第3ロット：外壁塗装・防水系</t>
        </is>
      </c>
      <c r="J54" s="12" t="inlineStr">
        <is>
          <t>外壁塗装系</t>
        </is>
      </c>
      <c r="K54" s="12" t="inlineStr">
        <is>
          <t>外壁塗装 梅雨
特徴・費用・注意点</t>
        </is>
      </c>
      <c r="L54" s="12" t="inlineStr">
        <is>
          <t>exterior-paint-rainy-season</t>
        </is>
      </c>
      <c r="M54" s="12" t="inlineStr">
        <is>
          <t>exterior-paint-rainy-season.webp</t>
        </is>
      </c>
      <c r="N54" s="12" t="inlineStr">
        <is>
          <t>外壁塗装 梅雨について、特徴、注意点、費用目安、業者選びのポイントを初心者にもわかりやすく解説します。</t>
        </is>
      </c>
      <c r="O54" s="12" t="inlineStr">
        <is>
          <t>外壁塗装</t>
        </is>
      </c>
      <c r="P54" s="12" t="inlineStr">
        <is>
          <t>外壁塗装</t>
        </is>
      </c>
      <c r="Q54" s="12" t="inlineStr">
        <is>
          <t>未着手</t>
        </is>
      </c>
      <c r="R54" s="12" t="inlineStr">
        <is>
          <t>未着手</t>
        </is>
      </c>
      <c r="S54" s="12" t="inlineStr">
        <is>
          <t>未着手</t>
        </is>
      </c>
      <c r="T54" s="12" t="inlineStr">
        <is>
          <t>未着手</t>
        </is>
      </c>
      <c r="U54" s="12" t="n"/>
      <c r="V54" s="12" t="inlineStr">
        <is>
          <t>関連：外壁塗装工期、足場代、防水工事、屋根カバーへリンク。</t>
        </is>
      </c>
      <c r="W54" s="12" t="n"/>
    </row>
    <row r="55">
      <c r="A55" s="12" t="n">
        <v>54</v>
      </c>
      <c r="B55" s="12" t="inlineStr">
        <is>
          <t>外壁塗装 台風前</t>
        </is>
      </c>
      <c r="C55" s="12" t="inlineStr">
        <is>
          <t>外壁塗装 台風前</t>
        </is>
      </c>
      <c r="D55" s="12" t="inlineStr">
        <is>
          <t>外壁塗装は台風前にできる？季節ごとの注意点を解説</t>
        </is>
      </c>
      <c r="E55" s="12" t="inlineStr">
        <is>
          <t>外壁塗装</t>
        </is>
      </c>
      <c r="F55" s="12" t="inlineStr">
        <is>
          <t>季節・時期型</t>
        </is>
      </c>
      <c r="G55" s="12" t="inlineStr">
        <is>
          <t>4,500〜6,000字</t>
        </is>
      </c>
      <c r="H55" s="12" t="inlineStr">
        <is>
          <t>中</t>
        </is>
      </c>
      <c r="I55" s="12" t="inlineStr">
        <is>
          <t>第3ロット：外壁塗装・防水系</t>
        </is>
      </c>
      <c r="J55" s="12" t="inlineStr">
        <is>
          <t>外壁塗装系</t>
        </is>
      </c>
      <c r="K55" s="12" t="inlineStr">
        <is>
          <t>外壁塗装 台風前
特徴・費用・注意点</t>
        </is>
      </c>
      <c r="L55" s="12" t="inlineStr">
        <is>
          <t>exterior-paint-before-typhoon</t>
        </is>
      </c>
      <c r="M55" s="12" t="inlineStr">
        <is>
          <t>exterior-paint-before-typhoon.webp</t>
        </is>
      </c>
      <c r="N55" s="12" t="inlineStr">
        <is>
          <t>外壁塗装 台風前について、特徴、注意点、費用目安、業者選びのポイントを初心者にもわかりやすく解説します。</t>
        </is>
      </c>
      <c r="O55" s="12" t="inlineStr">
        <is>
          <t>外壁塗装</t>
        </is>
      </c>
      <c r="P55" s="12" t="inlineStr">
        <is>
          <t>外壁塗装</t>
        </is>
      </c>
      <c r="Q55" s="12" t="inlineStr">
        <is>
          <t>未着手</t>
        </is>
      </c>
      <c r="R55" s="12" t="inlineStr">
        <is>
          <t>未着手</t>
        </is>
      </c>
      <c r="S55" s="12" t="inlineStr">
        <is>
          <t>未着手</t>
        </is>
      </c>
      <c r="T55" s="12" t="inlineStr">
        <is>
          <t>未着手</t>
        </is>
      </c>
      <c r="U55" s="12" t="n"/>
      <c r="V55" s="12" t="inlineStr">
        <is>
          <t>関連：外壁塗装工期、足場代、防水工事、屋根カバーへリンク。</t>
        </is>
      </c>
      <c r="W55" s="12" t="n"/>
    </row>
    <row r="56">
      <c r="A56" s="12" t="n">
        <v>55</v>
      </c>
      <c r="B56" s="12" t="inlineStr">
        <is>
          <t>外壁塗装 冬</t>
        </is>
      </c>
      <c r="C56" s="12" t="inlineStr">
        <is>
          <t>外壁塗装 冬</t>
        </is>
      </c>
      <c r="D56" s="12" t="inlineStr">
        <is>
          <t>外壁塗装は冬にできる？季節ごとの注意点を解説</t>
        </is>
      </c>
      <c r="E56" s="12" t="inlineStr">
        <is>
          <t>外壁塗装</t>
        </is>
      </c>
      <c r="F56" s="12" t="inlineStr">
        <is>
          <t>季節・時期型</t>
        </is>
      </c>
      <c r="G56" s="12" t="inlineStr">
        <is>
          <t>4,500〜6,000字</t>
        </is>
      </c>
      <c r="H56" s="12" t="inlineStr">
        <is>
          <t>中</t>
        </is>
      </c>
      <c r="I56" s="12" t="inlineStr">
        <is>
          <t>第3ロット：外壁塗装・防水系</t>
        </is>
      </c>
      <c r="J56" s="12" t="inlineStr">
        <is>
          <t>外壁塗装系</t>
        </is>
      </c>
      <c r="K56" s="12" t="inlineStr">
        <is>
          <t>外壁塗装 冬
特徴・費用・注意点</t>
        </is>
      </c>
      <c r="L56" s="12" t="inlineStr">
        <is>
          <t>exterior-paint-winter</t>
        </is>
      </c>
      <c r="M56" s="12" t="inlineStr">
        <is>
          <t>exterior-paint-winter.webp</t>
        </is>
      </c>
      <c r="N56" s="12" t="inlineStr">
        <is>
          <t>外壁塗装 冬について、特徴、注意点、費用目安、業者選びのポイントを初心者にもわかりやすく解説します。</t>
        </is>
      </c>
      <c r="O56" s="12" t="inlineStr">
        <is>
          <t>外壁塗装</t>
        </is>
      </c>
      <c r="P56" s="12" t="inlineStr">
        <is>
          <t>外壁塗装</t>
        </is>
      </c>
      <c r="Q56" s="12" t="inlineStr">
        <is>
          <t>未着手</t>
        </is>
      </c>
      <c r="R56" s="12" t="inlineStr">
        <is>
          <t>未着手</t>
        </is>
      </c>
      <c r="S56" s="12" t="inlineStr">
        <is>
          <t>未着手</t>
        </is>
      </c>
      <c r="T56" s="12" t="inlineStr">
        <is>
          <t>未着手</t>
        </is>
      </c>
      <c r="U56" s="12" t="n"/>
      <c r="V56" s="12" t="inlineStr">
        <is>
          <t>関連：外壁塗装工期、足場代、防水工事、屋根カバーへリンク。</t>
        </is>
      </c>
      <c r="W56" s="12" t="n"/>
    </row>
    <row r="57">
      <c r="A57" s="12" t="n">
        <v>56</v>
      </c>
      <c r="B57" s="12" t="inlineStr">
        <is>
          <t>外壁塗装 夏</t>
        </is>
      </c>
      <c r="C57" s="12" t="inlineStr">
        <is>
          <t>外壁塗装 夏</t>
        </is>
      </c>
      <c r="D57" s="12" t="inlineStr">
        <is>
          <t>外壁塗装は夏にできる？季節ごとの注意点を解説</t>
        </is>
      </c>
      <c r="E57" s="12" t="inlineStr">
        <is>
          <t>外壁塗装</t>
        </is>
      </c>
      <c r="F57" s="12" t="inlineStr">
        <is>
          <t>季節・時期型</t>
        </is>
      </c>
      <c r="G57" s="12" t="inlineStr">
        <is>
          <t>4,500〜6,000字</t>
        </is>
      </c>
      <c r="H57" s="12" t="inlineStr">
        <is>
          <t>中</t>
        </is>
      </c>
      <c r="I57" s="12" t="inlineStr">
        <is>
          <t>第3ロット：外壁塗装・防水系</t>
        </is>
      </c>
      <c r="J57" s="12" t="inlineStr">
        <is>
          <t>外壁塗装系</t>
        </is>
      </c>
      <c r="K57" s="12" t="inlineStr">
        <is>
          <t>外壁塗装 夏
特徴・費用・注意点</t>
        </is>
      </c>
      <c r="L57" s="12" t="inlineStr">
        <is>
          <t>exterior-paint-summer</t>
        </is>
      </c>
      <c r="M57" s="12" t="inlineStr">
        <is>
          <t>exterior-paint-summer.webp</t>
        </is>
      </c>
      <c r="N57" s="12" t="inlineStr">
        <is>
          <t>外壁塗装 夏について、特徴、注意点、費用目安、業者選びのポイントを初心者にもわかりやすく解説します。</t>
        </is>
      </c>
      <c r="O57" s="12" t="inlineStr">
        <is>
          <t>外壁塗装</t>
        </is>
      </c>
      <c r="P57" s="12" t="inlineStr">
        <is>
          <t>外壁塗装</t>
        </is>
      </c>
      <c r="Q57" s="12" t="inlineStr">
        <is>
          <t>未着手</t>
        </is>
      </c>
      <c r="R57" s="12" t="inlineStr">
        <is>
          <t>未着手</t>
        </is>
      </c>
      <c r="S57" s="12" t="inlineStr">
        <is>
          <t>未着手</t>
        </is>
      </c>
      <c r="T57" s="12" t="inlineStr">
        <is>
          <t>未着手</t>
        </is>
      </c>
      <c r="U57" s="12" t="n"/>
      <c r="V57" s="12" t="inlineStr">
        <is>
          <t>関連：外壁塗装工期、足場代、防水工事、屋根カバーへリンク。</t>
        </is>
      </c>
      <c r="W57" s="12" t="n"/>
    </row>
    <row r="58">
      <c r="A58" s="12" t="n">
        <v>57</v>
      </c>
      <c r="B58" s="12" t="inlineStr">
        <is>
          <t>外壁塗装 春</t>
        </is>
      </c>
      <c r="C58" s="12" t="inlineStr">
        <is>
          <t>外壁塗装 春</t>
        </is>
      </c>
      <c r="D58" s="12" t="inlineStr">
        <is>
          <t>外壁塗装は春にできる？季節ごとの注意点を解説</t>
        </is>
      </c>
      <c r="E58" s="12" t="inlineStr">
        <is>
          <t>外壁塗装</t>
        </is>
      </c>
      <c r="F58" s="12" t="inlineStr">
        <is>
          <t>季節・時期型</t>
        </is>
      </c>
      <c r="G58" s="12" t="inlineStr">
        <is>
          <t>4,500〜6,000字</t>
        </is>
      </c>
      <c r="H58" s="12" t="inlineStr">
        <is>
          <t>中</t>
        </is>
      </c>
      <c r="I58" s="12" t="inlineStr">
        <is>
          <t>第3ロット：外壁塗装・防水系</t>
        </is>
      </c>
      <c r="J58" s="12" t="inlineStr">
        <is>
          <t>外壁塗装系</t>
        </is>
      </c>
      <c r="K58" s="12" t="inlineStr">
        <is>
          <t>外壁塗装 春
特徴・費用・注意点</t>
        </is>
      </c>
      <c r="L58" s="12" t="inlineStr">
        <is>
          <t>exterior-paint-spring</t>
        </is>
      </c>
      <c r="M58" s="12" t="inlineStr">
        <is>
          <t>exterior-paint-spring.webp</t>
        </is>
      </c>
      <c r="N58" s="12" t="inlineStr">
        <is>
          <t>外壁塗装 春について、特徴、注意点、費用目安、業者選びのポイントを初心者にもわかりやすく解説します。</t>
        </is>
      </c>
      <c r="O58" s="12" t="inlineStr">
        <is>
          <t>外壁塗装</t>
        </is>
      </c>
      <c r="P58" s="12" t="inlineStr">
        <is>
          <t>外壁塗装</t>
        </is>
      </c>
      <c r="Q58" s="12" t="inlineStr">
        <is>
          <t>未着手</t>
        </is>
      </c>
      <c r="R58" s="12" t="inlineStr">
        <is>
          <t>未着手</t>
        </is>
      </c>
      <c r="S58" s="12" t="inlineStr">
        <is>
          <t>未着手</t>
        </is>
      </c>
      <c r="T58" s="12" t="inlineStr">
        <is>
          <t>未着手</t>
        </is>
      </c>
      <c r="U58" s="12" t="n"/>
      <c r="V58" s="12" t="inlineStr">
        <is>
          <t>関連：外壁塗装工期、足場代、防水工事、屋根カバーへリンク。</t>
        </is>
      </c>
      <c r="W58" s="12" t="n"/>
    </row>
    <row r="59">
      <c r="A59" s="12" t="n">
        <v>58</v>
      </c>
      <c r="B59" s="12" t="inlineStr">
        <is>
          <t>外壁塗装 秋</t>
        </is>
      </c>
      <c r="C59" s="12" t="inlineStr">
        <is>
          <t>外壁塗装 秋</t>
        </is>
      </c>
      <c r="D59" s="12" t="inlineStr">
        <is>
          <t>外壁塗装は秋にできる？季節ごとの注意点を解説</t>
        </is>
      </c>
      <c r="E59" s="12" t="inlineStr">
        <is>
          <t>外壁塗装</t>
        </is>
      </c>
      <c r="F59" s="12" t="inlineStr">
        <is>
          <t>季節・時期型</t>
        </is>
      </c>
      <c r="G59" s="12" t="inlineStr">
        <is>
          <t>4,500〜6,000字</t>
        </is>
      </c>
      <c r="H59" s="12" t="inlineStr">
        <is>
          <t>中</t>
        </is>
      </c>
      <c r="I59" s="12" t="inlineStr">
        <is>
          <t>第3ロット：外壁塗装・防水系</t>
        </is>
      </c>
      <c r="J59" s="12" t="inlineStr">
        <is>
          <t>外壁塗装系</t>
        </is>
      </c>
      <c r="K59" s="12" t="inlineStr">
        <is>
          <t>外壁塗装 秋
特徴・費用・注意点</t>
        </is>
      </c>
      <c r="L59" s="12" t="inlineStr">
        <is>
          <t>exterior-paint-autumn</t>
        </is>
      </c>
      <c r="M59" s="12" t="inlineStr">
        <is>
          <t>exterior-paint-autumn.webp</t>
        </is>
      </c>
      <c r="N59" s="12" t="inlineStr">
        <is>
          <t>外壁塗装 秋について、特徴、注意点、費用目安、業者選びのポイントを初心者にもわかりやすく解説します。</t>
        </is>
      </c>
      <c r="O59" s="12" t="inlineStr">
        <is>
          <t>外壁塗装</t>
        </is>
      </c>
      <c r="P59" s="12" t="inlineStr">
        <is>
          <t>外壁塗装</t>
        </is>
      </c>
      <c r="Q59" s="12" t="inlineStr">
        <is>
          <t>未着手</t>
        </is>
      </c>
      <c r="R59" s="12" t="inlineStr">
        <is>
          <t>未着手</t>
        </is>
      </c>
      <c r="S59" s="12" t="inlineStr">
        <is>
          <t>未着手</t>
        </is>
      </c>
      <c r="T59" s="12" t="inlineStr">
        <is>
          <t>未着手</t>
        </is>
      </c>
      <c r="U59" s="12" t="n"/>
      <c r="V59" s="12" t="inlineStr">
        <is>
          <t>関連：外壁塗装工期、足場代、防水工事、屋根カバーへリンク。</t>
        </is>
      </c>
      <c r="W59" s="12" t="n"/>
    </row>
    <row r="60">
      <c r="A60" s="12" t="n">
        <v>59</v>
      </c>
      <c r="B60" s="12" t="inlineStr">
        <is>
          <t>外壁塗装 工期</t>
        </is>
      </c>
      <c r="C60" s="12" t="inlineStr">
        <is>
          <t>外壁塗装 工期</t>
        </is>
      </c>
      <c r="D60" s="12" t="inlineStr">
        <is>
          <t>外壁塗装の工期はどれくらい？工程・日数・遅れる原因を解説</t>
        </is>
      </c>
      <c r="E60" s="12" t="inlineStr">
        <is>
          <t>外壁塗装</t>
        </is>
      </c>
      <c r="F60" s="12" t="inlineStr">
        <is>
          <t>季節・時期型</t>
        </is>
      </c>
      <c r="G60" s="12" t="inlineStr">
        <is>
          <t>4,500〜6,000字</t>
        </is>
      </c>
      <c r="H60" s="12" t="inlineStr">
        <is>
          <t>中</t>
        </is>
      </c>
      <c r="I60" s="12" t="inlineStr">
        <is>
          <t>第3ロット：外壁塗装・防水系</t>
        </is>
      </c>
      <c r="J60" s="12" t="inlineStr">
        <is>
          <t>外壁塗装系</t>
        </is>
      </c>
      <c r="K60" s="12" t="inlineStr">
        <is>
          <t>外壁塗装 工期
特徴・費用・注意点</t>
        </is>
      </c>
      <c r="L60" s="12" t="inlineStr">
        <is>
          <t>exterior-paint-duration</t>
        </is>
      </c>
      <c r="M60" s="12" t="inlineStr">
        <is>
          <t>exterior-paint-duration.webp</t>
        </is>
      </c>
      <c r="N60" s="12" t="inlineStr">
        <is>
          <t>外壁塗装 工期について、特徴、注意点、費用目安、業者選びのポイントを初心者にもわかりやすく解説します。</t>
        </is>
      </c>
      <c r="O60" s="12" t="inlineStr">
        <is>
          <t>外壁塗装</t>
        </is>
      </c>
      <c r="P60" s="12" t="inlineStr">
        <is>
          <t>外壁塗装</t>
        </is>
      </c>
      <c r="Q60" s="12" t="inlineStr">
        <is>
          <t>未着手</t>
        </is>
      </c>
      <c r="R60" s="12" t="inlineStr">
        <is>
          <t>未着手</t>
        </is>
      </c>
      <c r="S60" s="12" t="inlineStr">
        <is>
          <t>未着手</t>
        </is>
      </c>
      <c r="T60" s="12" t="inlineStr">
        <is>
          <t>未着手</t>
        </is>
      </c>
      <c r="U60" s="12" t="n"/>
      <c r="V60" s="12" t="inlineStr">
        <is>
          <t>関連：外壁塗装工期、足場代、防水工事、屋根カバーへリンク。</t>
        </is>
      </c>
      <c r="W60" s="12" t="n"/>
    </row>
    <row r="61">
      <c r="A61" s="12" t="n">
        <v>60</v>
      </c>
      <c r="B61" s="12" t="inlineStr">
        <is>
          <t>外壁塗装 足場代</t>
        </is>
      </c>
      <c r="C61" s="12" t="inlineStr">
        <is>
          <t>外壁塗装 足場代</t>
        </is>
      </c>
      <c r="D61" s="12" t="inlineStr">
        <is>
          <t>外壁塗装の足場代はいくら？費用相場と節約の考え方</t>
        </is>
      </c>
      <c r="E61" s="12" t="inlineStr">
        <is>
          <t>外壁塗装</t>
        </is>
      </c>
      <c r="F61" s="12" t="inlineStr">
        <is>
          <t>費用・相場型</t>
        </is>
      </c>
      <c r="G61" s="12" t="inlineStr">
        <is>
          <t>4,500〜6,000字</t>
        </is>
      </c>
      <c r="H61" s="12" t="inlineStr">
        <is>
          <t>中</t>
        </is>
      </c>
      <c r="I61" s="12" t="inlineStr">
        <is>
          <t>第3ロット：外壁塗装・防水系</t>
        </is>
      </c>
      <c r="J61" s="12" t="inlineStr">
        <is>
          <t>外壁塗装系</t>
        </is>
      </c>
      <c r="K61" s="12" t="inlineStr">
        <is>
          <t>外壁塗装 足場代
相場と注意点を解説</t>
        </is>
      </c>
      <c r="L61" s="12" t="inlineStr">
        <is>
          <t>exterior-paint-scaffold-cost</t>
        </is>
      </c>
      <c r="M61" s="12" t="inlineStr">
        <is>
          <t>exterior-paint-scaffold-cost.webp</t>
        </is>
      </c>
      <c r="N61" s="12" t="inlineStr">
        <is>
          <t>外壁塗装 足場代について、費用相場、内訳、金額が変わる要因、見積もり時の注意点をわかりやすく解説します。</t>
        </is>
      </c>
      <c r="O61" s="12" t="inlineStr">
        <is>
          <t>外壁塗装</t>
        </is>
      </c>
      <c r="P61" s="12" t="inlineStr">
        <is>
          <t>外壁塗装</t>
        </is>
      </c>
      <c r="Q61" s="12" t="inlineStr">
        <is>
          <t>未着手</t>
        </is>
      </c>
      <c r="R61" s="12" t="inlineStr">
        <is>
          <t>未着手</t>
        </is>
      </c>
      <c r="S61" s="12" t="inlineStr">
        <is>
          <t>未着手</t>
        </is>
      </c>
      <c r="T61" s="12" t="inlineStr">
        <is>
          <t>未着手</t>
        </is>
      </c>
      <c r="U61" s="12" t="n"/>
      <c r="V61" s="12" t="inlineStr">
        <is>
          <t>関連：外壁塗装工期、足場代、防水工事、屋根カバーへリンク。</t>
        </is>
      </c>
      <c r="W61" s="12" t="n"/>
    </row>
    <row r="62">
      <c r="A62" s="12" t="n">
        <v>61</v>
      </c>
      <c r="B62" s="12" t="inlineStr">
        <is>
          <t>樋 塗装 松山市</t>
        </is>
      </c>
      <c r="C62" s="12" t="inlineStr">
        <is>
          <t>雨樋 塗装 松山市</t>
        </is>
      </c>
      <c r="D62" s="12" t="inlineStr">
        <is>
          <t>松山市の雨樋塗装は必要？費用・劣化症状・塗り替え時期を解説</t>
        </is>
      </c>
      <c r="E62" s="12" t="inlineStr">
        <is>
          <t>付帯部</t>
        </is>
      </c>
      <c r="F62" s="12" t="inlineStr">
        <is>
          <t>付帯部型</t>
        </is>
      </c>
      <c r="G62" s="12" t="inlineStr">
        <is>
          <t>4,500〜6,000字</t>
        </is>
      </c>
      <c r="H62" s="12" t="inlineStr">
        <is>
          <t>中</t>
        </is>
      </c>
      <c r="I62" s="12" t="inlineStr">
        <is>
          <t>第4ロット：雨樋・軒天・付帯部系</t>
        </is>
      </c>
      <c r="J62" s="12" t="inlineStr">
        <is>
          <t>付帯部系</t>
        </is>
      </c>
      <c r="K62" s="12" t="inlineStr">
        <is>
          <t>雨樋 塗装 松山市
症状・費用・注意点</t>
        </is>
      </c>
      <c r="L62" s="12" t="inlineStr">
        <is>
          <t>gutter-paint-matsuyama</t>
        </is>
      </c>
      <c r="M62" s="12" t="inlineStr">
        <is>
          <t>gutter-paint-matsuyama.webp</t>
        </is>
      </c>
      <c r="N62" s="12" t="inlineStr">
        <is>
          <t>雨樋 塗装 松山市について、劣化症状、補修・塗装の判断基準、費用目安、外壁塗装と同時施工するメリットを解説します。</t>
        </is>
      </c>
      <c r="O62" s="12" t="inlineStr">
        <is>
          <t>付帯部</t>
        </is>
      </c>
      <c r="P62" s="12" t="inlineStr">
        <is>
          <t>松山市、雨樋、付帯部</t>
        </is>
      </c>
      <c r="Q62" s="12" t="inlineStr">
        <is>
          <t>未着手</t>
        </is>
      </c>
      <c r="R62" s="12" t="inlineStr">
        <is>
          <t>未着手</t>
        </is>
      </c>
      <c r="S62" s="12" t="inlineStr">
        <is>
          <t>未着手</t>
        </is>
      </c>
      <c r="T62" s="12" t="inlineStr">
        <is>
          <t>未着手</t>
        </is>
      </c>
      <c r="U62" s="12" t="n"/>
      <c r="V62" s="12" t="inlineStr">
        <is>
          <t>関連：外壁塗装、雨樋、軒天、付帯部補修記事へリンク。</t>
        </is>
      </c>
      <c r="W62" s="12" t="n"/>
    </row>
    <row r="63">
      <c r="A63" s="12" t="n">
        <v>62</v>
      </c>
      <c r="B63" s="12" t="inlineStr">
        <is>
          <t>雨樋 交換 松山市</t>
        </is>
      </c>
      <c r="C63" s="12" t="inlineStr">
        <is>
          <t>雨樋 交換 松山市</t>
        </is>
      </c>
      <c r="D63" s="12" t="inlineStr">
        <is>
          <t>松山市の雨樋交換はいつ必要？費用・修理との違いを解説</t>
        </is>
      </c>
      <c r="E63" s="12" t="inlineStr">
        <is>
          <t>付帯部</t>
        </is>
      </c>
      <c r="F63" s="12" t="inlineStr">
        <is>
          <t>付帯部型</t>
        </is>
      </c>
      <c r="G63" s="12" t="inlineStr">
        <is>
          <t>4,500〜6,000字</t>
        </is>
      </c>
      <c r="H63" s="12" t="inlineStr">
        <is>
          <t>中</t>
        </is>
      </c>
      <c r="I63" s="12" t="inlineStr">
        <is>
          <t>第4ロット：雨樋・軒天・付帯部系</t>
        </is>
      </c>
      <c r="J63" s="12" t="inlineStr">
        <is>
          <t>付帯部系</t>
        </is>
      </c>
      <c r="K63" s="12" t="inlineStr">
        <is>
          <t>雨樋 交換 松山市
症状・費用・注意点</t>
        </is>
      </c>
      <c r="L63" s="12" t="inlineStr">
        <is>
          <t>gutter-replacement-matsuyama</t>
        </is>
      </c>
      <c r="M63" s="12" t="inlineStr">
        <is>
          <t>gutter-replacement-matsuyama.webp</t>
        </is>
      </c>
      <c r="N63" s="12" t="inlineStr">
        <is>
          <t>雨樋 交換 松山市について、劣化症状、補修・塗装の判断基準、費用目安、外壁塗装と同時施工するメリットを解説します。</t>
        </is>
      </c>
      <c r="O63" s="12" t="inlineStr">
        <is>
          <t>付帯部</t>
        </is>
      </c>
      <c r="P63" s="12" t="inlineStr">
        <is>
          <t>松山市、雨樋、付帯部</t>
        </is>
      </c>
      <c r="Q63" s="12" t="inlineStr">
        <is>
          <t>未着手</t>
        </is>
      </c>
      <c r="R63" s="12" t="inlineStr">
        <is>
          <t>未着手</t>
        </is>
      </c>
      <c r="S63" s="12" t="inlineStr">
        <is>
          <t>未着手</t>
        </is>
      </c>
      <c r="T63" s="12" t="inlineStr">
        <is>
          <t>未着手</t>
        </is>
      </c>
      <c r="U63" s="12" t="n"/>
      <c r="V63" s="12" t="inlineStr">
        <is>
          <t>関連：外壁塗装、雨樋、軒天、付帯部補修記事へリンク。</t>
        </is>
      </c>
      <c r="W63" s="12" t="n"/>
    </row>
    <row r="64">
      <c r="A64" s="12" t="n">
        <v>63</v>
      </c>
      <c r="B64" s="12" t="inlineStr">
        <is>
          <t>雨樋 色あせ</t>
        </is>
      </c>
      <c r="C64" s="12" t="inlineStr">
        <is>
          <t>雨樋 色あせ</t>
        </is>
      </c>
      <c r="D64" s="12" t="inlineStr">
        <is>
          <t>雨樋の色あせは塗装すべき？劣化サインとメンテナンス方法</t>
        </is>
      </c>
      <c r="E64" s="12" t="inlineStr">
        <is>
          <t>付帯部</t>
        </is>
      </c>
      <c r="F64" s="12" t="inlineStr">
        <is>
          <t>付帯部型</t>
        </is>
      </c>
      <c r="G64" s="12" t="inlineStr">
        <is>
          <t>4,000〜5,500字</t>
        </is>
      </c>
      <c r="H64" s="12" t="inlineStr">
        <is>
          <t>中</t>
        </is>
      </c>
      <c r="I64" s="12" t="inlineStr">
        <is>
          <t>第4ロット：雨樋・軒天・付帯部系</t>
        </is>
      </c>
      <c r="J64" s="12" t="inlineStr">
        <is>
          <t>付帯部系</t>
        </is>
      </c>
      <c r="K64" s="12" t="inlineStr">
        <is>
          <t>雨樋 色あせ
ポイントを解説</t>
        </is>
      </c>
      <c r="L64" s="12" t="inlineStr">
        <is>
          <t>gutter-fading</t>
        </is>
      </c>
      <c r="M64" s="12" t="inlineStr">
        <is>
          <t>gutter-fading.webp</t>
        </is>
      </c>
      <c r="N64" s="12" t="inlineStr">
        <is>
          <t>雨樋 色あせについて、劣化症状、補修・塗装の判断基準、費用目安、外壁塗装と同時施工するメリットを解説します。</t>
        </is>
      </c>
      <c r="O64" s="12" t="inlineStr">
        <is>
          <t>付帯部</t>
        </is>
      </c>
      <c r="P64" s="12" t="inlineStr">
        <is>
          <t>雨樋、付帯部</t>
        </is>
      </c>
      <c r="Q64" s="12" t="inlineStr">
        <is>
          <t>未着手</t>
        </is>
      </c>
      <c r="R64" s="12" t="inlineStr">
        <is>
          <t>未着手</t>
        </is>
      </c>
      <c r="S64" s="12" t="inlineStr">
        <is>
          <t>未着手</t>
        </is>
      </c>
      <c r="T64" s="12" t="inlineStr">
        <is>
          <t>未着手</t>
        </is>
      </c>
      <c r="U64" s="12" t="n"/>
      <c r="V64" s="12" t="inlineStr">
        <is>
          <t>関連：外壁塗装、雨樋、軒天、付帯部補修記事へリンク。</t>
        </is>
      </c>
      <c r="W64" s="12" t="n"/>
    </row>
    <row r="65">
      <c r="A65" s="12" t="n">
        <v>64</v>
      </c>
      <c r="B65" s="12" t="inlineStr">
        <is>
          <t>雨樋 塗装 必要</t>
        </is>
      </c>
      <c r="C65" s="12" t="inlineStr">
        <is>
          <t>雨樋 塗装 必要</t>
        </is>
      </c>
      <c r="D65" s="12" t="inlineStr">
        <is>
          <t>雨樋塗装は必要？塗り替えの目的・不要なケースも解説</t>
        </is>
      </c>
      <c r="E65" s="12" t="inlineStr">
        <is>
          <t>付帯部</t>
        </is>
      </c>
      <c r="F65" s="12" t="inlineStr">
        <is>
          <t>付帯部型</t>
        </is>
      </c>
      <c r="G65" s="12" t="inlineStr">
        <is>
          <t>4,500〜6,000字</t>
        </is>
      </c>
      <c r="H65" s="12" t="inlineStr">
        <is>
          <t>中</t>
        </is>
      </c>
      <c r="I65" s="12" t="inlineStr">
        <is>
          <t>第4ロット：雨樋・軒天・付帯部系</t>
        </is>
      </c>
      <c r="J65" s="12" t="inlineStr">
        <is>
          <t>付帯部系</t>
        </is>
      </c>
      <c r="K65" s="12" t="inlineStr">
        <is>
          <t>雨樋 塗装 必要
特徴・費用・注意点</t>
        </is>
      </c>
      <c r="L65" s="12" t="inlineStr">
        <is>
          <t>gutter-paint-necessity</t>
        </is>
      </c>
      <c r="M65" s="12" t="inlineStr">
        <is>
          <t>gutter-paint-necessity.webp</t>
        </is>
      </c>
      <c r="N65" s="12" t="inlineStr">
        <is>
          <t>雨樋 塗装 必要について、劣化症状、補修・塗装の判断基準、費用目安、外壁塗装と同時施工するメリットを解説します。</t>
        </is>
      </c>
      <c r="O65" s="12" t="inlineStr">
        <is>
          <t>付帯部</t>
        </is>
      </c>
      <c r="P65" s="12" t="inlineStr">
        <is>
          <t>雨樋、付帯部</t>
        </is>
      </c>
      <c r="Q65" s="12" t="inlineStr">
        <is>
          <t>未着手</t>
        </is>
      </c>
      <c r="R65" s="12" t="inlineStr">
        <is>
          <t>未着手</t>
        </is>
      </c>
      <c r="S65" s="12" t="inlineStr">
        <is>
          <t>未着手</t>
        </is>
      </c>
      <c r="T65" s="12" t="inlineStr">
        <is>
          <t>未着手</t>
        </is>
      </c>
      <c r="U65" s="12" t="n"/>
      <c r="V65" s="12" t="inlineStr">
        <is>
          <t>関連：外壁塗装、雨樋、軒天、付帯部補修記事へリンク。</t>
        </is>
      </c>
      <c r="W65" s="12" t="n"/>
    </row>
    <row r="66">
      <c r="A66" s="12" t="n">
        <v>65</v>
      </c>
      <c r="B66" s="12" t="inlineStr">
        <is>
          <t>雨樋 塗装 費用</t>
        </is>
      </c>
      <c r="C66" s="12" t="inlineStr">
        <is>
          <t>雨樋 塗装 費用</t>
        </is>
      </c>
      <c r="D66" s="12" t="inlineStr">
        <is>
          <t>雨樋塗装の費用相場はいくら？単価・足場代・注意点を解説</t>
        </is>
      </c>
      <c r="E66" s="12" t="inlineStr">
        <is>
          <t>付帯部</t>
        </is>
      </c>
      <c r="F66" s="12" t="inlineStr">
        <is>
          <t>費用・相場型</t>
        </is>
      </c>
      <c r="G66" s="12" t="inlineStr">
        <is>
          <t>4,500〜6,000字</t>
        </is>
      </c>
      <c r="H66" s="12" t="inlineStr">
        <is>
          <t>中</t>
        </is>
      </c>
      <c r="I66" s="12" t="inlineStr">
        <is>
          <t>第4ロット：雨樋・軒天・付帯部系</t>
        </is>
      </c>
      <c r="J66" s="12" t="inlineStr">
        <is>
          <t>付帯部系</t>
        </is>
      </c>
      <c r="K66" s="12" t="inlineStr">
        <is>
          <t>雨樋 塗装 費用
相場と注意点を解説</t>
        </is>
      </c>
      <c r="L66" s="12" t="inlineStr">
        <is>
          <t>gutter-paint-cost</t>
        </is>
      </c>
      <c r="M66" s="12" t="inlineStr">
        <is>
          <t>gutter-paint-cost.webp</t>
        </is>
      </c>
      <c r="N66" s="12" t="inlineStr">
        <is>
          <t>雨樋 塗装 費用について、費用相場、内訳、金額が変わる要因、見積もり時の注意点をわかりやすく解説します。</t>
        </is>
      </c>
      <c r="O66" s="12" t="inlineStr">
        <is>
          <t>付帯部</t>
        </is>
      </c>
      <c r="P66" s="12" t="inlineStr">
        <is>
          <t>雨樋、費用、付帯部</t>
        </is>
      </c>
      <c r="Q66" s="12" t="inlineStr">
        <is>
          <t>未着手</t>
        </is>
      </c>
      <c r="R66" s="12" t="inlineStr">
        <is>
          <t>未着手</t>
        </is>
      </c>
      <c r="S66" s="12" t="inlineStr">
        <is>
          <t>未着手</t>
        </is>
      </c>
      <c r="T66" s="12" t="inlineStr">
        <is>
          <t>未着手</t>
        </is>
      </c>
      <c r="U66" s="12" t="n"/>
      <c r="V66" s="12" t="inlineStr">
        <is>
          <t>関連：外壁塗装、雨樋、軒天、付帯部補修記事へリンク。</t>
        </is>
      </c>
      <c r="W66" s="12" t="n"/>
    </row>
    <row r="67">
      <c r="A67" s="12" t="n">
        <v>66</v>
      </c>
      <c r="B67" s="12" t="inlineStr">
        <is>
          <t>雨樋 割れ 補修</t>
        </is>
      </c>
      <c r="C67" s="12" t="inlineStr">
        <is>
          <t>雨樋 割れ 補修</t>
        </is>
      </c>
      <c r="D67" s="12" t="inlineStr">
        <is>
          <t>雨樋の割れは補修できる？修理・交換の判断ポイント</t>
        </is>
      </c>
      <c r="E67" s="12" t="inlineStr">
        <is>
          <t>付帯部</t>
        </is>
      </c>
      <c r="F67" s="12" t="inlineStr">
        <is>
          <t>付帯部型</t>
        </is>
      </c>
      <c r="G67" s="12" t="inlineStr">
        <is>
          <t>4,500〜6,000字</t>
        </is>
      </c>
      <c r="H67" s="12" t="inlineStr">
        <is>
          <t>中</t>
        </is>
      </c>
      <c r="I67" s="12" t="inlineStr">
        <is>
          <t>第4ロット：雨樋・軒天・付帯部系</t>
        </is>
      </c>
      <c r="J67" s="12" t="inlineStr">
        <is>
          <t>付帯部系</t>
        </is>
      </c>
      <c r="K67" s="12" t="inlineStr">
        <is>
          <t>雨樋 割れ 補修
ポイントを解説</t>
        </is>
      </c>
      <c r="L67" s="12" t="inlineStr">
        <is>
          <t>gutter-crack-repair</t>
        </is>
      </c>
      <c r="M67" s="12" t="inlineStr">
        <is>
          <t>gutter-crack-repair.webp</t>
        </is>
      </c>
      <c r="N67" s="12" t="inlineStr">
        <is>
          <t>雨樋 割れ 補修について、劣化症状、補修・塗装の判断基準、費用目安、外壁塗装と同時施工するメリットを解説します。</t>
        </is>
      </c>
      <c r="O67" s="12" t="inlineStr">
        <is>
          <t>付帯部</t>
        </is>
      </c>
      <c r="P67" s="12" t="inlineStr">
        <is>
          <t>雨樋、付帯部</t>
        </is>
      </c>
      <c r="Q67" s="12" t="inlineStr">
        <is>
          <t>未着手</t>
        </is>
      </c>
      <c r="R67" s="12" t="inlineStr">
        <is>
          <t>未着手</t>
        </is>
      </c>
      <c r="S67" s="12" t="inlineStr">
        <is>
          <t>未着手</t>
        </is>
      </c>
      <c r="T67" s="12" t="inlineStr">
        <is>
          <t>未着手</t>
        </is>
      </c>
      <c r="U67" s="12" t="n"/>
      <c r="V67" s="12" t="inlineStr">
        <is>
          <t>関連：外壁塗装、雨樋、軒天、付帯部補修記事へリンク。</t>
        </is>
      </c>
      <c r="W67" s="12" t="n"/>
    </row>
    <row r="68">
      <c r="A68" s="12" t="n">
        <v>67</v>
      </c>
      <c r="B68" s="12" t="inlineStr">
        <is>
          <t>雨樋 外れ 修理</t>
        </is>
      </c>
      <c r="C68" s="12" t="inlineStr">
        <is>
          <t>雨樋 外れ 修理</t>
        </is>
      </c>
      <c r="D68" s="12" t="inlineStr">
        <is>
          <t>雨樋が外れたときの修理方法｜原因・費用・放置リスク</t>
        </is>
      </c>
      <c r="E68" s="12" t="inlineStr">
        <is>
          <t>付帯部</t>
        </is>
      </c>
      <c r="F68" s="12" t="inlineStr">
        <is>
          <t>付帯部型</t>
        </is>
      </c>
      <c r="G68" s="12" t="inlineStr">
        <is>
          <t>4,500〜6,000字</t>
        </is>
      </c>
      <c r="H68" s="12" t="inlineStr">
        <is>
          <t>中</t>
        </is>
      </c>
      <c r="I68" s="12" t="inlineStr">
        <is>
          <t>第4ロット：雨樋・軒天・付帯部系</t>
        </is>
      </c>
      <c r="J68" s="12" t="inlineStr">
        <is>
          <t>付帯部系</t>
        </is>
      </c>
      <c r="K68" s="12" t="inlineStr">
        <is>
          <t>雨樋 外れ 修理
ポイントを解説</t>
        </is>
      </c>
      <c r="L68" s="12" t="inlineStr">
        <is>
          <t>gutter-detached-repair</t>
        </is>
      </c>
      <c r="M68" s="12" t="inlineStr">
        <is>
          <t>gutter-detached-repair.webp</t>
        </is>
      </c>
      <c r="N68" s="12" t="inlineStr">
        <is>
          <t>雨樋 外れ 修理について、劣化症状、補修・塗装の判断基準、費用目安、外壁塗装と同時施工するメリットを解説します。</t>
        </is>
      </c>
      <c r="O68" s="12" t="inlineStr">
        <is>
          <t>付帯部</t>
        </is>
      </c>
      <c r="P68" s="12" t="inlineStr">
        <is>
          <t>雨樋、付帯部</t>
        </is>
      </c>
      <c r="Q68" s="12" t="inlineStr">
        <is>
          <t>未着手</t>
        </is>
      </c>
      <c r="R68" s="12" t="inlineStr">
        <is>
          <t>未着手</t>
        </is>
      </c>
      <c r="S68" s="12" t="inlineStr">
        <is>
          <t>未着手</t>
        </is>
      </c>
      <c r="T68" s="12" t="inlineStr">
        <is>
          <t>未着手</t>
        </is>
      </c>
      <c r="U68" s="12" t="n"/>
      <c r="V68" s="12" t="inlineStr">
        <is>
          <t>関連：外壁塗装、雨樋、軒天、付帯部補修記事へリンク。</t>
        </is>
      </c>
      <c r="W68" s="12" t="n"/>
    </row>
    <row r="69">
      <c r="A69" s="12" t="n">
        <v>68</v>
      </c>
      <c r="B69" s="12" t="inlineStr">
        <is>
          <t>雨樋 劣化 症状</t>
        </is>
      </c>
      <c r="C69" s="12" t="inlineStr">
        <is>
          <t>雨樋 劣化 症状</t>
        </is>
      </c>
      <c r="D69" s="12" t="inlineStr">
        <is>
          <t>雨樋の劣化症状とは？塗装・補修・交換の判断基準</t>
        </is>
      </c>
      <c r="E69" s="12" t="inlineStr">
        <is>
          <t>付帯部</t>
        </is>
      </c>
      <c r="F69" s="12" t="inlineStr">
        <is>
          <t>付帯部型</t>
        </is>
      </c>
      <c r="G69" s="12" t="inlineStr">
        <is>
          <t>4,500〜6,000字</t>
        </is>
      </c>
      <c r="H69" s="12" t="inlineStr">
        <is>
          <t>中</t>
        </is>
      </c>
      <c r="I69" s="12" t="inlineStr">
        <is>
          <t>第4ロット：雨樋・軒天・付帯部系</t>
        </is>
      </c>
      <c r="J69" s="12" t="inlineStr">
        <is>
          <t>付帯部系</t>
        </is>
      </c>
      <c r="K69" s="12" t="inlineStr">
        <is>
          <t>雨樋 劣化 症状
ポイントを解説</t>
        </is>
      </c>
      <c r="L69" s="12" t="inlineStr">
        <is>
          <t>gutter-deterioration-symptoms</t>
        </is>
      </c>
      <c r="M69" s="12" t="inlineStr">
        <is>
          <t>gutter-deterioration-symptoms.webp</t>
        </is>
      </c>
      <c r="N69" s="12" t="inlineStr">
        <is>
          <t>雨樋 劣化 症状について、劣化症状、補修・塗装の判断基準、費用目安、外壁塗装と同時施工するメリットを解説します。</t>
        </is>
      </c>
      <c r="O69" s="12" t="inlineStr">
        <is>
          <t>付帯部</t>
        </is>
      </c>
      <c r="P69" s="12" t="inlineStr">
        <is>
          <t>雨樋、付帯部</t>
        </is>
      </c>
      <c r="Q69" s="12" t="inlineStr">
        <is>
          <t>未着手</t>
        </is>
      </c>
      <c r="R69" s="12" t="inlineStr">
        <is>
          <t>未着手</t>
        </is>
      </c>
      <c r="S69" s="12" t="inlineStr">
        <is>
          <t>未着手</t>
        </is>
      </c>
      <c r="T69" s="12" t="inlineStr">
        <is>
          <t>未着手</t>
        </is>
      </c>
      <c r="U69" s="12" t="n"/>
      <c r="V69" s="12" t="inlineStr">
        <is>
          <t>関連：外壁塗装、雨樋、軒天、付帯部補修記事へリンク。</t>
        </is>
      </c>
      <c r="W69" s="12" t="n"/>
    </row>
    <row r="70">
      <c r="A70" s="12" t="n">
        <v>69</v>
      </c>
      <c r="B70" s="12" t="inlineStr">
        <is>
          <t>雨樋 チョーキング</t>
        </is>
      </c>
      <c r="C70" s="12" t="inlineStr">
        <is>
          <t>雨樋 チョーキング</t>
        </is>
      </c>
      <c r="D70" s="12" t="inlineStr">
        <is>
          <t>雨樋のチョーキングとは？塗装時期と劣化の見分け方</t>
        </is>
      </c>
      <c r="E70" s="12" t="inlineStr">
        <is>
          <t>付帯部</t>
        </is>
      </c>
      <c r="F70" s="12" t="inlineStr">
        <is>
          <t>付帯部型</t>
        </is>
      </c>
      <c r="G70" s="12" t="inlineStr">
        <is>
          <t>4,000〜5,500字</t>
        </is>
      </c>
      <c r="H70" s="12" t="inlineStr">
        <is>
          <t>中</t>
        </is>
      </c>
      <c r="I70" s="12" t="inlineStr">
        <is>
          <t>第4ロット：雨樋・軒天・付帯部系</t>
        </is>
      </c>
      <c r="J70" s="12" t="inlineStr">
        <is>
          <t>付帯部系</t>
        </is>
      </c>
      <c r="K70" s="12" t="inlineStr">
        <is>
          <t>雨樋 チョーキング
ポイントを解説</t>
        </is>
      </c>
      <c r="L70" s="12" t="inlineStr">
        <is>
          <t>gutter-chalking</t>
        </is>
      </c>
      <c r="M70" s="12" t="inlineStr">
        <is>
          <t>gutter-chalking.webp</t>
        </is>
      </c>
      <c r="N70" s="12" t="inlineStr">
        <is>
          <t>雨樋 チョーキングについて、劣化症状、補修・塗装の判断基準、費用目安、外壁塗装と同時施工するメリットを解説します。</t>
        </is>
      </c>
      <c r="O70" s="12" t="inlineStr">
        <is>
          <t>付帯部</t>
        </is>
      </c>
      <c r="P70" s="12" t="inlineStr">
        <is>
          <t>雨樋、付帯部</t>
        </is>
      </c>
      <c r="Q70" s="12" t="inlineStr">
        <is>
          <t>未着手</t>
        </is>
      </c>
      <c r="R70" s="12" t="inlineStr">
        <is>
          <t>未着手</t>
        </is>
      </c>
      <c r="S70" s="12" t="inlineStr">
        <is>
          <t>未着手</t>
        </is>
      </c>
      <c r="T70" s="12" t="inlineStr">
        <is>
          <t>未着手</t>
        </is>
      </c>
      <c r="U70" s="12" t="n"/>
      <c r="V70" s="12" t="inlineStr">
        <is>
          <t>関連：外壁塗装、雨樋、軒天、付帯部補修記事へリンク。</t>
        </is>
      </c>
      <c r="W70" s="12" t="n"/>
    </row>
    <row r="71">
      <c r="A71" s="12" t="n">
        <v>70</v>
      </c>
      <c r="B71" s="12" t="inlineStr">
        <is>
          <t>雨樋 塗り替え時期</t>
        </is>
      </c>
      <c r="C71" s="12" t="inlineStr">
        <is>
          <t>雨樋 塗り替え時期</t>
        </is>
      </c>
      <c r="D71" s="12" t="inlineStr">
        <is>
          <t>雨樋の塗り替え時期はいつ？劣化サインと費用目安</t>
        </is>
      </c>
      <c r="E71" s="12" t="inlineStr">
        <is>
          <t>付帯部</t>
        </is>
      </c>
      <c r="F71" s="12" t="inlineStr">
        <is>
          <t>付帯部型</t>
        </is>
      </c>
      <c r="G71" s="12" t="inlineStr">
        <is>
          <t>4,500〜6,000字</t>
        </is>
      </c>
      <c r="H71" s="12" t="inlineStr">
        <is>
          <t>中</t>
        </is>
      </c>
      <c r="I71" s="12" t="inlineStr">
        <is>
          <t>第4ロット：雨樋・軒天・付帯部系</t>
        </is>
      </c>
      <c r="J71" s="12" t="inlineStr">
        <is>
          <t>付帯部系</t>
        </is>
      </c>
      <c r="K71" s="12" t="inlineStr">
        <is>
          <t>雨樋 塗り替え時期
ポイントを解説</t>
        </is>
      </c>
      <c r="L71" s="12" t="inlineStr">
        <is>
          <t>gutter-repaint-timing</t>
        </is>
      </c>
      <c r="M71" s="12" t="inlineStr">
        <is>
          <t>gutter-repaint-timing.webp</t>
        </is>
      </c>
      <c r="N71" s="12" t="inlineStr">
        <is>
          <t>雨樋 塗り替え時期について、劣化症状、補修・塗装の判断基準、費用目安、外壁塗装と同時施工するメリットを解説します。</t>
        </is>
      </c>
      <c r="O71" s="12" t="inlineStr">
        <is>
          <t>付帯部</t>
        </is>
      </c>
      <c r="P71" s="12" t="inlineStr">
        <is>
          <t>雨樋、付帯部</t>
        </is>
      </c>
      <c r="Q71" s="12" t="inlineStr">
        <is>
          <t>未着手</t>
        </is>
      </c>
      <c r="R71" s="12" t="inlineStr">
        <is>
          <t>未着手</t>
        </is>
      </c>
      <c r="S71" s="12" t="inlineStr">
        <is>
          <t>未着手</t>
        </is>
      </c>
      <c r="T71" s="12" t="inlineStr">
        <is>
          <t>未着手</t>
        </is>
      </c>
      <c r="U71" s="12" t="n"/>
      <c r="V71" s="12" t="inlineStr">
        <is>
          <t>関連：外壁塗装、雨樋、軒天、付帯部補修記事へリンク。</t>
        </is>
      </c>
      <c r="W71" s="12" t="n"/>
    </row>
    <row r="72">
      <c r="A72" s="12" t="n">
        <v>71</v>
      </c>
      <c r="B72" s="12" t="inlineStr">
        <is>
          <t>軒天 塗装 松山市</t>
        </is>
      </c>
      <c r="C72" s="12" t="inlineStr">
        <is>
          <t>軒天 塗装 松山市</t>
        </is>
      </c>
      <c r="D72" s="12" t="inlineStr">
        <is>
          <t>松山市の軒天塗装はいつ必要？費用・劣化症状・注意点</t>
        </is>
      </c>
      <c r="E72" s="12" t="inlineStr">
        <is>
          <t>付帯部</t>
        </is>
      </c>
      <c r="F72" s="12" t="inlineStr">
        <is>
          <t>付帯部型</t>
        </is>
      </c>
      <c r="G72" s="12" t="inlineStr">
        <is>
          <t>4,500〜6,000字</t>
        </is>
      </c>
      <c r="H72" s="12" t="inlineStr">
        <is>
          <t>中</t>
        </is>
      </c>
      <c r="I72" s="12" t="inlineStr">
        <is>
          <t>第4ロット：雨樋・軒天・付帯部系</t>
        </is>
      </c>
      <c r="J72" s="12" t="inlineStr">
        <is>
          <t>付帯部系</t>
        </is>
      </c>
      <c r="K72" s="12" t="inlineStr">
        <is>
          <t>軒天 塗装 松山市
症状・費用・注意点</t>
        </is>
      </c>
      <c r="L72" s="12" t="inlineStr">
        <is>
          <t>soffit-paint-matsuyama</t>
        </is>
      </c>
      <c r="M72" s="12" t="inlineStr">
        <is>
          <t>soffit-paint-matsuyama.webp</t>
        </is>
      </c>
      <c r="N72" s="12" t="inlineStr">
        <is>
          <t>軒天 塗装 松山市について、劣化症状、補修・塗装の判断基準、費用目安、外壁塗装と同時施工するメリットを解説します。</t>
        </is>
      </c>
      <c r="O72" s="12" t="inlineStr">
        <is>
          <t>付帯部</t>
        </is>
      </c>
      <c r="P72" s="12" t="inlineStr">
        <is>
          <t>松山市、軒天、付帯部</t>
        </is>
      </c>
      <c r="Q72" s="12" t="inlineStr">
        <is>
          <t>未着手</t>
        </is>
      </c>
      <c r="R72" s="12" t="inlineStr">
        <is>
          <t>未着手</t>
        </is>
      </c>
      <c r="S72" s="12" t="inlineStr">
        <is>
          <t>未着手</t>
        </is>
      </c>
      <c r="T72" s="12" t="inlineStr">
        <is>
          <t>未着手</t>
        </is>
      </c>
      <c r="U72" s="12" t="n"/>
      <c r="V72" s="12" t="inlineStr">
        <is>
          <t>関連：外壁塗装、雨樋、軒天、付帯部補修記事へリンク。</t>
        </is>
      </c>
      <c r="W72" s="12" t="n"/>
    </row>
    <row r="73">
      <c r="A73" s="12" t="n">
        <v>72</v>
      </c>
      <c r="B73" s="12" t="inlineStr">
        <is>
          <t>軒天 シミ 原因</t>
        </is>
      </c>
      <c r="C73" s="12" t="inlineStr">
        <is>
          <t>軒天 シミ 原因</t>
        </is>
      </c>
      <c r="D73" s="12" t="inlineStr">
        <is>
          <t>軒天のシミの原因とは？雨漏りとの関係と補修方法</t>
        </is>
      </c>
      <c r="E73" s="12" t="inlineStr">
        <is>
          <t>付帯部</t>
        </is>
      </c>
      <c r="F73" s="12" t="inlineStr">
        <is>
          <t>付帯部型</t>
        </is>
      </c>
      <c r="G73" s="12" t="inlineStr">
        <is>
          <t>4,500〜6,000字</t>
        </is>
      </c>
      <c r="H73" s="12" t="inlineStr">
        <is>
          <t>中</t>
        </is>
      </c>
      <c r="I73" s="12" t="inlineStr">
        <is>
          <t>第4ロット：雨樋・軒天・付帯部系</t>
        </is>
      </c>
      <c r="J73" s="12" t="inlineStr">
        <is>
          <t>付帯部系</t>
        </is>
      </c>
      <c r="K73" s="12" t="inlineStr">
        <is>
          <t>軒天 シミ 原因
放置リスクと対処法</t>
        </is>
      </c>
      <c r="L73" s="12" t="inlineStr">
        <is>
          <t>soffit-stain-cause</t>
        </is>
      </c>
      <c r="M73" s="12" t="inlineStr">
        <is>
          <t>soffit-stain-cause.webp</t>
        </is>
      </c>
      <c r="N73" s="12" t="inlineStr">
        <is>
          <t>軒天 シミ 原因について、劣化症状、補修・塗装の判断基準、費用目安、外壁塗装と同時施工するメリットを解説します。</t>
        </is>
      </c>
      <c r="O73" s="12" t="inlineStr">
        <is>
          <t>付帯部</t>
        </is>
      </c>
      <c r="P73" s="12" t="inlineStr">
        <is>
          <t>軒天、付帯部</t>
        </is>
      </c>
      <c r="Q73" s="12" t="inlineStr">
        <is>
          <t>未着手</t>
        </is>
      </c>
      <c r="R73" s="12" t="inlineStr">
        <is>
          <t>未着手</t>
        </is>
      </c>
      <c r="S73" s="12" t="inlineStr">
        <is>
          <t>未着手</t>
        </is>
      </c>
      <c r="T73" s="12" t="inlineStr">
        <is>
          <t>未着手</t>
        </is>
      </c>
      <c r="U73" s="12" t="n"/>
      <c r="V73" s="12" t="inlineStr">
        <is>
          <t>関連：外壁塗装、雨樋、軒天、付帯部補修記事へリンク。</t>
        </is>
      </c>
      <c r="W73" s="12" t="n"/>
    </row>
    <row r="74">
      <c r="A74" s="12" t="n">
        <v>73</v>
      </c>
      <c r="B74" s="12" t="inlineStr">
        <is>
          <t>軒天 黒ずみ</t>
        </is>
      </c>
      <c r="C74" s="12" t="inlineStr">
        <is>
          <t>軒天 黒ずみ</t>
        </is>
      </c>
      <c r="D74" s="12" t="inlineStr">
        <is>
          <t>軒天の黒ずみは放置して大丈夫？原因・掃除・塗装の判断</t>
        </is>
      </c>
      <c r="E74" s="12" t="inlineStr">
        <is>
          <t>付帯部</t>
        </is>
      </c>
      <c r="F74" s="12" t="inlineStr">
        <is>
          <t>付帯部型</t>
        </is>
      </c>
      <c r="G74" s="12" t="inlineStr">
        <is>
          <t>4,000〜5,500字</t>
        </is>
      </c>
      <c r="H74" s="12" t="inlineStr">
        <is>
          <t>中</t>
        </is>
      </c>
      <c r="I74" s="12" t="inlineStr">
        <is>
          <t>第4ロット：雨樋・軒天・付帯部系</t>
        </is>
      </c>
      <c r="J74" s="12" t="inlineStr">
        <is>
          <t>付帯部系</t>
        </is>
      </c>
      <c r="K74" s="12" t="inlineStr">
        <is>
          <t>軒天 黒ずみ
ポイントを解説</t>
        </is>
      </c>
      <c r="L74" s="12" t="inlineStr">
        <is>
          <t>soffit-black-stain</t>
        </is>
      </c>
      <c r="M74" s="12" t="inlineStr">
        <is>
          <t>soffit-black-stain.webp</t>
        </is>
      </c>
      <c r="N74" s="12" t="inlineStr">
        <is>
          <t>軒天 黒ずみについて、劣化症状、補修・塗装の判断基準、費用目安、外壁塗装と同時施工するメリットを解説します。</t>
        </is>
      </c>
      <c r="O74" s="12" t="inlineStr">
        <is>
          <t>付帯部</t>
        </is>
      </c>
      <c r="P74" s="12" t="inlineStr">
        <is>
          <t>軒天、付帯部</t>
        </is>
      </c>
      <c r="Q74" s="12" t="inlineStr">
        <is>
          <t>未着手</t>
        </is>
      </c>
      <c r="R74" s="12" t="inlineStr">
        <is>
          <t>未着手</t>
        </is>
      </c>
      <c r="S74" s="12" t="inlineStr">
        <is>
          <t>未着手</t>
        </is>
      </c>
      <c r="T74" s="12" t="inlineStr">
        <is>
          <t>未着手</t>
        </is>
      </c>
      <c r="U74" s="12" t="n"/>
      <c r="V74" s="12" t="inlineStr">
        <is>
          <t>関連：外壁塗装、雨樋、軒天、付帯部補修記事へリンク。</t>
        </is>
      </c>
      <c r="W74" s="12" t="n"/>
    </row>
    <row r="75">
      <c r="A75" s="12" t="n">
        <v>74</v>
      </c>
      <c r="B75" s="12" t="inlineStr">
        <is>
          <t>軒天 カビ</t>
        </is>
      </c>
      <c r="C75" s="12" t="inlineStr">
        <is>
          <t>軒天 カビ</t>
        </is>
      </c>
      <c r="D75" s="12" t="inlineStr">
        <is>
          <t>軒天のカビの原因とは？雨漏りリスクと補修方法を解説</t>
        </is>
      </c>
      <c r="E75" s="12" t="inlineStr">
        <is>
          <t>付帯部</t>
        </is>
      </c>
      <c r="F75" s="12" t="inlineStr">
        <is>
          <t>付帯部型</t>
        </is>
      </c>
      <c r="G75" s="12" t="inlineStr">
        <is>
          <t>4,000〜5,500字</t>
        </is>
      </c>
      <c r="H75" s="12" t="inlineStr">
        <is>
          <t>中</t>
        </is>
      </c>
      <c r="I75" s="12" t="inlineStr">
        <is>
          <t>第4ロット：雨樋・軒天・付帯部系</t>
        </is>
      </c>
      <c r="J75" s="12" t="inlineStr">
        <is>
          <t>付帯部系</t>
        </is>
      </c>
      <c r="K75" s="12" t="inlineStr">
        <is>
          <t>軒天 カビ
ポイントを解説</t>
        </is>
      </c>
      <c r="L75" s="12" t="inlineStr">
        <is>
          <t>soffit-mold</t>
        </is>
      </c>
      <c r="M75" s="12" t="inlineStr">
        <is>
          <t>soffit-mold.webp</t>
        </is>
      </c>
      <c r="N75" s="12" t="inlineStr">
        <is>
          <t>軒天 カビについて、劣化症状、補修・塗装の判断基準、費用目安、外壁塗装と同時施工するメリットを解説します。</t>
        </is>
      </c>
      <c r="O75" s="12" t="inlineStr">
        <is>
          <t>付帯部</t>
        </is>
      </c>
      <c r="P75" s="12" t="inlineStr">
        <is>
          <t>軒天、付帯部</t>
        </is>
      </c>
      <c r="Q75" s="12" t="inlineStr">
        <is>
          <t>未着手</t>
        </is>
      </c>
      <c r="R75" s="12" t="inlineStr">
        <is>
          <t>未着手</t>
        </is>
      </c>
      <c r="S75" s="12" t="inlineStr">
        <is>
          <t>未着手</t>
        </is>
      </c>
      <c r="T75" s="12" t="inlineStr">
        <is>
          <t>未着手</t>
        </is>
      </c>
      <c r="U75" s="12" t="n"/>
      <c r="V75" s="12" t="inlineStr">
        <is>
          <t>関連：外壁塗装、雨樋、軒天、付帯部補修記事へリンク。</t>
        </is>
      </c>
      <c r="W75" s="12" t="n"/>
    </row>
    <row r="76">
      <c r="A76" s="12" t="n">
        <v>75</v>
      </c>
      <c r="B76" s="12" t="inlineStr">
        <is>
          <t>軒天 剥がれ</t>
        </is>
      </c>
      <c r="C76" s="12" t="inlineStr">
        <is>
          <t>軒天 剥がれ</t>
        </is>
      </c>
      <c r="D76" s="12" t="inlineStr">
        <is>
          <t>軒天の剥がれは補修が必要？原因・費用・放置リスク</t>
        </is>
      </c>
      <c r="E76" s="12" t="inlineStr">
        <is>
          <t>付帯部</t>
        </is>
      </c>
      <c r="F76" s="12" t="inlineStr">
        <is>
          <t>付帯部型</t>
        </is>
      </c>
      <c r="G76" s="12" t="inlineStr">
        <is>
          <t>4,500〜6,000字</t>
        </is>
      </c>
      <c r="H76" s="12" t="inlineStr">
        <is>
          <t>中</t>
        </is>
      </c>
      <c r="I76" s="12" t="inlineStr">
        <is>
          <t>第4ロット：雨樋・軒天・付帯部系</t>
        </is>
      </c>
      <c r="J76" s="12" t="inlineStr">
        <is>
          <t>付帯部系</t>
        </is>
      </c>
      <c r="K76" s="12" t="inlineStr">
        <is>
          <t>軒天 剥がれ
ポイントを解説</t>
        </is>
      </c>
      <c r="L76" s="12" t="inlineStr">
        <is>
          <t>soffit-peeling</t>
        </is>
      </c>
      <c r="M76" s="12" t="inlineStr">
        <is>
          <t>soffit-peeling.webp</t>
        </is>
      </c>
      <c r="N76" s="12" t="inlineStr">
        <is>
          <t>軒天 剥がれについて、劣化症状、補修・塗装の判断基準、費用目安、外壁塗装と同時施工するメリットを解説します。</t>
        </is>
      </c>
      <c r="O76" s="12" t="inlineStr">
        <is>
          <t>付帯部</t>
        </is>
      </c>
      <c r="P76" s="12" t="inlineStr">
        <is>
          <t>軒天、付帯部</t>
        </is>
      </c>
      <c r="Q76" s="12" t="inlineStr">
        <is>
          <t>未着手</t>
        </is>
      </c>
      <c r="R76" s="12" t="inlineStr">
        <is>
          <t>未着手</t>
        </is>
      </c>
      <c r="S76" s="12" t="inlineStr">
        <is>
          <t>未着手</t>
        </is>
      </c>
      <c r="T76" s="12" t="inlineStr">
        <is>
          <t>未着手</t>
        </is>
      </c>
      <c r="U76" s="12" t="n"/>
      <c r="V76" s="12" t="inlineStr">
        <is>
          <t>関連：外壁塗装、雨樋、軒天、付帯部補修記事へリンク。</t>
        </is>
      </c>
      <c r="W76" s="12" t="n"/>
    </row>
    <row r="77">
      <c r="A77" s="12" t="n">
        <v>76</v>
      </c>
      <c r="B77" s="12" t="inlineStr">
        <is>
          <t>軒天 ベニヤ 張り替え</t>
        </is>
      </c>
      <c r="C77" s="12" t="inlineStr">
        <is>
          <t>軒天 ベニヤ 張り替え</t>
        </is>
      </c>
      <c r="D77" s="12" t="inlineStr">
        <is>
          <t>軒天ベニヤの張り替えはいつ必要？費用・材料・注意点</t>
        </is>
      </c>
      <c r="E77" s="12" t="inlineStr">
        <is>
          <t>付帯部</t>
        </is>
      </c>
      <c r="F77" s="12" t="inlineStr">
        <is>
          <t>付帯部型</t>
        </is>
      </c>
      <c r="G77" s="12" t="inlineStr">
        <is>
          <t>4,500〜6,000字</t>
        </is>
      </c>
      <c r="H77" s="12" t="inlineStr">
        <is>
          <t>中</t>
        </is>
      </c>
      <c r="I77" s="12" t="inlineStr">
        <is>
          <t>第4ロット：雨樋・軒天・付帯部系</t>
        </is>
      </c>
      <c r="J77" s="12" t="inlineStr">
        <is>
          <t>付帯部系</t>
        </is>
      </c>
      <c r="K77" s="12" t="inlineStr">
        <is>
          <t>軒天 ベニヤ 張り替え
ポイントを解説</t>
        </is>
      </c>
      <c r="L77" s="12" t="inlineStr">
        <is>
          <t>soffit-plywood-replacement</t>
        </is>
      </c>
      <c r="M77" s="12" t="inlineStr">
        <is>
          <t>soffit-plywood-replacement.webp</t>
        </is>
      </c>
      <c r="N77" s="12" t="inlineStr">
        <is>
          <t>軒天 ベニヤ 張り替えについて、劣化症状、補修・塗装の判断基準、費用目安、外壁塗装と同時施工するメリットを解説します。</t>
        </is>
      </c>
      <c r="O77" s="12" t="inlineStr">
        <is>
          <t>付帯部</t>
        </is>
      </c>
      <c r="P77" s="12" t="inlineStr">
        <is>
          <t>軒天、付帯部</t>
        </is>
      </c>
      <c r="Q77" s="12" t="inlineStr">
        <is>
          <t>未着手</t>
        </is>
      </c>
      <c r="R77" s="12" t="inlineStr">
        <is>
          <t>未着手</t>
        </is>
      </c>
      <c r="S77" s="12" t="inlineStr">
        <is>
          <t>未着手</t>
        </is>
      </c>
      <c r="T77" s="12" t="inlineStr">
        <is>
          <t>未着手</t>
        </is>
      </c>
      <c r="U77" s="12" t="n"/>
      <c r="V77" s="12" t="inlineStr">
        <is>
          <t>関連：外壁塗装、雨樋、軒天、付帯部補修記事へリンク。</t>
        </is>
      </c>
      <c r="W77" s="12" t="n"/>
    </row>
    <row r="78">
      <c r="A78" s="12" t="n">
        <v>77</v>
      </c>
      <c r="B78" s="12" t="inlineStr">
        <is>
          <t>軒天 雨漏り</t>
        </is>
      </c>
      <c r="C78" s="12" t="inlineStr">
        <is>
          <t>軒天 雨漏り</t>
        </is>
      </c>
      <c r="D78" s="12" t="inlineStr">
        <is>
          <t>軒天の雨漏りはどこから？原因調査と補修方法を解説</t>
        </is>
      </c>
      <c r="E78" s="12" t="inlineStr">
        <is>
          <t>付帯部</t>
        </is>
      </c>
      <c r="F78" s="12" t="inlineStr">
        <is>
          <t>付帯部型</t>
        </is>
      </c>
      <c r="G78" s="12" t="inlineStr">
        <is>
          <t>4,500〜6,000字</t>
        </is>
      </c>
      <c r="H78" s="12" t="inlineStr">
        <is>
          <t>中</t>
        </is>
      </c>
      <c r="I78" s="12" t="inlineStr">
        <is>
          <t>第4ロット：雨樋・軒天・付帯部系</t>
        </is>
      </c>
      <c r="J78" s="12" t="inlineStr">
        <is>
          <t>付帯部系</t>
        </is>
      </c>
      <c r="K78" s="12" t="inlineStr">
        <is>
          <t>軒天 雨漏り
原因と修理方法</t>
        </is>
      </c>
      <c r="L78" s="12" t="inlineStr">
        <is>
          <t>soffit-leak</t>
        </is>
      </c>
      <c r="M78" s="12" t="inlineStr">
        <is>
          <t>soffit-leak.webp</t>
        </is>
      </c>
      <c r="N78" s="12" t="inlineStr">
        <is>
          <t>軒天 雨漏りについて、劣化症状、補修・塗装の判断基準、費用目安、外壁塗装と同時施工するメリットを解説します。</t>
        </is>
      </c>
      <c r="O78" s="12" t="inlineStr">
        <is>
          <t>付帯部</t>
        </is>
      </c>
      <c r="P78" s="12" t="inlineStr">
        <is>
          <t>雨漏り、軒天、付帯部</t>
        </is>
      </c>
      <c r="Q78" s="12" t="inlineStr">
        <is>
          <t>未着手</t>
        </is>
      </c>
      <c r="R78" s="12" t="inlineStr">
        <is>
          <t>未着手</t>
        </is>
      </c>
      <c r="S78" s="12" t="inlineStr">
        <is>
          <t>未着手</t>
        </is>
      </c>
      <c r="T78" s="12" t="inlineStr">
        <is>
          <t>未着手</t>
        </is>
      </c>
      <c r="U78" s="12" t="n"/>
      <c r="V78" s="12" t="inlineStr">
        <is>
          <t>関連：外壁塗装、雨樋、軒天、付帯部補修記事へリンク。</t>
        </is>
      </c>
      <c r="W78" s="12" t="n"/>
    </row>
    <row r="79">
      <c r="A79" s="12" t="n">
        <v>78</v>
      </c>
      <c r="B79" s="12" t="inlineStr">
        <is>
          <t>軒天 塗装 費用</t>
        </is>
      </c>
      <c r="C79" s="12" t="inlineStr">
        <is>
          <t>軒天 塗装 費用</t>
        </is>
      </c>
      <c r="D79" s="12" t="inlineStr">
        <is>
          <t>軒天塗装の費用相場はいくら？単価・足場代・注意点</t>
        </is>
      </c>
      <c r="E79" s="12" t="inlineStr">
        <is>
          <t>付帯部</t>
        </is>
      </c>
      <c r="F79" s="12" t="inlineStr">
        <is>
          <t>費用・相場型</t>
        </is>
      </c>
      <c r="G79" s="12" t="inlineStr">
        <is>
          <t>4,500〜6,000字</t>
        </is>
      </c>
      <c r="H79" s="12" t="inlineStr">
        <is>
          <t>中</t>
        </is>
      </c>
      <c r="I79" s="12" t="inlineStr">
        <is>
          <t>第4ロット：雨樋・軒天・付帯部系</t>
        </is>
      </c>
      <c r="J79" s="12" t="inlineStr">
        <is>
          <t>付帯部系</t>
        </is>
      </c>
      <c r="K79" s="12" t="inlineStr">
        <is>
          <t>軒天 塗装 費用
相場と注意点を解説</t>
        </is>
      </c>
      <c r="L79" s="12" t="inlineStr">
        <is>
          <t>soffit-paint-cost</t>
        </is>
      </c>
      <c r="M79" s="12" t="inlineStr">
        <is>
          <t>soffit-paint-cost.webp</t>
        </is>
      </c>
      <c r="N79" s="12" t="inlineStr">
        <is>
          <t>軒天 塗装 費用について、費用相場、内訳、金額が変わる要因、見積もり時の注意点をわかりやすく解説します。</t>
        </is>
      </c>
      <c r="O79" s="12" t="inlineStr">
        <is>
          <t>付帯部</t>
        </is>
      </c>
      <c r="P79" s="12" t="inlineStr">
        <is>
          <t>軒天、費用、付帯部</t>
        </is>
      </c>
      <c r="Q79" s="12" t="inlineStr">
        <is>
          <t>未着手</t>
        </is>
      </c>
      <c r="R79" s="12" t="inlineStr">
        <is>
          <t>未着手</t>
        </is>
      </c>
      <c r="S79" s="12" t="inlineStr">
        <is>
          <t>未着手</t>
        </is>
      </c>
      <c r="T79" s="12" t="inlineStr">
        <is>
          <t>未着手</t>
        </is>
      </c>
      <c r="U79" s="12" t="n"/>
      <c r="V79" s="12" t="inlineStr">
        <is>
          <t>関連：外壁塗装、雨樋、軒天、付帯部補修記事へリンク。</t>
        </is>
      </c>
      <c r="W79" s="12" t="n"/>
    </row>
    <row r="80">
      <c r="A80" s="12" t="n">
        <v>79</v>
      </c>
      <c r="B80" s="12" t="inlineStr">
        <is>
          <t>軒天 補修</t>
        </is>
      </c>
      <c r="C80" s="12" t="inlineStr">
        <is>
          <t>軒天 補修</t>
        </is>
      </c>
      <c r="D80" s="12" t="inlineStr">
        <is>
          <t>軒天補修の方法とは？剥がれ・シミ・雨漏り症状別に解説</t>
        </is>
      </c>
      <c r="E80" s="12" t="inlineStr">
        <is>
          <t>付帯部</t>
        </is>
      </c>
      <c r="F80" s="12" t="inlineStr">
        <is>
          <t>付帯部型</t>
        </is>
      </c>
      <c r="G80" s="12" t="inlineStr">
        <is>
          <t>4,500〜6,000字</t>
        </is>
      </c>
      <c r="H80" s="12" t="inlineStr">
        <is>
          <t>中</t>
        </is>
      </c>
      <c r="I80" s="12" t="inlineStr">
        <is>
          <t>第4ロット：雨樋・軒天・付帯部系</t>
        </is>
      </c>
      <c r="J80" s="12" t="inlineStr">
        <is>
          <t>付帯部系</t>
        </is>
      </c>
      <c r="K80" s="12" t="inlineStr">
        <is>
          <t>軒天 補修
ポイントを解説</t>
        </is>
      </c>
      <c r="L80" s="12" t="inlineStr">
        <is>
          <t>soffit-repair</t>
        </is>
      </c>
      <c r="M80" s="12" t="inlineStr">
        <is>
          <t>soffit-repair.webp</t>
        </is>
      </c>
      <c r="N80" s="12" t="inlineStr">
        <is>
          <t>軒天 補修について、劣化症状、補修・塗装の判断基準、費用目安、外壁塗装と同時施工するメリットを解説します。</t>
        </is>
      </c>
      <c r="O80" s="12" t="inlineStr">
        <is>
          <t>付帯部</t>
        </is>
      </c>
      <c r="P80" s="12" t="inlineStr">
        <is>
          <t>軒天、付帯部</t>
        </is>
      </c>
      <c r="Q80" s="12" t="inlineStr">
        <is>
          <t>未着手</t>
        </is>
      </c>
      <c r="R80" s="12" t="inlineStr">
        <is>
          <t>未着手</t>
        </is>
      </c>
      <c r="S80" s="12" t="inlineStr">
        <is>
          <t>未着手</t>
        </is>
      </c>
      <c r="T80" s="12" t="inlineStr">
        <is>
          <t>未着手</t>
        </is>
      </c>
      <c r="U80" s="12" t="n"/>
      <c r="V80" s="12" t="inlineStr">
        <is>
          <t>関連：外壁塗装、雨樋、軒天、付帯部補修記事へリンク。</t>
        </is>
      </c>
      <c r="W80" s="12" t="n"/>
    </row>
    <row r="81">
      <c r="A81" s="12" t="n">
        <v>80</v>
      </c>
      <c r="B81" s="12" t="inlineStr">
        <is>
          <t>軒天 材料 種類</t>
        </is>
      </c>
      <c r="C81" s="12" t="inlineStr">
        <is>
          <t>軒天 材料 種類</t>
        </is>
      </c>
      <c r="D81" s="12" t="inlineStr">
        <is>
          <t>軒天の材料には何がある？種類・特徴・選び方を解説</t>
        </is>
      </c>
      <c r="E81" s="12" t="inlineStr">
        <is>
          <t>付帯部</t>
        </is>
      </c>
      <c r="F81" s="12" t="inlineStr">
        <is>
          <t>付帯部型</t>
        </is>
      </c>
      <c r="G81" s="12" t="inlineStr">
        <is>
          <t>4,500〜6,000字</t>
        </is>
      </c>
      <c r="H81" s="12" t="inlineStr">
        <is>
          <t>中</t>
        </is>
      </c>
      <c r="I81" s="12" t="inlineStr">
        <is>
          <t>第4ロット：雨樋・軒天・付帯部系</t>
        </is>
      </c>
      <c r="J81" s="12" t="inlineStr">
        <is>
          <t>付帯部系</t>
        </is>
      </c>
      <c r="K81" s="12" t="inlineStr">
        <is>
          <t>軒天 材料 種類
ポイントを解説</t>
        </is>
      </c>
      <c r="L81" s="12" t="inlineStr">
        <is>
          <t>soffit-material-types</t>
        </is>
      </c>
      <c r="M81" s="12" t="inlineStr">
        <is>
          <t>soffit-material-types.webp</t>
        </is>
      </c>
      <c r="N81" s="12" t="inlineStr">
        <is>
          <t>軒天 材料 種類について、劣化症状、補修・塗装の判断基準、費用目安、外壁塗装と同時施工するメリットを解説します。</t>
        </is>
      </c>
      <c r="O81" s="12" t="inlineStr">
        <is>
          <t>付帯部</t>
        </is>
      </c>
      <c r="P81" s="12" t="inlineStr">
        <is>
          <t>軒天、付帯部</t>
        </is>
      </c>
      <c r="Q81" s="12" t="inlineStr">
        <is>
          <t>未着手</t>
        </is>
      </c>
      <c r="R81" s="12" t="inlineStr">
        <is>
          <t>未着手</t>
        </is>
      </c>
      <c r="S81" s="12" t="inlineStr">
        <is>
          <t>未着手</t>
        </is>
      </c>
      <c r="T81" s="12" t="inlineStr">
        <is>
          <t>未着手</t>
        </is>
      </c>
      <c r="U81" s="12" t="n"/>
      <c r="V81" s="12" t="inlineStr">
        <is>
          <t>関連：外壁塗装、雨樋、軒天、付帯部補修記事へリンク。</t>
        </is>
      </c>
      <c r="W81" s="12" t="n"/>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s>
  <sheetData>
    <row r="1" ht="22" customHeight="1">
      <c r="A1" s="71" t="inlineStr">
        <is>
          <t>画像生成 共通プロンプト</t>
        </is>
      </c>
      <c r="B1" s="1" t="n"/>
      <c r="C1" s="1" t="n"/>
      <c r="D1" s="1" t="n"/>
    </row>
    <row r="2" ht="22" customHeight="1"/>
    <row r="3" ht="22" customHeight="1">
      <c r="A3" s="72" t="inlineStr">
        <is>
          <t>使い方</t>
        </is>
      </c>
    </row>
    <row r="4" ht="22" customHeight="1">
      <c r="A4" s="15" t="inlineStr">
        <is>
          <t>1. 画像生成は必ず1記事ずつ行う</t>
        </is>
      </c>
    </row>
    <row r="5" ht="22" customHeight="1">
      <c r="A5" s="15" t="inlineStr">
        <is>
          <t>2. 『画像生成プロンプト一覧』シートの完成プロンプト列をコピーして使う</t>
        </is>
      </c>
    </row>
    <row r="6" ht="22" customHeight="1">
      <c r="A6" s="15" t="inlineStr">
        <is>
          <t>3. 保存名は eyecatches/001.png のように管理する</t>
        </is>
      </c>
    </row>
    <row r="7" ht="22" customHeight="1"/>
    <row r="8" ht="22" customHeight="1">
      <c r="A8" s="72" t="inlineStr">
        <is>
          <t>共通プロンプト</t>
        </is>
      </c>
    </row>
    <row r="9" ht="320" customHeight="1">
      <c r="A9" s="17" t="inlineStr">
        <is>
          <t xml:space="preserve">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t>
        </is>
      </c>
      <c r="B9" s="1" t="n"/>
      <c r="C9" s="1" t="n"/>
      <c r="D9" s="1" t="n"/>
    </row>
    <row r="10" ht="22" customHeight="1">
      <c r="A10" s="1" t="n"/>
      <c r="D10" s="1" t="n"/>
    </row>
    <row r="11" ht="22" customHeight="1">
      <c r="A11" s="1" t="n"/>
      <c r="D11" s="1" t="n"/>
    </row>
    <row r="12" ht="22" customHeight="1">
      <c r="A12" s="1" t="n"/>
      <c r="D12" s="1" t="n"/>
    </row>
    <row r="13" ht="22" customHeight="1">
      <c r="A13" s="1" t="n"/>
      <c r="D13" s="1" t="n"/>
    </row>
    <row r="14" ht="22" customHeight="1">
      <c r="A14" s="1" t="n"/>
      <c r="D14" s="1" t="n"/>
    </row>
    <row r="15" ht="22" customHeight="1">
      <c r="A15" s="1" t="n"/>
      <c r="D15" s="1" t="n"/>
    </row>
    <row r="16" ht="22" customHeight="1">
      <c r="A16" s="1" t="n"/>
      <c r="D16" s="1" t="n"/>
    </row>
    <row r="17" ht="22" customHeight="1">
      <c r="A17" s="1" t="n"/>
      <c r="D17" s="1" t="n"/>
    </row>
    <row r="18" ht="22" customHeight="1">
      <c r="A18" s="1" t="n"/>
      <c r="D18" s="1" t="n"/>
    </row>
    <row r="19" ht="22" customHeight="1">
      <c r="A19" s="1" t="n"/>
      <c r="D19" s="1" t="n"/>
    </row>
    <row r="20" ht="22" customHeight="1">
      <c r="A20" s="1" t="n"/>
      <c r="D20" s="1" t="n"/>
    </row>
    <row r="21" ht="22" customHeight="1">
      <c r="A21" s="1" t="n"/>
      <c r="D21" s="1" t="n"/>
    </row>
    <row r="22" ht="22" customHeight="1">
      <c r="A22" s="1" t="n"/>
      <c r="D22" s="1" t="n"/>
    </row>
    <row r="23" ht="22" customHeight="1">
      <c r="A23" s="1" t="n"/>
      <c r="D23" s="1" t="n"/>
    </row>
    <row r="24" ht="22" customHeight="1">
      <c r="A24" s="1" t="n"/>
      <c r="D24" s="1" t="n"/>
    </row>
    <row r="25" ht="22" customHeight="1">
      <c r="A25" s="1" t="n"/>
      <c r="D25" s="1" t="n"/>
    </row>
    <row r="26" ht="22" customHeight="1">
      <c r="A26" s="1" t="n"/>
      <c r="D26" s="1" t="n"/>
    </row>
    <row r="27" ht="22" customHeight="1">
      <c r="A27" s="1" t="n"/>
      <c r="B27" s="1" t="n"/>
      <c r="C27" s="1" t="n"/>
      <c r="D27" s="1" t="n"/>
    </row>
  </sheetData>
  <mergeCells count="2">
    <mergeCell ref="A9:D27"/>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82"/>
  <sheetViews>
    <sheetView workbookViewId="0">
      <pane ySplit="2" topLeftCell="A3" activePane="bottomLeft" state="frozen"/>
      <selection pane="bottomLeft" activeCell="A1" sqref="A1"/>
    </sheetView>
  </sheetViews>
  <sheetFormatPr baseColWidth="8" defaultRowHeight="15"/>
  <cols>
    <col width="7" customWidth="1" min="1" max="1"/>
    <col width="24" customWidth="1" min="2" max="2"/>
    <col width="38" customWidth="1" min="3" max="3"/>
    <col width="18" customWidth="1" min="4" max="4"/>
    <col width="18" customWidth="1" min="5" max="5"/>
    <col width="22" customWidth="1" min="6" max="6"/>
    <col width="24" customWidth="1" min="7" max="7"/>
    <col width="28" customWidth="1" min="8" max="8"/>
    <col width="24" customWidth="1" min="9" max="9"/>
    <col width="28" customWidth="1" min="10" max="10"/>
    <col width="24" customWidth="1" min="11" max="11"/>
    <col width="18" customWidth="1" min="12" max="12"/>
    <col width="12" customWidth="1" min="13" max="13"/>
    <col width="18" customWidth="1" min="14" max="14"/>
    <col width="42" customWidth="1" min="15" max="15"/>
    <col width="40" customWidth="1" min="16" max="16"/>
    <col width="52" customWidth="1" min="17" max="17"/>
    <col width="70" customWidth="1" min="18" max="18"/>
  </cols>
  <sheetData>
    <row r="1">
      <c r="A1" s="73" t="inlineStr">
        <is>
          <t>No</t>
        </is>
      </c>
      <c r="B1" s="73" t="inlineStr">
        <is>
          <t>指定KW</t>
        </is>
      </c>
      <c r="C1" s="73" t="inlineStr">
        <is>
          <t>記事タイトル</t>
        </is>
      </c>
      <c r="D1" s="73" t="inlineStr">
        <is>
          <t>記事カテゴリ</t>
        </is>
      </c>
      <c r="E1" s="73" t="inlineStr">
        <is>
          <t>記事タイプ</t>
        </is>
      </c>
      <c r="F1" s="73" t="inlineStr">
        <is>
          <t>画像ファイル名(PNG)</t>
        </is>
      </c>
      <c r="G1" s="73" t="inlineStr">
        <is>
          <t>メインコピー</t>
        </is>
      </c>
      <c r="H1" s="73" t="inlineStr">
        <is>
          <t>サブコピー</t>
        </is>
      </c>
      <c r="I1" s="73" t="inlineStr">
        <is>
          <t>補助コピー</t>
        </is>
      </c>
      <c r="J1" s="73" t="inlineStr">
        <is>
          <t>小見出し・チェック項目</t>
        </is>
      </c>
      <c r="K1" s="73" t="inlineStr">
        <is>
          <t>背景モチーフ</t>
        </is>
      </c>
      <c r="L1" s="73" t="inlineStr">
        <is>
          <t>人物モチーフ</t>
        </is>
      </c>
      <c r="M1" s="73" t="inlineStr">
        <is>
          <t>地域要素</t>
        </is>
      </c>
      <c r="N1" s="73" t="inlineStr">
        <is>
          <t>方向性</t>
        </is>
      </c>
      <c r="O1" s="73" t="inlineStr">
        <is>
          <t>背景・構図</t>
        </is>
      </c>
      <c r="P1" s="73" t="inlineStr">
        <is>
          <t>画像の印象</t>
        </is>
      </c>
      <c r="Q1" s="73" t="inlineStr">
        <is>
          <t>個別プロンプト</t>
        </is>
      </c>
      <c r="R1" s="73" t="inlineStr">
        <is>
          <t>完成プロンプト</t>
        </is>
      </c>
    </row>
    <row r="2" ht="36" customHeight="1">
      <c r="A2" s="74" t="inlineStr">
        <is>
          <t>使い方</t>
        </is>
      </c>
      <c r="B2" s="75" t="inlineStr">
        <is>
          <t>『画像生成共通プロンプト』シートを確認し、完成プロンプト列を1記事ずつ画像生成トークへ貼り付けて使用する。</t>
        </is>
      </c>
      <c r="C2" s="76" t="n"/>
      <c r="D2" s="76" t="n"/>
      <c r="E2" s="76" t="n"/>
      <c r="F2" s="76" t="n"/>
      <c r="G2" s="76" t="n"/>
      <c r="H2" s="76" t="n"/>
      <c r="I2" s="76" t="n"/>
      <c r="J2" s="76" t="n"/>
      <c r="K2" s="76" t="n"/>
      <c r="L2" s="76" t="n"/>
      <c r="M2" s="76" t="n"/>
      <c r="N2" s="76" t="n"/>
      <c r="O2" s="76" t="n"/>
      <c r="P2" s="76" t="n"/>
      <c r="Q2" s="76" t="n"/>
      <c r="R2" s="77" t="n"/>
    </row>
    <row r="3" ht="90" customHeight="1">
      <c r="A3" s="78" t="inlineStr">
        <is>
          <t>001</t>
        </is>
      </c>
      <c r="B3" s="79" t="inlineStr">
        <is>
          <t>松山市 雨漏り修理</t>
        </is>
      </c>
      <c r="C3" s="79" t="inlineStr">
        <is>
          <t>松山市で雨漏り修理を依頼するなら？原因調査・費用・業者選びを解説</t>
        </is>
      </c>
      <c r="D3" s="79" t="inlineStr">
        <is>
          <t>雨漏り</t>
        </is>
      </c>
      <c r="E3" s="79" t="inlineStr">
        <is>
          <t>地域サービス型</t>
        </is>
      </c>
      <c r="F3" s="78" t="inlineStr">
        <is>
          <t>eyecatches/001.png</t>
        </is>
      </c>
      <c r="G3" s="79" t="inlineStr">
        <is>
          <t>松山市の雨漏り修理</t>
        </is>
      </c>
      <c r="H3" s="79" t="inlineStr">
        <is>
          <t>原因・費用・業者選びをプロが解説</t>
        </is>
      </c>
      <c r="I3" s="79" t="inlineStr">
        <is>
          <t>無料点検受付中</t>
        </is>
      </c>
      <c r="J3" s="79" t="inlineStr">
        <is>
          <t>・天井のシミ
・屋根の劣化
・外壁の雨染み</t>
        </is>
      </c>
      <c r="K3" s="79" t="inlineStr">
        <is>
          <t>天井シミ・雨だれ・屋根点検</t>
        </is>
      </c>
      <c r="L3" s="79" t="inlineStr">
        <is>
          <t>ヘルメットの職人</t>
        </is>
      </c>
      <c r="M3" s="79" t="inlineStr">
        <is>
          <t>松山市版</t>
        </is>
      </c>
      <c r="N3" s="79" t="inlineStr">
        <is>
          <t>強めサムネ・雨漏り訴求</t>
        </is>
      </c>
      <c r="O3" s="79"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3" s="79" t="inlineStr">
        <is>
          <t>強めサムネ・雨漏り訴求を意識しつつ、記事テーマが一目で伝わる強めのアイキャッチにする。
読者が『この記事で何が分かるか』を瞬時に理解できる印象にする。</t>
        </is>
      </c>
      <c r="Q3" s="79" t="inlineStr">
        <is>
          <t xml:space="preserve">【対象記事】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4" ht="90" customHeight="1">
      <c r="A4" s="78" t="inlineStr">
        <is>
          <t>002</t>
        </is>
      </c>
      <c r="B4" s="79" t="inlineStr">
        <is>
          <t>松山市 雨漏り調査</t>
        </is>
      </c>
      <c r="C4" s="79" t="inlineStr">
        <is>
          <t>松山市の雨漏り調査とは？調査方法・費用・依頼前の注意点</t>
        </is>
      </c>
      <c r="D4" s="79" t="inlineStr">
        <is>
          <t>雨漏り</t>
        </is>
      </c>
      <c r="E4" s="79" t="inlineStr">
        <is>
          <t>地域サービス型</t>
        </is>
      </c>
      <c r="F4" s="78" t="inlineStr">
        <is>
          <t>eyecatches/002.png</t>
        </is>
      </c>
      <c r="G4" s="79" t="inlineStr">
        <is>
          <t>雨漏り調査は原因特定が命</t>
        </is>
      </c>
      <c r="H4" s="79" t="inlineStr">
        <is>
          <t>散水調査・写真付き診断を解説</t>
        </is>
      </c>
      <c r="I4" s="79" t="inlineStr">
        <is>
          <t>見えない侵入口を確認</t>
        </is>
      </c>
      <c r="J4" s="79" t="inlineStr">
        <is>
          <t>・散水調査
・赤外線調査
・写真付き診断書</t>
        </is>
      </c>
      <c r="K4" s="79" t="inlineStr">
        <is>
          <t>外壁ひび割れ・サッシ・虫眼鏡</t>
        </is>
      </c>
      <c r="L4" s="79" t="inlineStr">
        <is>
          <t>虫眼鏡を持つ職人</t>
        </is>
      </c>
      <c r="M4" s="79" t="inlineStr">
        <is>
          <t>松山市版</t>
        </is>
      </c>
      <c r="N4" s="79" t="inlineStr">
        <is>
          <t>調査訴求・原因特定</t>
        </is>
      </c>
      <c r="O4" s="79" t="inlineStr">
        <is>
          <t>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t>
        </is>
      </c>
      <c r="P4" s="79" t="inlineStr">
        <is>
          <t>修理ではなく「調査・原因特定」が主役の画像にする。
雨漏りの見えない原因をプロが調べる、という印象を強く出す。</t>
        </is>
      </c>
      <c r="Q4" s="79" t="inlineStr">
        <is>
          <t xml:space="preserve">【対象記事】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
</t>
        </is>
      </c>
      <c r="R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t>
        </is>
      </c>
    </row>
    <row r="5" ht="90" customHeight="1">
      <c r="A5" s="78" t="inlineStr">
        <is>
          <t>003</t>
        </is>
      </c>
      <c r="B5" s="79" t="inlineStr">
        <is>
          <t>松山市 雨漏り診断</t>
        </is>
      </c>
      <c r="C5" s="79" t="inlineStr">
        <is>
          <t>松山市の雨漏り診断でわかること｜原因特定と修理前の確認ポイント</t>
        </is>
      </c>
      <c r="D5" s="79" t="inlineStr">
        <is>
          <t>雨漏り</t>
        </is>
      </c>
      <c r="E5" s="79" t="inlineStr">
        <is>
          <t>地域サービス型</t>
        </is>
      </c>
      <c r="F5" s="78" t="inlineStr">
        <is>
          <t>eyecatches/003.png</t>
        </is>
      </c>
      <c r="G5" s="79" t="inlineStr">
        <is>
          <t>これって雨漏り？</t>
        </is>
      </c>
      <c r="H5" s="79" t="inlineStr">
        <is>
          <t>天井シミ・壁紙浮き・カビ臭を確認</t>
        </is>
      </c>
      <c r="I5" s="79" t="inlineStr">
        <is>
          <t>無料現地診断でチェック</t>
        </is>
      </c>
      <c r="J5" s="79" t="inlineStr">
        <is>
          <t>・天井のシミ
・壁紙の浮き
・カビ臭い
・雨の日だけ濡れる</t>
        </is>
      </c>
      <c r="K5" s="79" t="inlineStr">
        <is>
          <t>住宅外観・チェックリスト・雨染み</t>
        </is>
      </c>
      <c r="L5" s="79" t="inlineStr">
        <is>
          <t>困った住人＋職人</t>
        </is>
      </c>
      <c r="M5" s="79" t="inlineStr">
        <is>
          <t>松山市版</t>
        </is>
      </c>
      <c r="N5" s="79" t="inlineStr">
        <is>
          <t>診断訴求・不安解消</t>
        </is>
      </c>
      <c r="O5" s="79" t="inlineStr">
        <is>
          <t>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t>
        </is>
      </c>
      <c r="P5" s="79" t="inlineStr">
        <is>
          <t>不安をあおりすぎず、まずは現地診断で状態を確認できる安心感を出す。
雨漏りかどうか分からない読者が相談しやすい印象にする。</t>
        </is>
      </c>
      <c r="Q5" s="79" t="inlineStr">
        <is>
          <t xml:space="preserve">【対象記事】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
</t>
        </is>
      </c>
      <c r="R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t>
        </is>
      </c>
    </row>
    <row r="6" ht="90" customHeight="1">
      <c r="A6" s="78" t="inlineStr">
        <is>
          <t>004</t>
        </is>
      </c>
      <c r="B6" s="79" t="inlineStr">
        <is>
          <t>松山市 雨漏り業者</t>
        </is>
      </c>
      <c r="C6" s="79" t="inlineStr">
        <is>
          <t>松山市で雨漏り業者を選ぶポイント｜失敗しない比較方法を解説</t>
        </is>
      </c>
      <c r="D6" s="79" t="inlineStr">
        <is>
          <t>雨漏り</t>
        </is>
      </c>
      <c r="E6" s="79" t="inlineStr">
        <is>
          <t>地域サービス型</t>
        </is>
      </c>
      <c r="F6" s="78" t="inlineStr">
        <is>
          <t>eyecatches/004.png</t>
        </is>
      </c>
      <c r="G6" s="79" t="inlineStr">
        <is>
          <t>雨漏り業者の選び方</t>
        </is>
      </c>
      <c r="H6" s="79" t="inlineStr">
        <is>
          <t>安さだけで選ぶと危険!?</t>
        </is>
      </c>
      <c r="I6" s="79" t="inlineStr">
        <is>
          <t>見積り・保証・原因説明</t>
        </is>
      </c>
      <c r="J6" s="79" t="inlineStr">
        <is>
          <t>・見積りの内容
・原因の説明
・保証・アフター
・地域での実績</t>
        </is>
      </c>
      <c r="K6" s="79" t="inlineStr">
        <is>
          <t>見積書・住宅外観・比較表</t>
        </is>
      </c>
      <c r="L6" s="79" t="inlineStr">
        <is>
          <t>考える住人＋職人</t>
        </is>
      </c>
      <c r="M6" s="79" t="inlineStr">
        <is>
          <t>松山市版</t>
        </is>
      </c>
      <c r="N6" s="79" t="inlineStr">
        <is>
          <t>業者選び訴求</t>
        </is>
      </c>
      <c r="O6" s="79" t="inlineStr">
        <is>
          <t>見積書、住宅外観、比較表が分かる背景にする。
考える住人＋職人が、見積書や比較ポイントを示しながら相談に乗っている。
見積書、比較表、保証のアイコンなどを分かりやすく配置する。
「松山市版」の小さなラベルを入れる。</t>
        </is>
      </c>
      <c r="P6" s="79" t="inlineStr">
        <is>
          <t>業者選びで失敗したくない読者に向けて、比較ポイントが一目で伝わる画像にする。
安さだけではなく、説明・見積り・保証が大切だと感じられる印象にする。</t>
        </is>
      </c>
      <c r="Q6" s="79" t="inlineStr">
        <is>
          <t xml:space="preserve">【対象記事】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
</t>
        </is>
      </c>
      <c r="R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t>
        </is>
      </c>
    </row>
    <row r="7" ht="90" customHeight="1">
      <c r="A7" s="78" t="inlineStr">
        <is>
          <t>005</t>
        </is>
      </c>
      <c r="B7" s="79" t="inlineStr">
        <is>
          <t>松山市 雨漏り修理 費用</t>
        </is>
      </c>
      <c r="C7" s="79" t="inlineStr">
        <is>
          <t>松山市の雨漏り修理費用はいくら？相場・内訳・業者選びを解説</t>
        </is>
      </c>
      <c r="D7" s="79" t="inlineStr">
        <is>
          <t>雨漏り</t>
        </is>
      </c>
      <c r="E7" s="79" t="inlineStr">
        <is>
          <t>地域サービス型</t>
        </is>
      </c>
      <c r="F7" s="78" t="inlineStr">
        <is>
          <t>eyecatches/005.png</t>
        </is>
      </c>
      <c r="G7" s="79" t="inlineStr">
        <is>
          <t>雨漏り修理の費用はいくら？</t>
        </is>
      </c>
      <c r="H7" s="79" t="inlineStr">
        <is>
          <t>相場と内訳を職人が解説</t>
        </is>
      </c>
      <c r="I7" s="79" t="inlineStr">
        <is>
          <t>応急処置／屋根補修／防水工事</t>
        </is>
      </c>
      <c r="J7" s="79" t="inlineStr">
        <is>
          <t>・応急処置
・屋根補修
・防水工事
・費用の内訳</t>
        </is>
      </c>
      <c r="K7" s="79" t="inlineStr">
        <is>
          <t>見積書・天井シミ・屋根修理の現場</t>
        </is>
      </c>
      <c r="L7" s="79" t="inlineStr">
        <is>
          <t>不安そうな住人＋職人</t>
        </is>
      </c>
      <c r="M7" s="79" t="inlineStr">
        <is>
          <t>松山市版</t>
        </is>
      </c>
      <c r="N7" s="79" t="inlineStr">
        <is>
          <t>強めサムネ・費用訴求</t>
        </is>
      </c>
      <c r="O7" s="79" t="inlineStr">
        <is>
          <t>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t>
        </is>
      </c>
      <c r="P7" s="79" t="inlineStr">
        <is>
          <t>費用への不安を持つ読者に向けて、相場や内訳が分かりやすい印象にする。
安売り感ではなく、無料見積りで納得して相談できる安心感を出す。</t>
        </is>
      </c>
      <c r="Q7" s="79" t="inlineStr">
        <is>
          <t xml:space="preserve">【対象記事】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 ht="90" customHeight="1">
      <c r="A8" s="78" t="inlineStr">
        <is>
          <t>006</t>
        </is>
      </c>
      <c r="B8" s="79" t="inlineStr">
        <is>
          <t>松山市 雨漏り 原因</t>
        </is>
      </c>
      <c r="C8" s="79" t="inlineStr">
        <is>
          <t>松山市で多い雨漏りの原因とは？屋根・外壁・ベランダ別に解説</t>
        </is>
      </c>
      <c r="D8" s="79" t="inlineStr">
        <is>
          <t>雨漏り</t>
        </is>
      </c>
      <c r="E8" s="79" t="inlineStr">
        <is>
          <t>地域サービス型</t>
        </is>
      </c>
      <c r="F8" s="78" t="inlineStr">
        <is>
          <t>eyecatches/006.png</t>
        </is>
      </c>
      <c r="G8" s="79" t="inlineStr">
        <is>
          <t>雨漏り 原因の原因は？</t>
        </is>
      </c>
      <c r="H8" s="79" t="inlineStr">
        <is>
          <t>放置リスクと対処法を解説</t>
        </is>
      </c>
      <c r="I8" s="79" t="inlineStr">
        <is>
          <t>早めの確認が大切</t>
        </is>
      </c>
      <c r="J8" s="79" t="inlineStr">
        <is>
          <t>・屋根からの侵入
・外壁のひび割れ
・サッシまわり
・ベランダ防水の劣化</t>
        </is>
      </c>
      <c r="K8" s="79" t="inlineStr">
        <is>
          <t>劣化箇所の拡大・雨染み・ひび割れ</t>
        </is>
      </c>
      <c r="L8" s="79" t="inlineStr">
        <is>
          <t>職人</t>
        </is>
      </c>
      <c r="M8" s="79" t="inlineStr">
        <is>
          <t>松山市版</t>
        </is>
      </c>
      <c r="N8" s="79" t="inlineStr">
        <is>
          <t>原因解説訴求</t>
        </is>
      </c>
      <c r="O8"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8" s="79" t="inlineStr">
        <is>
          <t>原因や症状が一目で伝わる、分かりやすい解説型の画像にする。
放置リスクと早めの対策の大切さが伝わる印象にする。</t>
        </is>
      </c>
      <c r="Q8" s="79" t="inlineStr">
        <is>
          <t xml:space="preserve">【対象記事】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9" ht="90" customHeight="1">
      <c r="A9" s="78" t="inlineStr">
        <is>
          <t>007</t>
        </is>
      </c>
      <c r="B9" s="79" t="inlineStr">
        <is>
          <t>松山市 ベランダ雨漏り</t>
        </is>
      </c>
      <c r="C9" s="79" t="inlineStr">
        <is>
          <t>松山市のベランダ雨漏りはなぜ起こる？原因・修理費用・防水対策</t>
        </is>
      </c>
      <c r="D9" s="79" t="inlineStr">
        <is>
          <t>雨漏り</t>
        </is>
      </c>
      <c r="E9" s="79" t="inlineStr">
        <is>
          <t>地域サービス型</t>
        </is>
      </c>
      <c r="F9" s="78" t="inlineStr">
        <is>
          <t>eyecatches/007.png</t>
        </is>
      </c>
      <c r="G9" s="79" t="inlineStr">
        <is>
          <t>ベランダ雨漏り</t>
        </is>
      </c>
      <c r="H9" s="79" t="inlineStr">
        <is>
          <t>雨漏り前に防水状態をチェック</t>
        </is>
      </c>
      <c r="I9" s="79" t="inlineStr">
        <is>
          <t>費用・耐用年数を解説</t>
        </is>
      </c>
      <c r="J9" s="79" t="inlineStr">
        <is>
          <t>・防水層の劣化
・ひび割れ
・排水不良
・トップコートの傷み</t>
        </is>
      </c>
      <c r="K9" s="79" t="inlineStr">
        <is>
          <t>ベランダ床・防水層・排水口</t>
        </is>
      </c>
      <c r="L9" s="79" t="inlineStr">
        <is>
          <t>点検する職人</t>
        </is>
      </c>
      <c r="M9" s="79" t="inlineStr">
        <is>
          <t>松山市版</t>
        </is>
      </c>
      <c r="N9" s="79" t="inlineStr">
        <is>
          <t>防水訴求</t>
        </is>
      </c>
      <c r="O9"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9" s="79" t="inlineStr">
        <is>
          <t>防水訴求を意識しつつ、記事テーマが一目で伝わる強めのアイキャッチにする。
読者が『この記事で何が分かるか』を瞬時に理解できる印象にする。</t>
        </is>
      </c>
      <c r="Q9" s="79" t="inlineStr">
        <is>
          <t xml:space="preserve">【対象記事】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
</t>
        </is>
      </c>
      <c r="R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t>
        </is>
      </c>
    </row>
    <row r="10" ht="90" customHeight="1">
      <c r="A10" s="78" t="inlineStr">
        <is>
          <t>008</t>
        </is>
      </c>
      <c r="B10" s="79" t="inlineStr">
        <is>
          <t>松山市 サッシ雨漏り</t>
        </is>
      </c>
      <c r="C10" s="79" t="inlineStr">
        <is>
          <t>松山市のサッシ雨漏りの原因とは？窓まわりの補修方法を解説</t>
        </is>
      </c>
      <c r="D10" s="79" t="inlineStr">
        <is>
          <t>雨漏り</t>
        </is>
      </c>
      <c r="E10" s="79" t="inlineStr">
        <is>
          <t>地域サービス型</t>
        </is>
      </c>
      <c r="F10" s="78" t="inlineStr">
        <is>
          <t>eyecatches/008.png</t>
        </is>
      </c>
      <c r="G10" s="79" t="inlineStr">
        <is>
          <t>サッシ雨漏り</t>
        </is>
      </c>
      <c r="H10" s="79" t="inlineStr">
        <is>
          <t>症状・費用・注意点を解説</t>
        </is>
      </c>
      <c r="I10" s="79" t="inlineStr">
        <is>
          <t>プロが分かりやすく解説</t>
        </is>
      </c>
      <c r="J10" s="79" t="inlineStr">
        <is>
          <t>・サッシまわり
・コーキング劣化
・外壁の取り合い
・雨水の侵入口</t>
        </is>
      </c>
      <c r="K10" s="79" t="inlineStr">
        <is>
          <t>住宅外観・劣化箇所</t>
        </is>
      </c>
      <c r="L10" s="79" t="inlineStr">
        <is>
          <t>職人</t>
        </is>
      </c>
      <c r="M10" s="79" t="inlineStr">
        <is>
          <t>松山市版</t>
        </is>
      </c>
      <c r="N10" s="79" t="inlineStr">
        <is>
          <t>汎用外装訴求</t>
        </is>
      </c>
      <c r="O10"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0" s="79" t="inlineStr">
        <is>
          <t>汎用外装訴求を意識しつつ、記事テーマが一目で伝わる強めのアイキャッチにする。
読者が『この記事で何が分かるか』を瞬時に理解できる印象にする。</t>
        </is>
      </c>
      <c r="Q10" s="79" t="inlineStr">
        <is>
          <t xml:space="preserve">【対象記事】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1" ht="90" customHeight="1">
      <c r="A11" s="78" t="inlineStr">
        <is>
          <t>009</t>
        </is>
      </c>
      <c r="B11" s="79" t="inlineStr">
        <is>
          <t>松山市 外壁雨漏り</t>
        </is>
      </c>
      <c r="C11" s="79" t="inlineStr">
        <is>
          <t>松山市の外壁雨漏りの原因と対策｜ひび割れ・シーリング劣化に注意</t>
        </is>
      </c>
      <c r="D11" s="79" t="inlineStr">
        <is>
          <t>雨漏り</t>
        </is>
      </c>
      <c r="E11" s="79" t="inlineStr">
        <is>
          <t>地域サービス型</t>
        </is>
      </c>
      <c r="F11" s="78" t="inlineStr">
        <is>
          <t>eyecatches/009.png</t>
        </is>
      </c>
      <c r="G11" s="79" t="inlineStr">
        <is>
          <t>外壁雨漏り</t>
        </is>
      </c>
      <c r="H11" s="79" t="inlineStr">
        <is>
          <t>症状・費用・注意点を解説</t>
        </is>
      </c>
      <c r="I11" s="79" t="inlineStr">
        <is>
          <t>プロが分かりやすく解説</t>
        </is>
      </c>
      <c r="J11" s="79" t="inlineStr">
        <is>
          <t>・外壁のひび割れ
・コーキング劣化
・塗膜の劣化
・雨染み</t>
        </is>
      </c>
      <c r="K11" s="79" t="inlineStr">
        <is>
          <t>住宅外観・劣化箇所</t>
        </is>
      </c>
      <c r="L11" s="79" t="inlineStr">
        <is>
          <t>職人</t>
        </is>
      </c>
      <c r="M11" s="79" t="inlineStr">
        <is>
          <t>松山市版</t>
        </is>
      </c>
      <c r="N11" s="79" t="inlineStr">
        <is>
          <t>汎用外装訴求</t>
        </is>
      </c>
      <c r="O11"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1" s="79" t="inlineStr">
        <is>
          <t>汎用外装訴求を意識しつつ、記事テーマが一目で伝わる強めのアイキャッチにする。
読者が『この記事で何が分かるか』を瞬時に理解できる印象にする。</t>
        </is>
      </c>
      <c r="Q11" s="79" t="inlineStr">
        <is>
          <t xml:space="preserve">【対象記事】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2" ht="90" customHeight="1">
      <c r="A12" s="78" t="inlineStr">
        <is>
          <t>010</t>
        </is>
      </c>
      <c r="B12" s="79" t="inlineStr">
        <is>
          <t>松山市 屋根雨漏り</t>
        </is>
      </c>
      <c r="C12" s="79" t="inlineStr">
        <is>
          <t>松山市の屋根雨漏りは早めの修理が重要｜原因・費用・業者選び</t>
        </is>
      </c>
      <c r="D12" s="79" t="inlineStr">
        <is>
          <t>雨漏り</t>
        </is>
      </c>
      <c r="E12" s="79" t="inlineStr">
        <is>
          <t>地域サービス型</t>
        </is>
      </c>
      <c r="F12" s="78" t="inlineStr">
        <is>
          <t>eyecatches/010.png</t>
        </is>
      </c>
      <c r="G12" s="79" t="inlineStr">
        <is>
          <t>屋根雨漏り</t>
        </is>
      </c>
      <c r="H12" s="79" t="inlineStr">
        <is>
          <t>雨漏り前に劣化を確認</t>
        </is>
      </c>
      <c r="I12" s="79" t="inlineStr">
        <is>
          <t>屋根点検・修理方法を解説</t>
        </is>
      </c>
      <c r="J12" s="79" t="inlineStr">
        <is>
          <t>・瓦のズレ
・板金の浮き
・漆喰の傷み
・屋根下地の劣化</t>
        </is>
      </c>
      <c r="K12" s="79" t="inlineStr">
        <is>
          <t>屋根材・瓦・板金・雨空</t>
        </is>
      </c>
      <c r="L12" s="79" t="inlineStr">
        <is>
          <t>屋根を点検する職人</t>
        </is>
      </c>
      <c r="M12" s="79" t="inlineStr">
        <is>
          <t>松山市版</t>
        </is>
      </c>
      <c r="N12" s="79" t="inlineStr">
        <is>
          <t>屋根修理訴求</t>
        </is>
      </c>
      <c r="O12"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2" s="79" t="inlineStr">
        <is>
          <t>屋根の劣化や修理の必要性がひと目で伝わる画像にする。
専門性を感じさせつつ、地域で相談できる安心感も出す。</t>
        </is>
      </c>
      <c r="Q12" s="79" t="inlineStr">
        <is>
          <t xml:space="preserve">【対象記事】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3" ht="90" customHeight="1">
      <c r="A13" s="78" t="inlineStr">
        <is>
          <t>011</t>
        </is>
      </c>
      <c r="B13" s="79" t="inlineStr">
        <is>
          <t>松山市 屋根修理</t>
        </is>
      </c>
      <c r="C13" s="79" t="inlineStr">
        <is>
          <t>松山市の屋根修理はどこに頼む？症状別の対処法と費用目安</t>
        </is>
      </c>
      <c r="D13" s="79" t="inlineStr">
        <is>
          <t>屋根修理・屋根材</t>
        </is>
      </c>
      <c r="E13" s="79" t="inlineStr">
        <is>
          <t>地域サービス型</t>
        </is>
      </c>
      <c r="F13" s="78" t="inlineStr">
        <is>
          <t>eyecatches/011.png</t>
        </is>
      </c>
      <c r="G13" s="79" t="inlineStr">
        <is>
          <t>屋根修理</t>
        </is>
      </c>
      <c r="H13" s="79" t="inlineStr">
        <is>
          <t>雨漏り前に劣化を確認</t>
        </is>
      </c>
      <c r="I13" s="79" t="inlineStr">
        <is>
          <t>屋根点検・修理方法を解説</t>
        </is>
      </c>
      <c r="J13" s="79" t="inlineStr">
        <is>
          <t>・劣化症状
・修理方法
・費用相場
・放置リスク</t>
        </is>
      </c>
      <c r="K13" s="79" t="inlineStr">
        <is>
          <t>屋根材・瓦・板金・雨空</t>
        </is>
      </c>
      <c r="L13" s="79" t="inlineStr">
        <is>
          <t>屋根を点検する職人</t>
        </is>
      </c>
      <c r="M13" s="79" t="inlineStr">
        <is>
          <t>松山市版</t>
        </is>
      </c>
      <c r="N13" s="79" t="inlineStr">
        <is>
          <t>屋根修理訴求</t>
        </is>
      </c>
      <c r="O13"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3" s="79" t="inlineStr">
        <is>
          <t>屋根の劣化や修理の必要性がひと目で伝わる画像にする。
専門性を感じさせつつ、地域で相談できる安心感も出す。</t>
        </is>
      </c>
      <c r="Q13" s="79" t="inlineStr">
        <is>
          <t xml:space="preserve">【対象記事】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4" ht="90" customHeight="1">
      <c r="A14" s="78" t="inlineStr">
        <is>
          <t>012</t>
        </is>
      </c>
      <c r="B14" s="79" t="inlineStr">
        <is>
          <t>松山市 棟板金修理</t>
        </is>
      </c>
      <c r="C14" s="79" t="inlineStr">
        <is>
          <t>松山市の棟板金修理とは？浮き・釘抜け・雨漏りリスクを解説</t>
        </is>
      </c>
      <c r="D14" s="79" t="inlineStr">
        <is>
          <t>屋根修理・屋根材</t>
        </is>
      </c>
      <c r="E14" s="79" t="inlineStr">
        <is>
          <t>地域サービス型</t>
        </is>
      </c>
      <c r="F14" s="78" t="inlineStr">
        <is>
          <t>eyecatches/012.png</t>
        </is>
      </c>
      <c r="G14" s="79" t="inlineStr">
        <is>
          <t>棟板金修理</t>
        </is>
      </c>
      <c r="H14" s="79" t="inlineStr">
        <is>
          <t>雨漏り前に劣化を確認</t>
        </is>
      </c>
      <c r="I14" s="79" t="inlineStr">
        <is>
          <t>屋根点検・修理方法を解説</t>
        </is>
      </c>
      <c r="J14" s="79" t="inlineStr">
        <is>
          <t>・劣化症状
・修理方法
・費用相場
・放置リスク</t>
        </is>
      </c>
      <c r="K14" s="79" t="inlineStr">
        <is>
          <t>屋根材・瓦・板金・雨空</t>
        </is>
      </c>
      <c r="L14" s="79" t="inlineStr">
        <is>
          <t>屋根を点検する職人</t>
        </is>
      </c>
      <c r="M14" s="79" t="inlineStr">
        <is>
          <t>松山市版</t>
        </is>
      </c>
      <c r="N14" s="79" t="inlineStr">
        <is>
          <t>屋根修理訴求</t>
        </is>
      </c>
      <c r="O14"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4" s="79" t="inlineStr">
        <is>
          <t>屋根の劣化や修理の必要性がひと目で伝わる画像にする。
専門性を感じさせつつ、地域で相談できる安心感も出す。</t>
        </is>
      </c>
      <c r="Q14" s="79" t="inlineStr">
        <is>
          <t xml:space="preserve">【対象記事】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5" ht="90" customHeight="1">
      <c r="A15" s="78" t="inlineStr">
        <is>
          <t>013</t>
        </is>
      </c>
      <c r="B15" s="79" t="inlineStr">
        <is>
          <t>松山市 谷板金修理</t>
        </is>
      </c>
      <c r="C15" s="79" t="inlineStr">
        <is>
          <t>松山市の谷板金修理が必要な症状｜雨漏り原因と費用目安</t>
        </is>
      </c>
      <c r="D15" s="79" t="inlineStr">
        <is>
          <t>屋根修理・屋根材</t>
        </is>
      </c>
      <c r="E15" s="79" t="inlineStr">
        <is>
          <t>地域サービス型</t>
        </is>
      </c>
      <c r="F15" s="78" t="inlineStr">
        <is>
          <t>eyecatches/013.png</t>
        </is>
      </c>
      <c r="G15" s="79" t="inlineStr">
        <is>
          <t>谷板金修理</t>
        </is>
      </c>
      <c r="H15" s="79" t="inlineStr">
        <is>
          <t>雨漏り前に劣化を確認</t>
        </is>
      </c>
      <c r="I15" s="79" t="inlineStr">
        <is>
          <t>屋根点検・修理方法を解説</t>
        </is>
      </c>
      <c r="J15" s="79" t="inlineStr">
        <is>
          <t>・劣化症状
・修理方法
・費用相場
・放置リスク</t>
        </is>
      </c>
      <c r="K15" s="79" t="inlineStr">
        <is>
          <t>屋根材・瓦・板金・雨空</t>
        </is>
      </c>
      <c r="L15" s="79" t="inlineStr">
        <is>
          <t>屋根を点検する職人</t>
        </is>
      </c>
      <c r="M15" s="79" t="inlineStr">
        <is>
          <t>松山市版</t>
        </is>
      </c>
      <c r="N15" s="79" t="inlineStr">
        <is>
          <t>屋根修理訴求</t>
        </is>
      </c>
      <c r="O15"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5" s="79" t="inlineStr">
        <is>
          <t>屋根の劣化や修理の必要性がひと目で伝わる画像にする。
専門性を感じさせつつ、地域で相談できる安心感も出す。</t>
        </is>
      </c>
      <c r="Q15" s="79" t="inlineStr">
        <is>
          <t xml:space="preserve">【対象記事】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6" ht="90" customHeight="1">
      <c r="A16" s="78" t="inlineStr">
        <is>
          <t>014</t>
        </is>
      </c>
      <c r="B16" s="79" t="inlineStr">
        <is>
          <t>松山市 瓦修理</t>
        </is>
      </c>
      <c r="C16" s="79" t="inlineStr">
        <is>
          <t>松山市の瓦修理はいつ必要？割れ・ズレ・雨漏りの対処法</t>
        </is>
      </c>
      <c r="D16" s="79" t="inlineStr">
        <is>
          <t>屋根修理・屋根材</t>
        </is>
      </c>
      <c r="E16" s="79" t="inlineStr">
        <is>
          <t>地域サービス型</t>
        </is>
      </c>
      <c r="F16" s="78" t="inlineStr">
        <is>
          <t>eyecatches/014.png</t>
        </is>
      </c>
      <c r="G16" s="79" t="inlineStr">
        <is>
          <t>瓦修理</t>
        </is>
      </c>
      <c r="H16" s="79" t="inlineStr">
        <is>
          <t>雨漏り前に劣化を確認</t>
        </is>
      </c>
      <c r="I16" s="79" t="inlineStr">
        <is>
          <t>屋根点検・修理方法を解説</t>
        </is>
      </c>
      <c r="J16" s="79" t="inlineStr">
        <is>
          <t>・劣化症状
・修理方法
・費用相場
・放置リスク</t>
        </is>
      </c>
      <c r="K16" s="79" t="inlineStr">
        <is>
          <t>屋根材・瓦・板金・雨空</t>
        </is>
      </c>
      <c r="L16" s="79" t="inlineStr">
        <is>
          <t>屋根を点検する職人</t>
        </is>
      </c>
      <c r="M16" s="79" t="inlineStr">
        <is>
          <t>松山市版</t>
        </is>
      </c>
      <c r="N16" s="79" t="inlineStr">
        <is>
          <t>屋根修理訴求</t>
        </is>
      </c>
      <c r="O16"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6" s="79" t="inlineStr">
        <is>
          <t>屋根の劣化や修理の必要性がひと目で伝わる画像にする。
専門性を感じさせつつ、地域で相談できる安心感も出す。</t>
        </is>
      </c>
      <c r="Q16" s="79" t="inlineStr">
        <is>
          <t xml:space="preserve">【対象記事】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7" ht="90" customHeight="1">
      <c r="A17" s="78" t="inlineStr">
        <is>
          <t>015</t>
        </is>
      </c>
      <c r="B17" s="79" t="inlineStr">
        <is>
          <t>松山市 漆喰補修</t>
        </is>
      </c>
      <c r="C17" s="79" t="inlineStr">
        <is>
          <t>松山市の漆喰補修とは？劣化症状・費用・雨漏り予防を解説</t>
        </is>
      </c>
      <c r="D17" s="79" t="inlineStr">
        <is>
          <t>屋根修理・屋根材</t>
        </is>
      </c>
      <c r="E17" s="79" t="inlineStr">
        <is>
          <t>地域サービス型</t>
        </is>
      </c>
      <c r="F17" s="78" t="inlineStr">
        <is>
          <t>eyecatches/015.png</t>
        </is>
      </c>
      <c r="G17" s="79" t="inlineStr">
        <is>
          <t>漆喰補修</t>
        </is>
      </c>
      <c r="H17" s="79" t="inlineStr">
        <is>
          <t>雨漏り前に劣化を確認</t>
        </is>
      </c>
      <c r="I17" s="79" t="inlineStr">
        <is>
          <t>屋根点検・修理方法を解説</t>
        </is>
      </c>
      <c r="J17" s="79" t="inlineStr">
        <is>
          <t>・劣化症状
・修理方法
・費用相場
・放置リスク</t>
        </is>
      </c>
      <c r="K17" s="79" t="inlineStr">
        <is>
          <t>屋根材・瓦・板金・雨空</t>
        </is>
      </c>
      <c r="L17" s="79" t="inlineStr">
        <is>
          <t>屋根を点検する職人</t>
        </is>
      </c>
      <c r="M17" s="79" t="inlineStr">
        <is>
          <t>松山市版</t>
        </is>
      </c>
      <c r="N17" s="79" t="inlineStr">
        <is>
          <t>屋根修理訴求</t>
        </is>
      </c>
      <c r="O17"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7" s="79" t="inlineStr">
        <is>
          <t>屋根の劣化や修理の必要性がひと目で伝わる画像にする。
専門性を感じさせつつ、地域で相談できる安心感も出す。</t>
        </is>
      </c>
      <c r="Q17" s="79" t="inlineStr">
        <is>
          <t xml:space="preserve">【対象記事】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8" ht="90" customHeight="1">
      <c r="A18" s="78" t="inlineStr">
        <is>
          <t>016</t>
        </is>
      </c>
      <c r="B18" s="79" t="inlineStr">
        <is>
          <t>松山市 屋根リフォーム</t>
        </is>
      </c>
      <c r="C18" s="79" t="inlineStr">
        <is>
          <t>松山市の屋根リフォーム方法｜カバー工法・葺き替え・修理の違い</t>
        </is>
      </c>
      <c r="D18" s="79" t="inlineStr">
        <is>
          <t>屋根修理・屋根材</t>
        </is>
      </c>
      <c r="E18" s="79" t="inlineStr">
        <is>
          <t>地域サービス型</t>
        </is>
      </c>
      <c r="F18" s="78" t="inlineStr">
        <is>
          <t>eyecatches/016.png</t>
        </is>
      </c>
      <c r="G18" s="79" t="inlineStr">
        <is>
          <t>屋根リフォーム</t>
        </is>
      </c>
      <c r="H18" s="79" t="inlineStr">
        <is>
          <t>雨漏り前に劣化を確認</t>
        </is>
      </c>
      <c r="I18" s="79" t="inlineStr">
        <is>
          <t>屋根点検・修理方法を解説</t>
        </is>
      </c>
      <c r="J18" s="79" t="inlineStr">
        <is>
          <t>・劣化症状
・修理方法
・費用相場
・放置リスク</t>
        </is>
      </c>
      <c r="K18" s="79" t="inlineStr">
        <is>
          <t>屋根材・瓦・板金・雨空</t>
        </is>
      </c>
      <c r="L18" s="79" t="inlineStr">
        <is>
          <t>屋根を点検する職人</t>
        </is>
      </c>
      <c r="M18" s="79" t="inlineStr">
        <is>
          <t>松山市版</t>
        </is>
      </c>
      <c r="N18" s="79" t="inlineStr">
        <is>
          <t>屋根修理訴求</t>
        </is>
      </c>
      <c r="O18"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8" s="79" t="inlineStr">
        <is>
          <t>屋根の劣化や修理の必要性がひと目で伝わる画像にする。
専門性を感じさせつつ、地域で相談できる安心感も出す。</t>
        </is>
      </c>
      <c r="Q18" s="79" t="inlineStr">
        <is>
          <t xml:space="preserve">【対象記事】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9" ht="90" customHeight="1">
      <c r="A19" s="78" t="inlineStr">
        <is>
          <t>017</t>
        </is>
      </c>
      <c r="B19" s="79" t="inlineStr">
        <is>
          <t>松山市 ガルテクト</t>
        </is>
      </c>
      <c r="C19" s="79" t="inlineStr">
        <is>
          <t>松山市でガルテクトを使う屋根工事｜特徴・費用・注意点</t>
        </is>
      </c>
      <c r="D19" s="79" t="inlineStr">
        <is>
          <t>屋根修理・屋根材</t>
        </is>
      </c>
      <c r="E19" s="79" t="inlineStr">
        <is>
          <t>屋根材注意型</t>
        </is>
      </c>
      <c r="F19" s="78" t="inlineStr">
        <is>
          <t>eyecatches/017.png</t>
        </is>
      </c>
      <c r="G19" s="79" t="inlineStr">
        <is>
          <t>ガルテクト</t>
        </is>
      </c>
      <c r="H19" s="79" t="inlineStr">
        <is>
          <t>雨漏り前に劣化を確認</t>
        </is>
      </c>
      <c r="I19" s="79" t="inlineStr">
        <is>
          <t>屋根点検・修理方法を解説</t>
        </is>
      </c>
      <c r="J19" s="79" t="inlineStr">
        <is>
          <t>・屋根材の特徴
・注意点
・劣化症状
・対策</t>
        </is>
      </c>
      <c r="K19" s="79" t="inlineStr">
        <is>
          <t>屋根材・瓦・板金・雨空</t>
        </is>
      </c>
      <c r="L19" s="79" t="inlineStr">
        <is>
          <t>屋根を点検する職人</t>
        </is>
      </c>
      <c r="M19" s="79" t="inlineStr">
        <is>
          <t>松山市版</t>
        </is>
      </c>
      <c r="N19" s="79" t="inlineStr">
        <is>
          <t>屋根修理訴求</t>
        </is>
      </c>
      <c r="O19"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9" s="79" t="inlineStr">
        <is>
          <t>屋根の劣化や修理の必要性がひと目で伝わる画像にする。
専門性を感じさせつつ、地域で相談できる安心感も出す。</t>
        </is>
      </c>
      <c r="Q19" s="79" t="inlineStr">
        <is>
          <t xml:space="preserve">【対象記事】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0" ht="90" customHeight="1">
      <c r="A20" s="78" t="inlineStr">
        <is>
          <t>018</t>
        </is>
      </c>
      <c r="B20" s="79" t="inlineStr">
        <is>
          <t>松山市 ヴェルウッド</t>
        </is>
      </c>
      <c r="C20" s="79" t="inlineStr">
        <is>
          <t>松山市でヴェルウッドを使う屋根工事｜特徴・注意点を解説</t>
        </is>
      </c>
      <c r="D20" s="79" t="inlineStr">
        <is>
          <t>屋根修理・屋根材</t>
        </is>
      </c>
      <c r="E20" s="79" t="inlineStr">
        <is>
          <t>屋根材注意型</t>
        </is>
      </c>
      <c r="F20" s="78" t="inlineStr">
        <is>
          <t>eyecatches/018.png</t>
        </is>
      </c>
      <c r="G20" s="79" t="inlineStr">
        <is>
          <t>ヴェルウッド</t>
        </is>
      </c>
      <c r="H20" s="79" t="inlineStr">
        <is>
          <t>雨漏り前に劣化を確認</t>
        </is>
      </c>
      <c r="I20" s="79" t="inlineStr">
        <is>
          <t>屋根点検・修理方法を解説</t>
        </is>
      </c>
      <c r="J20" s="79" t="inlineStr">
        <is>
          <t>・屋根材の特徴
・注意点
・劣化症状
・対策</t>
        </is>
      </c>
      <c r="K20" s="79" t="inlineStr">
        <is>
          <t>屋根材・瓦・板金・雨空</t>
        </is>
      </c>
      <c r="L20" s="79" t="inlineStr">
        <is>
          <t>屋根を点検する職人</t>
        </is>
      </c>
      <c r="M20" s="79" t="inlineStr">
        <is>
          <t>松山市版</t>
        </is>
      </c>
      <c r="N20" s="79" t="inlineStr">
        <is>
          <t>屋根修理訴求</t>
        </is>
      </c>
      <c r="O20"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0" s="79" t="inlineStr">
        <is>
          <t>屋根の劣化や修理の必要性がひと目で伝わる画像にする。
専門性を感じさせつつ、地域で相談できる安心感も出す。</t>
        </is>
      </c>
      <c r="Q20" s="79" t="inlineStr">
        <is>
          <t xml:space="preserve">【対象記事】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1" ht="90" customHeight="1">
      <c r="A21" s="78" t="inlineStr">
        <is>
          <t>019</t>
        </is>
      </c>
      <c r="B21" s="79" t="inlineStr">
        <is>
          <t>松山市 パミール屋根</t>
        </is>
      </c>
      <c r="C21" s="79" t="inlineStr">
        <is>
          <t>松山市のパミール屋根は塗装できる？劣化症状と対策を解説</t>
        </is>
      </c>
      <c r="D21" s="79" t="inlineStr">
        <is>
          <t>屋根修理・屋根材</t>
        </is>
      </c>
      <c r="E21" s="79" t="inlineStr">
        <is>
          <t>屋根材注意型</t>
        </is>
      </c>
      <c r="F21" s="78" t="inlineStr">
        <is>
          <t>eyecatches/019.png</t>
        </is>
      </c>
      <c r="G21" s="79" t="inlineStr">
        <is>
          <t>パミール屋根</t>
        </is>
      </c>
      <c r="H21" s="79" t="inlineStr">
        <is>
          <t>雨漏り前に劣化を確認</t>
        </is>
      </c>
      <c r="I21" s="79" t="inlineStr">
        <is>
          <t>屋根点検・修理方法を解説</t>
        </is>
      </c>
      <c r="J21" s="79" t="inlineStr">
        <is>
          <t>・屋根材の特徴
・注意点
・劣化症状
・対策</t>
        </is>
      </c>
      <c r="K21" s="79" t="inlineStr">
        <is>
          <t>屋根材・瓦・板金・雨空</t>
        </is>
      </c>
      <c r="L21" s="79" t="inlineStr">
        <is>
          <t>屋根を点検する職人</t>
        </is>
      </c>
      <c r="M21" s="79" t="inlineStr">
        <is>
          <t>松山市版</t>
        </is>
      </c>
      <c r="N21" s="79" t="inlineStr">
        <is>
          <t>屋根修理訴求</t>
        </is>
      </c>
      <c r="O21"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1" s="79" t="inlineStr">
        <is>
          <t>屋根の劣化や修理の必要性がひと目で伝わる画像にする。
専門性を感じさせつつ、地域で相談できる安心感も出す。</t>
        </is>
      </c>
      <c r="Q21" s="79" t="inlineStr">
        <is>
          <t xml:space="preserve">【対象記事】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2" ht="90" customHeight="1">
      <c r="A22" s="78" t="inlineStr">
        <is>
          <t>020</t>
        </is>
      </c>
      <c r="B22" s="79" t="inlineStr">
        <is>
          <t>パナソニックホームズ 外壁塗装 松山市</t>
        </is>
      </c>
      <c r="C22" s="79" t="inlineStr">
        <is>
          <t>パナソニックホームズの外壁塗装を松山市で行う際の注意点を解説</t>
        </is>
      </c>
      <c r="D22" s="79" t="inlineStr">
        <is>
          <t>ハウスメーカー外壁塗装</t>
        </is>
      </c>
      <c r="E22" s="79" t="inlineStr">
        <is>
          <t>ハウスメーカー型</t>
        </is>
      </c>
      <c r="F22" s="78" t="inlineStr">
        <is>
          <t>eyecatches/020.png</t>
        </is>
      </c>
      <c r="G22" s="79" t="inlineStr">
        <is>
          <t>パナソニックホームズ 外壁塗装 松山市</t>
        </is>
      </c>
      <c r="H22" s="79" t="inlineStr">
        <is>
          <t>放置リスクと判断基準を解説</t>
        </is>
      </c>
      <c r="I22" s="79" t="inlineStr">
        <is>
          <t>無料診断で状態確認</t>
        </is>
      </c>
      <c r="J22" s="79" t="inlineStr">
        <is>
          <t>・外壁の特徴
・注意点
・塗装時期
・業者選び</t>
        </is>
      </c>
      <c r="K22" s="79" t="inlineStr">
        <is>
          <t>外壁ひび割れ・チョーキング・住宅外観</t>
        </is>
      </c>
      <c r="L22" s="79" t="inlineStr">
        <is>
          <t>職人＋困った住人</t>
        </is>
      </c>
      <c r="M22" s="79" t="inlineStr">
        <is>
          <t>松山市版</t>
        </is>
      </c>
      <c r="N22" s="79" t="inlineStr">
        <is>
          <t>外壁塗装訴求</t>
        </is>
      </c>
      <c r="O22"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2" s="79" t="inlineStr">
        <is>
          <t>外壁塗装の必要性や注意点が分かる、強めで分かりやすい画像にする。
塗り替え時期や工事のポイントを知りたい読者に向けた印象にする。</t>
        </is>
      </c>
      <c r="Q22" s="79" t="inlineStr">
        <is>
          <t xml:space="preserve">【対象記事】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3" ht="90" customHeight="1">
      <c r="A23" s="78" t="inlineStr">
        <is>
          <t>021</t>
        </is>
      </c>
      <c r="B23" s="79" t="inlineStr">
        <is>
          <t>レオハウス 外壁塗装 松山市</t>
        </is>
      </c>
      <c r="C23" s="79" t="inlineStr">
        <is>
          <t>レオハウスの外壁塗装を松山市で行う際の注意点を解説</t>
        </is>
      </c>
      <c r="D23" s="79" t="inlineStr">
        <is>
          <t>ハウスメーカー外壁塗装</t>
        </is>
      </c>
      <c r="E23" s="79" t="inlineStr">
        <is>
          <t>ハウスメーカー型</t>
        </is>
      </c>
      <c r="F23" s="78" t="inlineStr">
        <is>
          <t>eyecatches/021.png</t>
        </is>
      </c>
      <c r="G23" s="79" t="inlineStr">
        <is>
          <t>レオハウス 外壁塗装 松山市</t>
        </is>
      </c>
      <c r="H23" s="79" t="inlineStr">
        <is>
          <t>放置リスクと判断基準を解説</t>
        </is>
      </c>
      <c r="I23" s="79" t="inlineStr">
        <is>
          <t>無料診断で状態確認</t>
        </is>
      </c>
      <c r="J23" s="79" t="inlineStr">
        <is>
          <t>・外壁の特徴
・注意点
・塗装時期
・業者選び</t>
        </is>
      </c>
      <c r="K23" s="79" t="inlineStr">
        <is>
          <t>外壁ひび割れ・チョーキング・住宅外観</t>
        </is>
      </c>
      <c r="L23" s="79" t="inlineStr">
        <is>
          <t>職人＋困った住人</t>
        </is>
      </c>
      <c r="M23" s="79" t="inlineStr">
        <is>
          <t>松山市版</t>
        </is>
      </c>
      <c r="N23" s="79" t="inlineStr">
        <is>
          <t>外壁塗装訴求</t>
        </is>
      </c>
      <c r="O23"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3" s="79" t="inlineStr">
        <is>
          <t>外壁塗装の必要性や注意点が分かる、強めで分かりやすい画像にする。
塗り替え時期や工事のポイントを知りたい読者に向けた印象にする。</t>
        </is>
      </c>
      <c r="Q23" s="79" t="inlineStr">
        <is>
          <t xml:space="preserve">【対象記事】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4" ht="90" customHeight="1">
      <c r="A24" s="78" t="inlineStr">
        <is>
          <t>022</t>
        </is>
      </c>
      <c r="B24" s="79" t="inlineStr">
        <is>
          <t>アットハウジング 外壁塗装 松山市</t>
        </is>
      </c>
      <c r="C24" s="79" t="inlineStr">
        <is>
          <t>アットハウジングの外壁塗装を松山市で行う際の注意点を解説</t>
        </is>
      </c>
      <c r="D24" s="79" t="inlineStr">
        <is>
          <t>ハウスメーカー外壁塗装</t>
        </is>
      </c>
      <c r="E24" s="79" t="inlineStr">
        <is>
          <t>ハウスメーカー型</t>
        </is>
      </c>
      <c r="F24" s="78" t="inlineStr">
        <is>
          <t>eyecatches/022.png</t>
        </is>
      </c>
      <c r="G24" s="79" t="inlineStr">
        <is>
          <t>アットハウジング 外壁塗装 松山市</t>
        </is>
      </c>
      <c r="H24" s="79" t="inlineStr">
        <is>
          <t>放置リスクと判断基準を解説</t>
        </is>
      </c>
      <c r="I24" s="79" t="inlineStr">
        <is>
          <t>無料診断で状態確認</t>
        </is>
      </c>
      <c r="J24" s="79" t="inlineStr">
        <is>
          <t>・外壁の特徴
・注意点
・塗装時期
・業者選び</t>
        </is>
      </c>
      <c r="K24" s="79" t="inlineStr">
        <is>
          <t>外壁ひび割れ・チョーキング・住宅外観</t>
        </is>
      </c>
      <c r="L24" s="79" t="inlineStr">
        <is>
          <t>職人＋困った住人</t>
        </is>
      </c>
      <c r="M24" s="79" t="inlineStr">
        <is>
          <t>松山市版</t>
        </is>
      </c>
      <c r="N24" s="79" t="inlineStr">
        <is>
          <t>外壁塗装訴求</t>
        </is>
      </c>
      <c r="O24"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4" s="79" t="inlineStr">
        <is>
          <t>外壁塗装の必要性や注意点が分かる、強めで分かりやすい画像にする。
塗り替え時期や工事のポイントを知りたい読者に向けた印象にする。</t>
        </is>
      </c>
      <c r="Q24" s="79" t="inlineStr">
        <is>
          <t xml:space="preserve">【対象記事】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5" ht="90" customHeight="1">
      <c r="A25" s="78" t="inlineStr">
        <is>
          <t>023</t>
        </is>
      </c>
      <c r="B25" s="79" t="inlineStr">
        <is>
          <t>日本ハウスHD 外壁塗装 松山市</t>
        </is>
      </c>
      <c r="C25" s="79" t="inlineStr">
        <is>
          <t>日本ハウスHDの外壁塗装を松山市で行う際の注意点を解説</t>
        </is>
      </c>
      <c r="D25" s="79" t="inlineStr">
        <is>
          <t>ハウスメーカー外壁塗装</t>
        </is>
      </c>
      <c r="E25" s="79" t="inlineStr">
        <is>
          <t>ハウスメーカー型</t>
        </is>
      </c>
      <c r="F25" s="78" t="inlineStr">
        <is>
          <t>eyecatches/023.png</t>
        </is>
      </c>
      <c r="G25" s="79" t="inlineStr">
        <is>
          <t>日本ハウスHD 外壁塗装 松山市</t>
        </is>
      </c>
      <c r="H25" s="79" t="inlineStr">
        <is>
          <t>放置リスクと判断基準を解説</t>
        </is>
      </c>
      <c r="I25" s="79" t="inlineStr">
        <is>
          <t>無料診断で状態確認</t>
        </is>
      </c>
      <c r="J25" s="79" t="inlineStr">
        <is>
          <t>・外壁の特徴
・注意点
・塗装時期
・業者選び</t>
        </is>
      </c>
      <c r="K25" s="79" t="inlineStr">
        <is>
          <t>外壁ひび割れ・チョーキング・住宅外観</t>
        </is>
      </c>
      <c r="L25" s="79" t="inlineStr">
        <is>
          <t>職人＋困った住人</t>
        </is>
      </c>
      <c r="M25" s="79" t="inlineStr">
        <is>
          <t>松山市版</t>
        </is>
      </c>
      <c r="N25" s="79" t="inlineStr">
        <is>
          <t>外壁塗装訴求</t>
        </is>
      </c>
      <c r="O25"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5" s="79" t="inlineStr">
        <is>
          <t>外壁塗装の必要性や注意点が分かる、強めで分かりやすい画像にする。
塗り替え時期や工事のポイントを知りたい読者に向けた印象にする。</t>
        </is>
      </c>
      <c r="Q25" s="79" t="inlineStr">
        <is>
          <t xml:space="preserve">【対象記事】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6" ht="90" customHeight="1">
      <c r="A26" s="78" t="inlineStr">
        <is>
          <t>024</t>
        </is>
      </c>
      <c r="B26" s="79" t="inlineStr">
        <is>
          <t>アイフルホーム 外壁塗装 松山市</t>
        </is>
      </c>
      <c r="C26" s="79" t="inlineStr">
        <is>
          <t>アイフルホームの外壁塗装を松山市で行う際の注意点を解説</t>
        </is>
      </c>
      <c r="D26" s="79" t="inlineStr">
        <is>
          <t>ハウスメーカー外壁塗装</t>
        </is>
      </c>
      <c r="E26" s="79" t="inlineStr">
        <is>
          <t>ハウスメーカー型</t>
        </is>
      </c>
      <c r="F26" s="78" t="inlineStr">
        <is>
          <t>eyecatches/024.png</t>
        </is>
      </c>
      <c r="G26" s="79" t="inlineStr">
        <is>
          <t>アイフルホーム 外壁塗装 松山市</t>
        </is>
      </c>
      <c r="H26" s="79" t="inlineStr">
        <is>
          <t>放置リスクと判断基準を解説</t>
        </is>
      </c>
      <c r="I26" s="79" t="inlineStr">
        <is>
          <t>無料診断で状態確認</t>
        </is>
      </c>
      <c r="J26" s="79" t="inlineStr">
        <is>
          <t>・外壁の特徴
・注意点
・塗装時期
・業者選び</t>
        </is>
      </c>
      <c r="K26" s="79" t="inlineStr">
        <is>
          <t>外壁ひび割れ・チョーキング・住宅外観</t>
        </is>
      </c>
      <c r="L26" s="79" t="inlineStr">
        <is>
          <t>職人＋困った住人</t>
        </is>
      </c>
      <c r="M26" s="79" t="inlineStr">
        <is>
          <t>松山市版</t>
        </is>
      </c>
      <c r="N26" s="79" t="inlineStr">
        <is>
          <t>外壁塗装訴求</t>
        </is>
      </c>
      <c r="O26"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6" s="79" t="inlineStr">
        <is>
          <t>外壁塗装の必要性や注意点が分かる、強めで分かりやすい画像にする。
塗り替え時期や工事のポイントを知りたい読者に向けた印象にする。</t>
        </is>
      </c>
      <c r="Q26" s="79" t="inlineStr">
        <is>
          <t xml:space="preserve">【対象記事】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7" ht="90" customHeight="1">
      <c r="A27" s="78" t="inlineStr">
        <is>
          <t>025</t>
        </is>
      </c>
      <c r="B27" s="79" t="inlineStr">
        <is>
          <t>外壁から雨漏りする原因</t>
        </is>
      </c>
      <c r="C27" s="79" t="inlineStr">
        <is>
          <t>外壁から雨漏りする原因とは？ひび割れ・コーキング劣化の対策</t>
        </is>
      </c>
      <c r="D27" s="79" t="inlineStr">
        <is>
          <t>雨漏り</t>
        </is>
      </c>
      <c r="E27" s="79" t="inlineStr">
        <is>
          <t>原因・症状型</t>
        </is>
      </c>
      <c r="F27" s="78" t="inlineStr">
        <is>
          <t>eyecatches/025.png</t>
        </is>
      </c>
      <c r="G27" s="79" t="inlineStr">
        <is>
          <t>外壁から雨漏りする原因の原因は？</t>
        </is>
      </c>
      <c r="H27" s="79" t="inlineStr">
        <is>
          <t>放置リスクと対処法を解説</t>
        </is>
      </c>
      <c r="I27" s="79" t="inlineStr">
        <is>
          <t>早めの確認が大切</t>
        </is>
      </c>
      <c r="J27" s="79" t="inlineStr">
        <is>
          <t>・劣化箇所の拡大
・雨染み
・ひび割れ</t>
        </is>
      </c>
      <c r="K27" s="79" t="inlineStr">
        <is>
          <t>劣化箇所の拡大・雨染み・ひび割れ</t>
        </is>
      </c>
      <c r="L27" s="79" t="inlineStr">
        <is>
          <t>職人</t>
        </is>
      </c>
      <c r="M27" s="79" t="inlineStr">
        <is>
          <t>松山市版</t>
        </is>
      </c>
      <c r="N27" s="79" t="inlineStr">
        <is>
          <t>原因解説訴求</t>
        </is>
      </c>
      <c r="O27"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7" s="79" t="inlineStr">
        <is>
          <t>原因や症状が一目で伝わる、分かりやすい解説型の画像にする。
放置リスクと早めの対策の大切さが伝わる印象にする。</t>
        </is>
      </c>
      <c r="Q27" s="79" t="inlineStr">
        <is>
          <t xml:space="preserve">【対象記事】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8" ht="90" customHeight="1">
      <c r="A28" s="78" t="inlineStr">
        <is>
          <t>026</t>
        </is>
      </c>
      <c r="B28" s="79" t="inlineStr">
        <is>
          <t>窓枠から雨漏りする原因</t>
        </is>
      </c>
      <c r="C28" s="79" t="inlineStr">
        <is>
          <t>窓枠から雨漏りする原因とは？サッシまわりの劣化と修理方法</t>
        </is>
      </c>
      <c r="D28" s="79" t="inlineStr">
        <is>
          <t>雨漏り</t>
        </is>
      </c>
      <c r="E28" s="79" t="inlineStr">
        <is>
          <t>原因・症状型</t>
        </is>
      </c>
      <c r="F28" s="78" t="inlineStr">
        <is>
          <t>eyecatches/026.png</t>
        </is>
      </c>
      <c r="G28" s="79" t="inlineStr">
        <is>
          <t>窓枠から雨漏りする原因の原因は？</t>
        </is>
      </c>
      <c r="H28" s="79" t="inlineStr">
        <is>
          <t>放置リスクと対処法を解説</t>
        </is>
      </c>
      <c r="I28" s="79" t="inlineStr">
        <is>
          <t>早めの確認が大切</t>
        </is>
      </c>
      <c r="J28" s="79" t="inlineStr">
        <is>
          <t>・劣化箇所の拡大
・雨染み
・ひび割れ</t>
        </is>
      </c>
      <c r="K28" s="79" t="inlineStr">
        <is>
          <t>劣化箇所の拡大・雨染み・ひび割れ</t>
        </is>
      </c>
      <c r="L28" s="79" t="inlineStr">
        <is>
          <t>職人</t>
        </is>
      </c>
      <c r="M28" s="79" t="inlineStr">
        <is>
          <t>松山市版</t>
        </is>
      </c>
      <c r="N28" s="79" t="inlineStr">
        <is>
          <t>原因解説訴求</t>
        </is>
      </c>
      <c r="O28"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8" s="79" t="inlineStr">
        <is>
          <t>原因や症状が一目で伝わる、分かりやすい解説型の画像にする。
放置リスクと早めの対策の大切さが伝わる印象にする。</t>
        </is>
      </c>
      <c r="Q28" s="79" t="inlineStr">
        <is>
          <t xml:space="preserve">【対象記事】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9" ht="90" customHeight="1">
      <c r="A29" s="78" t="inlineStr">
        <is>
          <t>027</t>
        </is>
      </c>
      <c r="B29" s="79" t="inlineStr">
        <is>
          <t>天窓雨漏り修理</t>
        </is>
      </c>
      <c r="C29" s="79" t="inlineStr">
        <is>
          <t>天窓の雨漏り修理はどうする？原因・費用・放置リスクを解説</t>
        </is>
      </c>
      <c r="D29" s="79" t="inlineStr">
        <is>
          <t>雨漏り</t>
        </is>
      </c>
      <c r="E29" s="79" t="inlineStr">
        <is>
          <t>原因・症状型</t>
        </is>
      </c>
      <c r="F29" s="78" t="inlineStr">
        <is>
          <t>eyecatches/027.png</t>
        </is>
      </c>
      <c r="G29" s="79" t="inlineStr">
        <is>
          <t>松山市の雨漏り修理</t>
        </is>
      </c>
      <c r="H29" s="79" t="inlineStr">
        <is>
          <t>原因・費用・業者選びをプロが解説</t>
        </is>
      </c>
      <c r="I29" s="79" t="inlineStr">
        <is>
          <t>無料点検受付中</t>
        </is>
      </c>
      <c r="J29" s="79" t="inlineStr">
        <is>
          <t>・天井シミ
・雨だれ
・屋根点検</t>
        </is>
      </c>
      <c r="K29" s="79" t="inlineStr">
        <is>
          <t>天井シミ・雨だれ・屋根点検</t>
        </is>
      </c>
      <c r="L29" s="79" t="inlineStr">
        <is>
          <t>ヘルメットの職人</t>
        </is>
      </c>
      <c r="M29" s="79" t="inlineStr">
        <is>
          <t>松山市版</t>
        </is>
      </c>
      <c r="N29" s="79" t="inlineStr">
        <is>
          <t>強めサムネ・雨漏り訴求</t>
        </is>
      </c>
      <c r="O29" s="79"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29" s="79" t="inlineStr">
        <is>
          <t>強めサムネ・雨漏り訴求を意識しつつ、記事テーマが一目で伝わる強めのアイキャッチにする。
読者が『この記事で何が分かるか』を瞬時に理解できる印象にする。</t>
        </is>
      </c>
      <c r="Q29" s="79" t="inlineStr">
        <is>
          <t xml:space="preserve">【対象記事】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2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30" ht="90" customHeight="1">
      <c r="A30" s="78" t="inlineStr">
        <is>
          <t>028</t>
        </is>
      </c>
      <c r="B30" s="79" t="inlineStr">
        <is>
          <t>笠木雨漏り</t>
        </is>
      </c>
      <c r="C30" s="79" t="inlineStr">
        <is>
          <t>笠木雨漏りの原因とは？ベランダ・外壁まわりの防水対策</t>
        </is>
      </c>
      <c r="D30" s="79" t="inlineStr">
        <is>
          <t>雨漏り</t>
        </is>
      </c>
      <c r="E30" s="79" t="inlineStr">
        <is>
          <t>原因・症状型</t>
        </is>
      </c>
      <c r="F30" s="78" t="inlineStr">
        <is>
          <t>eyecatches/028.png</t>
        </is>
      </c>
      <c r="G30" s="79" t="inlineStr">
        <is>
          <t>笠木雨漏り</t>
        </is>
      </c>
      <c r="H30" s="79" t="inlineStr">
        <is>
          <t>症状・費用・注意点を解説</t>
        </is>
      </c>
      <c r="I30" s="79" t="inlineStr">
        <is>
          <t>プロが分かりやすく解説</t>
        </is>
      </c>
      <c r="J30" s="79" t="inlineStr">
        <is>
          <t>・住宅外観
・劣化箇所</t>
        </is>
      </c>
      <c r="K30" s="79" t="inlineStr">
        <is>
          <t>住宅外観・劣化箇所</t>
        </is>
      </c>
      <c r="L30" s="79" t="inlineStr">
        <is>
          <t>職人</t>
        </is>
      </c>
      <c r="M30" s="79" t="inlineStr">
        <is>
          <t>松山市版</t>
        </is>
      </c>
      <c r="N30" s="79" t="inlineStr">
        <is>
          <t>汎用外装訴求</t>
        </is>
      </c>
      <c r="O30"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0" s="79" t="inlineStr">
        <is>
          <t>汎用外装訴求を意識しつつ、記事テーマが一目で伝わる強めのアイキャッチにする。
読者が『この記事で何が分かるか』を瞬時に理解できる印象にする。</t>
        </is>
      </c>
      <c r="Q30" s="79" t="inlineStr">
        <is>
          <t xml:space="preserve">【対象記事】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1" ht="90" customHeight="1">
      <c r="A31" s="78" t="inlineStr">
        <is>
          <t>029</t>
        </is>
      </c>
      <c r="B31" s="79" t="inlineStr">
        <is>
          <t>幕板雨漏り</t>
        </is>
      </c>
      <c r="C31" s="79" t="inlineStr">
        <is>
          <t>幕板から雨漏りする原因とは？劣化症状と補修方法を解説</t>
        </is>
      </c>
      <c r="D31" s="79" t="inlineStr">
        <is>
          <t>雨漏り</t>
        </is>
      </c>
      <c r="E31" s="79" t="inlineStr">
        <is>
          <t>原因・症状型</t>
        </is>
      </c>
      <c r="F31" s="78" t="inlineStr">
        <is>
          <t>eyecatches/029.png</t>
        </is>
      </c>
      <c r="G31" s="79" t="inlineStr">
        <is>
          <t>幕板雨漏り</t>
        </is>
      </c>
      <c r="H31" s="79" t="inlineStr">
        <is>
          <t>症状・費用・注意点を解説</t>
        </is>
      </c>
      <c r="I31" s="79" t="inlineStr">
        <is>
          <t>プロが分かりやすく解説</t>
        </is>
      </c>
      <c r="J31" s="79" t="inlineStr">
        <is>
          <t>・劣化症状
・補修・塗装方法
・費用相場
・メンテ時期</t>
        </is>
      </c>
      <c r="K31" s="79" t="inlineStr">
        <is>
          <t>住宅外観・劣化箇所</t>
        </is>
      </c>
      <c r="L31" s="79" t="inlineStr">
        <is>
          <t>職人</t>
        </is>
      </c>
      <c r="M31" s="79" t="inlineStr">
        <is>
          <t>松山市版</t>
        </is>
      </c>
      <c r="N31" s="79" t="inlineStr">
        <is>
          <t>汎用外装訴求</t>
        </is>
      </c>
      <c r="O31"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1" s="79" t="inlineStr">
        <is>
          <t>汎用外装訴求を意識しつつ、記事テーマが一目で伝わる強めのアイキャッチにする。
読者が『この記事で何が分かるか』を瞬時に理解できる印象にする。</t>
        </is>
      </c>
      <c r="Q31" s="79" t="inlineStr">
        <is>
          <t xml:space="preserve">【対象記事】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2" ht="90" customHeight="1">
      <c r="A32" s="78" t="inlineStr">
        <is>
          <t>030</t>
        </is>
      </c>
      <c r="B32" s="79" t="inlineStr">
        <is>
          <t>バルコニー雨漏り</t>
        </is>
      </c>
      <c r="C32" s="79" t="inlineStr">
        <is>
          <t>バルコニー雨漏りの原因と修理方法｜防水工事の費用目安も解説</t>
        </is>
      </c>
      <c r="D32" s="79" t="inlineStr">
        <is>
          <t>雨漏り</t>
        </is>
      </c>
      <c r="E32" s="79" t="inlineStr">
        <is>
          <t>原因・症状型</t>
        </is>
      </c>
      <c r="F32" s="78" t="inlineStr">
        <is>
          <t>eyecatches/030.png</t>
        </is>
      </c>
      <c r="G32" s="79" t="inlineStr">
        <is>
          <t>バルコニー雨漏り</t>
        </is>
      </c>
      <c r="H32" s="79" t="inlineStr">
        <is>
          <t>症状・費用・注意点を解説</t>
        </is>
      </c>
      <c r="I32" s="79" t="inlineStr">
        <is>
          <t>プロが分かりやすく解説</t>
        </is>
      </c>
      <c r="J32" s="79" t="inlineStr">
        <is>
          <t>・住宅外観
・劣化箇所</t>
        </is>
      </c>
      <c r="K32" s="79" t="inlineStr">
        <is>
          <t>住宅外観・劣化箇所</t>
        </is>
      </c>
      <c r="L32" s="79" t="inlineStr">
        <is>
          <t>職人</t>
        </is>
      </c>
      <c r="M32" s="79" t="inlineStr">
        <is>
          <t>松山市版</t>
        </is>
      </c>
      <c r="N32" s="79" t="inlineStr">
        <is>
          <t>汎用外装訴求</t>
        </is>
      </c>
      <c r="O32"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2" s="79" t="inlineStr">
        <is>
          <t>汎用外装訴求を意識しつつ、記事テーマが一目で伝わる強めのアイキャッチにする。
読者が『この記事で何が分かるか』を瞬時に理解できる印象にする。</t>
        </is>
      </c>
      <c r="Q32" s="79" t="inlineStr">
        <is>
          <t xml:space="preserve">【対象記事】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3" ht="90" customHeight="1">
      <c r="A33" s="78" t="inlineStr">
        <is>
          <t>031</t>
        </is>
      </c>
      <c r="B33" s="79" t="inlineStr">
        <is>
          <t>軒天雨漏り</t>
        </is>
      </c>
      <c r="C33" s="79" t="inlineStr">
        <is>
          <t>軒天の雨漏りは危険？シミ・剥がれの原因と補修方法</t>
        </is>
      </c>
      <c r="D33" s="79" t="inlineStr">
        <is>
          <t>雨漏り</t>
        </is>
      </c>
      <c r="E33" s="79" t="inlineStr">
        <is>
          <t>原因・症状型</t>
        </is>
      </c>
      <c r="F33" s="78" t="inlineStr">
        <is>
          <t>eyecatches/031.png</t>
        </is>
      </c>
      <c r="G33" s="79" t="inlineStr">
        <is>
          <t>軒天雨漏り</t>
        </is>
      </c>
      <c r="H33" s="79" t="inlineStr">
        <is>
          <t>シミ・黒ずみ・剥がれは要注意</t>
        </is>
      </c>
      <c r="I33" s="79" t="inlineStr">
        <is>
          <t>補修と塗装の判断ポイント</t>
        </is>
      </c>
      <c r="J33" s="79" t="inlineStr">
        <is>
          <t>・劣化症状
・原因
・補修・塗装方法
・費用相場</t>
        </is>
      </c>
      <c r="K33" s="79" t="inlineStr">
        <is>
          <t>軒天シミ・黒ずみ・住宅軒下</t>
        </is>
      </c>
      <c r="L33" s="79" t="inlineStr">
        <is>
          <t>見上げる住人＋職人</t>
        </is>
      </c>
      <c r="M33" s="79" t="inlineStr">
        <is>
          <t>松山市版</t>
        </is>
      </c>
      <c r="N33" s="79" t="inlineStr">
        <is>
          <t>軒天訴求</t>
        </is>
      </c>
      <c r="O33"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33" s="79" t="inlineStr">
        <is>
          <t>軒天訴求を意識しつつ、記事テーマが一目で伝わる強めのアイキャッチにする。
読者が『この記事で何が分かるか』を瞬時に理解できる印象にする。</t>
        </is>
      </c>
      <c r="Q33" s="79" t="inlineStr">
        <is>
          <t xml:space="preserve">【対象記事】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
</t>
        </is>
      </c>
      <c r="R3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t>
        </is>
      </c>
    </row>
    <row r="34" ht="90" customHeight="1">
      <c r="A34" s="78" t="inlineStr">
        <is>
          <t>032</t>
        </is>
      </c>
      <c r="B34" s="79" t="inlineStr">
        <is>
          <t>雨漏り火災保険</t>
        </is>
      </c>
      <c r="C34" s="79" t="inlineStr">
        <is>
          <t>雨漏り修理に火災保険は使える？対象条件と申請前の注意点</t>
        </is>
      </c>
      <c r="D34" s="79" t="inlineStr">
        <is>
          <t>雨漏り</t>
        </is>
      </c>
      <c r="E34" s="79" t="inlineStr">
        <is>
          <t>原因・症状型</t>
        </is>
      </c>
      <c r="F34" s="78" t="inlineStr">
        <is>
          <t>eyecatches/032.png</t>
        </is>
      </c>
      <c r="G34" s="79" t="inlineStr">
        <is>
          <t>雨漏り火災保険</t>
        </is>
      </c>
      <c r="H34" s="79" t="inlineStr">
        <is>
          <t>症状・費用・注意点を解説</t>
        </is>
      </c>
      <c r="I34" s="79" t="inlineStr">
        <is>
          <t>プロが分かりやすく解説</t>
        </is>
      </c>
      <c r="J34" s="79" t="inlineStr">
        <is>
          <t>・適用条件
・対象工事
・申請の流れ
・注意点</t>
        </is>
      </c>
      <c r="K34" s="79" t="inlineStr">
        <is>
          <t>住宅外観・劣化箇所</t>
        </is>
      </c>
      <c r="L34" s="79" t="inlineStr">
        <is>
          <t>職人</t>
        </is>
      </c>
      <c r="M34" s="79" t="inlineStr">
        <is>
          <t>松山市版</t>
        </is>
      </c>
      <c r="N34" s="79" t="inlineStr">
        <is>
          <t>汎用外装訴求</t>
        </is>
      </c>
      <c r="O34" s="79" t="inlineStr">
        <is>
          <t>住宅外観、劣化箇所が分かる背景にする。
職人が、住まいの状態を確認しながら、ポイントを説明している。
保険申請、書類、屋根被害のイメージを分かりやすく配置する。
「松山市版」の小さなラベルを入れる。</t>
        </is>
      </c>
      <c r="P34" s="79" t="inlineStr">
        <is>
          <t>汎用外装訴求を意識しつつ、記事テーマが一目で伝わる強めのアイキャッチにする。
読者が『この記事で何が分かるか』を瞬時に理解できる印象にする。</t>
        </is>
      </c>
      <c r="Q34" s="79" t="inlineStr">
        <is>
          <t xml:space="preserve">【対象記事】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5" ht="90" customHeight="1">
      <c r="A35" s="78" t="inlineStr">
        <is>
          <t>033</t>
        </is>
      </c>
      <c r="B35" s="79" t="inlineStr">
        <is>
          <t>コーキング劣化 雨漏り</t>
        </is>
      </c>
      <c r="C35" s="79" t="inlineStr">
        <is>
          <t>コーキング劣化で雨漏りする原因とは？補修時期と費用を解説</t>
        </is>
      </c>
      <c r="D35" s="79" t="inlineStr">
        <is>
          <t>防水・シーリング</t>
        </is>
      </c>
      <c r="E35" s="79" t="inlineStr">
        <is>
          <t>防水・シーリング型</t>
        </is>
      </c>
      <c r="F35" s="78" t="inlineStr">
        <is>
          <t>eyecatches/033.png</t>
        </is>
      </c>
      <c r="G35" s="79" t="inlineStr">
        <is>
          <t>コーキング劣化 雨漏り</t>
        </is>
      </c>
      <c r="H35" s="79" t="inlineStr">
        <is>
          <t>雨漏り前に防水状態をチェック</t>
        </is>
      </c>
      <c r="I35" s="79" t="inlineStr">
        <is>
          <t>費用・耐用年数を解説</t>
        </is>
      </c>
      <c r="J35" s="79" t="inlineStr">
        <is>
          <t>・劣化症状
・工法の違い
・費用相場
・メンテ時期</t>
        </is>
      </c>
      <c r="K35" s="79" t="inlineStr">
        <is>
          <t>ベランダ床・防水層・排水口</t>
        </is>
      </c>
      <c r="L35" s="79" t="inlineStr">
        <is>
          <t>点検する職人</t>
        </is>
      </c>
      <c r="M35" s="79" t="inlineStr">
        <is>
          <t>松山市版</t>
        </is>
      </c>
      <c r="N35" s="79" t="inlineStr">
        <is>
          <t>防水訴求</t>
        </is>
      </c>
      <c r="O35"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5" s="79" t="inlineStr">
        <is>
          <t>防水やシーリングの重要性が一目で伝わる画像にする。
劣化症状、費用、工法の違いが分かる実用的な印象にする。</t>
        </is>
      </c>
      <c r="Q35" s="79" t="inlineStr">
        <is>
          <t xml:space="preserve">【対象記事】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6" ht="90" customHeight="1">
      <c r="A36" s="78" t="inlineStr">
        <is>
          <t>034</t>
        </is>
      </c>
      <c r="B36" s="79" t="inlineStr">
        <is>
          <t>外壁ひび割れ 雨漏り</t>
        </is>
      </c>
      <c r="C36" s="79" t="inlineStr">
        <is>
          <t>外壁ひび割れで雨漏りする？危険な症状と補修方法を解説</t>
        </is>
      </c>
      <c r="D36" s="79" t="inlineStr">
        <is>
          <t>防水・シーリング</t>
        </is>
      </c>
      <c r="E36" s="79" t="inlineStr">
        <is>
          <t>防水・シーリング型</t>
        </is>
      </c>
      <c r="F36" s="78" t="inlineStr">
        <is>
          <t>eyecatches/034.png</t>
        </is>
      </c>
      <c r="G36" s="79" t="inlineStr">
        <is>
          <t>外壁ひび割れ 雨漏り</t>
        </is>
      </c>
      <c r="H36" s="79" t="inlineStr">
        <is>
          <t>雨漏り前に防水状態をチェック</t>
        </is>
      </c>
      <c r="I36" s="79" t="inlineStr">
        <is>
          <t>費用・耐用年数を解説</t>
        </is>
      </c>
      <c r="J36" s="79" t="inlineStr">
        <is>
          <t>・ベランダ床
・防水層
・排水口</t>
        </is>
      </c>
      <c r="K36" s="79" t="inlineStr">
        <is>
          <t>ベランダ床・防水層・排水口</t>
        </is>
      </c>
      <c r="L36" s="79" t="inlineStr">
        <is>
          <t>点検する職人</t>
        </is>
      </c>
      <c r="M36" s="79" t="inlineStr">
        <is>
          <t>松山市版</t>
        </is>
      </c>
      <c r="N36" s="79" t="inlineStr">
        <is>
          <t>防水訴求</t>
        </is>
      </c>
      <c r="O36"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6" s="79" t="inlineStr">
        <is>
          <t>防水やシーリングの重要性が一目で伝わる画像にする。
劣化症状、費用、工法の違いが分かる実用的な印象にする。</t>
        </is>
      </c>
      <c r="Q36" s="79" t="inlineStr">
        <is>
          <t xml:space="preserve">【対象記事】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7" ht="90" customHeight="1">
      <c r="A37" s="78" t="inlineStr">
        <is>
          <t>035</t>
        </is>
      </c>
      <c r="B37" s="79" t="inlineStr">
        <is>
          <t>シーリング打ち替え 費用</t>
        </is>
      </c>
      <c r="C37" s="79" t="inlineStr">
        <is>
          <t>シーリング打ち替え費用はいくら？相場・内訳・注意点を解説</t>
        </is>
      </c>
      <c r="D37" s="79" t="inlineStr">
        <is>
          <t>防水・シーリング</t>
        </is>
      </c>
      <c r="E37" s="79" t="inlineStr">
        <is>
          <t>費用・相場型</t>
        </is>
      </c>
      <c r="F37" s="78" t="inlineStr">
        <is>
          <t>eyecatches/035.png</t>
        </is>
      </c>
      <c r="G37" s="79" t="inlineStr">
        <is>
          <t>シーリング打ち替え 費用</t>
        </is>
      </c>
      <c r="H37" s="79" t="inlineStr">
        <is>
          <t>雨漏り前に防水状態をチェック</t>
        </is>
      </c>
      <c r="I37" s="79" t="inlineStr">
        <is>
          <t>費用・耐用年数を解説</t>
        </is>
      </c>
      <c r="J37" s="79" t="inlineStr">
        <is>
          <t>・既存撤去
・打ち替え工程
・材料の違い
・費用相場</t>
        </is>
      </c>
      <c r="K37" s="79" t="inlineStr">
        <is>
          <t>ベランダ床・防水層・排水口</t>
        </is>
      </c>
      <c r="L37" s="79" t="inlineStr">
        <is>
          <t>点検する職人</t>
        </is>
      </c>
      <c r="M37" s="79" t="inlineStr">
        <is>
          <t>松山市版</t>
        </is>
      </c>
      <c r="N37" s="79" t="inlineStr">
        <is>
          <t>防水訴求</t>
        </is>
      </c>
      <c r="O37"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7" s="79" t="inlineStr">
        <is>
          <t>費用への不安を持つ読者に向けて、相場や内訳が分かりやすい印象にする。
安売り感ではなく、無料見積りで納得して相談できる安心感を出す。</t>
        </is>
      </c>
      <c r="Q37" s="79" t="inlineStr">
        <is>
          <t xml:space="preserve">【対象記事】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8" ht="90" customHeight="1">
      <c r="A38" s="78" t="inlineStr">
        <is>
          <t>036</t>
        </is>
      </c>
      <c r="B38" s="79" t="inlineStr">
        <is>
          <t>オートンイクシード 費用</t>
        </is>
      </c>
      <c r="C38" s="79" t="inlineStr">
        <is>
          <t>オートンイクシードの費用は高い？特徴・相場・向いている住宅</t>
        </is>
      </c>
      <c r="D38" s="79" t="inlineStr">
        <is>
          <t>防水・シーリング</t>
        </is>
      </c>
      <c r="E38" s="79" t="inlineStr">
        <is>
          <t>費用・相場型</t>
        </is>
      </c>
      <c r="F38" s="78" t="inlineStr">
        <is>
          <t>eyecatches/036.png</t>
        </is>
      </c>
      <c r="G38" s="79" t="inlineStr">
        <is>
          <t>オートンイクシード 費用</t>
        </is>
      </c>
      <c r="H38" s="79" t="inlineStr">
        <is>
          <t>雨漏り前に防水状態をチェック</t>
        </is>
      </c>
      <c r="I38" s="79" t="inlineStr">
        <is>
          <t>費用・耐用年数を解説</t>
        </is>
      </c>
      <c r="J38" s="79" t="inlineStr">
        <is>
          <t>・高耐久シーリング
・耐久性
・費用相場
・選び方</t>
        </is>
      </c>
      <c r="K38" s="79" t="inlineStr">
        <is>
          <t>ベランダ床・防水層・排水口</t>
        </is>
      </c>
      <c r="L38" s="79" t="inlineStr">
        <is>
          <t>点検する職人</t>
        </is>
      </c>
      <c r="M38" s="79" t="inlineStr">
        <is>
          <t>松山市版</t>
        </is>
      </c>
      <c r="N38" s="79" t="inlineStr">
        <is>
          <t>防水訴求</t>
        </is>
      </c>
      <c r="O38"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8" s="79" t="inlineStr">
        <is>
          <t>費用への不安を持つ読者に向けて、相場や内訳が分かりやすい印象にする。
安売り感ではなく、無料見積りで納得して相談できる安心感を出す。</t>
        </is>
      </c>
      <c r="Q38" s="79" t="inlineStr">
        <is>
          <t xml:space="preserve">【対象記事】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9" ht="90" customHeight="1">
      <c r="A39" s="78" t="inlineStr">
        <is>
          <t>037</t>
        </is>
      </c>
      <c r="B39" s="79" t="inlineStr">
        <is>
          <t>ベランダ防水 費用</t>
        </is>
      </c>
      <c r="C39" s="79" t="inlineStr">
        <is>
          <t>ベランダ防水の費用相場はいくら？工法別の違いと注意点</t>
        </is>
      </c>
      <c r="D39" s="79" t="inlineStr">
        <is>
          <t>防水・シーリング</t>
        </is>
      </c>
      <c r="E39" s="79" t="inlineStr">
        <is>
          <t>費用・相場型</t>
        </is>
      </c>
      <c r="F39" s="78" t="inlineStr">
        <is>
          <t>eyecatches/037.png</t>
        </is>
      </c>
      <c r="G39" s="79" t="inlineStr">
        <is>
          <t>ベランダ防水 費用</t>
        </is>
      </c>
      <c r="H39" s="79" t="inlineStr">
        <is>
          <t>雨漏り前に防水状態をチェック</t>
        </is>
      </c>
      <c r="I39" s="79" t="inlineStr">
        <is>
          <t>費用・耐用年数を解説</t>
        </is>
      </c>
      <c r="J39" s="79" t="inlineStr">
        <is>
          <t>・費用相場
・内訳
・工事内容
・見積りの見方</t>
        </is>
      </c>
      <c r="K39" s="79" t="inlineStr">
        <is>
          <t>ベランダ床・防水層・排水口</t>
        </is>
      </c>
      <c r="L39" s="79" t="inlineStr">
        <is>
          <t>点検する職人</t>
        </is>
      </c>
      <c r="M39" s="79" t="inlineStr">
        <is>
          <t>松山市版</t>
        </is>
      </c>
      <c r="N39" s="79" t="inlineStr">
        <is>
          <t>防水訴求</t>
        </is>
      </c>
      <c r="O39"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9" s="79" t="inlineStr">
        <is>
          <t>費用への不安を持つ読者に向けて、相場や内訳が分かりやすい印象にする。
安売り感ではなく、無料見積りで納得して相談できる安心感を出す。</t>
        </is>
      </c>
      <c r="Q39" s="79" t="inlineStr">
        <is>
          <t xml:space="preserve">【対象記事】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40" ht="90" customHeight="1">
      <c r="A40" s="78" t="inlineStr">
        <is>
          <t>038</t>
        </is>
      </c>
      <c r="B40" s="79" t="inlineStr">
        <is>
          <t>FRP防水 耐用年数</t>
        </is>
      </c>
      <c r="C40" s="79" t="inlineStr">
        <is>
          <t>FRP防水の耐用年数はどれくらい？劣化症状とメンテナンス時期</t>
        </is>
      </c>
      <c r="D40" s="79" t="inlineStr">
        <is>
          <t>防水・シーリング</t>
        </is>
      </c>
      <c r="E40" s="79" t="inlineStr">
        <is>
          <t>防水・シーリング型</t>
        </is>
      </c>
      <c r="F40" s="78" t="inlineStr">
        <is>
          <t>eyecatches/038.png</t>
        </is>
      </c>
      <c r="G40" s="79" t="inlineStr">
        <is>
          <t>FRP防水 耐用年数</t>
        </is>
      </c>
      <c r="H40" s="79" t="inlineStr">
        <is>
          <t>雨漏り前に防水状態をチェック</t>
        </is>
      </c>
      <c r="I40" s="79" t="inlineStr">
        <is>
          <t>費用・耐用年数を解説</t>
        </is>
      </c>
      <c r="J40" s="79" t="inlineStr">
        <is>
          <t>・耐用年数
・劣化サイン
・メンテ時期
・注意点</t>
        </is>
      </c>
      <c r="K40" s="79" t="inlineStr">
        <is>
          <t>ベランダ床・防水層・排水口</t>
        </is>
      </c>
      <c r="L40" s="79" t="inlineStr">
        <is>
          <t>点検する職人</t>
        </is>
      </c>
      <c r="M40" s="79" t="inlineStr">
        <is>
          <t>松山市版</t>
        </is>
      </c>
      <c r="N40" s="79" t="inlineStr">
        <is>
          <t>防水訴求</t>
        </is>
      </c>
      <c r="O40"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0" s="79" t="inlineStr">
        <is>
          <t>防水やシーリングの重要性が一目で伝わる画像にする。
劣化症状、費用、工法の違いが分かる実用的な印象にする。</t>
        </is>
      </c>
      <c r="Q40" s="79" t="inlineStr">
        <is>
          <t xml:space="preserve">【対象記事】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1" ht="90" customHeight="1">
      <c r="A41" s="78" t="inlineStr">
        <is>
          <t>039</t>
        </is>
      </c>
      <c r="B41" s="79" t="inlineStr">
        <is>
          <t>ウレタン防水 耐用年数</t>
        </is>
      </c>
      <c r="C41" s="79" t="inlineStr">
        <is>
          <t>ウレタン防水の耐用年数は？メリット・劣化症状・補修時期</t>
        </is>
      </c>
      <c r="D41" s="79" t="inlineStr">
        <is>
          <t>防水・シーリング</t>
        </is>
      </c>
      <c r="E41" s="79" t="inlineStr">
        <is>
          <t>防水・シーリング型</t>
        </is>
      </c>
      <c r="F41" s="78" t="inlineStr">
        <is>
          <t>eyecatches/039.png</t>
        </is>
      </c>
      <c r="G41" s="79" t="inlineStr">
        <is>
          <t>ウレタン防水 耐用年数</t>
        </is>
      </c>
      <c r="H41" s="79" t="inlineStr">
        <is>
          <t>雨漏り前に防水状態をチェック</t>
        </is>
      </c>
      <c r="I41" s="79" t="inlineStr">
        <is>
          <t>費用・耐用年数を解説</t>
        </is>
      </c>
      <c r="J41" s="79" t="inlineStr">
        <is>
          <t>・耐用年数
・劣化サイン
・メンテ時期
・注意点</t>
        </is>
      </c>
      <c r="K41" s="79" t="inlineStr">
        <is>
          <t>ベランダ床・防水層・排水口</t>
        </is>
      </c>
      <c r="L41" s="79" t="inlineStr">
        <is>
          <t>点検する職人</t>
        </is>
      </c>
      <c r="M41" s="79" t="inlineStr">
        <is>
          <t>松山市版</t>
        </is>
      </c>
      <c r="N41" s="79" t="inlineStr">
        <is>
          <t>防水訴求</t>
        </is>
      </c>
      <c r="O41"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1" s="79" t="inlineStr">
        <is>
          <t>防水やシーリングの重要性が一目で伝わる画像にする。
劣化症状、費用、工法の違いが分かる実用的な印象にする。</t>
        </is>
      </c>
      <c r="Q41" s="79" t="inlineStr">
        <is>
          <t xml:space="preserve">【対象記事】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2" ht="90" customHeight="1">
      <c r="A42" s="78" t="inlineStr">
        <is>
          <t>040</t>
        </is>
      </c>
      <c r="B42" s="79" t="inlineStr">
        <is>
          <t>塩ビシート防水 耐用年数</t>
        </is>
      </c>
      <c r="C42" s="79" t="inlineStr">
        <is>
          <t>塩ビシート防水の耐用年数は？特徴・劣化症状・注意点</t>
        </is>
      </c>
      <c r="D42" s="79" t="inlineStr">
        <is>
          <t>防水・シーリング</t>
        </is>
      </c>
      <c r="E42" s="79" t="inlineStr">
        <is>
          <t>防水・シーリング型</t>
        </is>
      </c>
      <c r="F42" s="78" t="inlineStr">
        <is>
          <t>eyecatches/040.png</t>
        </is>
      </c>
      <c r="G42" s="79" t="inlineStr">
        <is>
          <t>塩ビシート防水 耐用年数</t>
        </is>
      </c>
      <c r="H42" s="79" t="inlineStr">
        <is>
          <t>雨漏り前に防水状態をチェック</t>
        </is>
      </c>
      <c r="I42" s="79" t="inlineStr">
        <is>
          <t>費用・耐用年数を解説</t>
        </is>
      </c>
      <c r="J42" s="79" t="inlineStr">
        <is>
          <t>・耐用年数
・劣化サイン
・メンテ時期
・注意点</t>
        </is>
      </c>
      <c r="K42" s="79" t="inlineStr">
        <is>
          <t>ベランダ床・防水層・排水口</t>
        </is>
      </c>
      <c r="L42" s="79" t="inlineStr">
        <is>
          <t>点検する職人</t>
        </is>
      </c>
      <c r="M42" s="79" t="inlineStr">
        <is>
          <t>松山市版</t>
        </is>
      </c>
      <c r="N42" s="79" t="inlineStr">
        <is>
          <t>防水訴求</t>
        </is>
      </c>
      <c r="O42"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2" s="79" t="inlineStr">
        <is>
          <t>防水やシーリングの重要性が一目で伝わる画像にする。
劣化症状、費用、工法の違いが分かる実用的な印象にする。</t>
        </is>
      </c>
      <c r="Q42" s="79" t="inlineStr">
        <is>
          <t xml:space="preserve">【対象記事】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3" ht="90" customHeight="1">
      <c r="A43" s="78" t="inlineStr">
        <is>
          <t>041</t>
        </is>
      </c>
      <c r="B43" s="79" t="inlineStr">
        <is>
          <t>屋根カバー メリット</t>
        </is>
      </c>
      <c r="C43" s="79" t="inlineStr">
        <is>
          <t>屋根カバー工法のメリットとは？費用・注意点・向いている屋根</t>
        </is>
      </c>
      <c r="D43" s="79" t="inlineStr">
        <is>
          <t>屋根修理・屋根材</t>
        </is>
      </c>
      <c r="E43" s="79" t="inlineStr">
        <is>
          <t>地域サービス型</t>
        </is>
      </c>
      <c r="F43" s="78" t="inlineStr">
        <is>
          <t>eyecatches/041.png</t>
        </is>
      </c>
      <c r="G43" s="79" t="inlineStr">
        <is>
          <t>屋根カバー メリット</t>
        </is>
      </c>
      <c r="H43" s="79" t="inlineStr">
        <is>
          <t>雨漏り前に劣化を確認</t>
        </is>
      </c>
      <c r="I43" s="79" t="inlineStr">
        <is>
          <t>屋根点検・修理方法を解説</t>
        </is>
      </c>
      <c r="J43" s="79" t="inlineStr">
        <is>
          <t>・主なメリット
・向いている家
・注意点
・選び方</t>
        </is>
      </c>
      <c r="K43" s="79" t="inlineStr">
        <is>
          <t>屋根材・瓦・板金・雨空</t>
        </is>
      </c>
      <c r="L43" s="79" t="inlineStr">
        <is>
          <t>屋根を点検する職人</t>
        </is>
      </c>
      <c r="M43" s="79" t="inlineStr">
        <is>
          <t>松山市版</t>
        </is>
      </c>
      <c r="N43" s="79" t="inlineStr">
        <is>
          <t>屋根修理訴求</t>
        </is>
      </c>
      <c r="O43"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3" s="79" t="inlineStr">
        <is>
          <t>屋根の劣化や修理の必要性がひと目で伝わる画像にする。
専門性を感じさせつつ、地域で相談できる安心感も出す。</t>
        </is>
      </c>
      <c r="Q43" s="79" t="inlineStr">
        <is>
          <t xml:space="preserve">【対象記事】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4" ht="90" customHeight="1">
      <c r="A44" s="78" t="inlineStr">
        <is>
          <t>042</t>
        </is>
      </c>
      <c r="B44" s="79" t="inlineStr">
        <is>
          <t>ガルテクト デメリット</t>
        </is>
      </c>
      <c r="C44" s="79" t="inlineStr">
        <is>
          <t>ガルテクトのデメリットとは？屋根カバー前に知りたい注意点</t>
        </is>
      </c>
      <c r="D44" s="79" t="inlineStr">
        <is>
          <t>屋根修理・屋根材</t>
        </is>
      </c>
      <c r="E44" s="79" t="inlineStr">
        <is>
          <t>屋根材注意型</t>
        </is>
      </c>
      <c r="F44" s="78" t="inlineStr">
        <is>
          <t>eyecatches/042.png</t>
        </is>
      </c>
      <c r="G44" s="79" t="inlineStr">
        <is>
          <t>ガルテクト デメリット</t>
        </is>
      </c>
      <c r="H44" s="79" t="inlineStr">
        <is>
          <t>雨漏り前に劣化を確認</t>
        </is>
      </c>
      <c r="I44" s="79" t="inlineStr">
        <is>
          <t>屋根点検・修理方法を解説</t>
        </is>
      </c>
      <c r="J44" s="79" t="inlineStr">
        <is>
          <t>・主なメリット
・向いている家
・注意点
・選び方</t>
        </is>
      </c>
      <c r="K44" s="79" t="inlineStr">
        <is>
          <t>屋根材・瓦・板金・雨空</t>
        </is>
      </c>
      <c r="L44" s="79" t="inlineStr">
        <is>
          <t>屋根を点検する職人</t>
        </is>
      </c>
      <c r="M44" s="79" t="inlineStr">
        <is>
          <t>松山市版</t>
        </is>
      </c>
      <c r="N44" s="79" t="inlineStr">
        <is>
          <t>屋根修理訴求</t>
        </is>
      </c>
      <c r="O44"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4" s="79" t="inlineStr">
        <is>
          <t>屋根の劣化や修理の必要性がひと目で伝わる画像にする。
専門性を感じさせつつ、地域で相談できる安心感も出す。</t>
        </is>
      </c>
      <c r="Q44" s="79" t="inlineStr">
        <is>
          <t xml:space="preserve">【対象記事】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5" ht="90" customHeight="1">
      <c r="A45" s="78" t="inlineStr">
        <is>
          <t>043</t>
        </is>
      </c>
      <c r="B45" s="79" t="inlineStr">
        <is>
          <t>ヴェルウッド デメリット</t>
        </is>
      </c>
      <c r="C45" s="79" t="inlineStr">
        <is>
          <t>ヴェルウッドのデメリットとは？屋根材選びで確認したいポイント</t>
        </is>
      </c>
      <c r="D45" s="79" t="inlineStr">
        <is>
          <t>屋根修理・屋根材</t>
        </is>
      </c>
      <c r="E45" s="79" t="inlineStr">
        <is>
          <t>屋根材注意型</t>
        </is>
      </c>
      <c r="F45" s="78" t="inlineStr">
        <is>
          <t>eyecatches/043.png</t>
        </is>
      </c>
      <c r="G45" s="79" t="inlineStr">
        <is>
          <t>ヴェルウッド デメリット</t>
        </is>
      </c>
      <c r="H45" s="79" t="inlineStr">
        <is>
          <t>雨漏り前に劣化を確認</t>
        </is>
      </c>
      <c r="I45" s="79" t="inlineStr">
        <is>
          <t>屋根点検・修理方法を解説</t>
        </is>
      </c>
      <c r="J45" s="79" t="inlineStr">
        <is>
          <t>・主なメリット
・向いている家
・注意点
・選び方</t>
        </is>
      </c>
      <c r="K45" s="79" t="inlineStr">
        <is>
          <t>屋根材・瓦・板金・雨空</t>
        </is>
      </c>
      <c r="L45" s="79" t="inlineStr">
        <is>
          <t>屋根を点検する職人</t>
        </is>
      </c>
      <c r="M45" s="79" t="inlineStr">
        <is>
          <t>松山市版</t>
        </is>
      </c>
      <c r="N45" s="79" t="inlineStr">
        <is>
          <t>屋根修理訴求</t>
        </is>
      </c>
      <c r="O45"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5" s="79" t="inlineStr">
        <is>
          <t>屋根の劣化や修理の必要性がひと目で伝わる画像にする。
専門性を感じさせつつ、地域で相談できる安心感も出す。</t>
        </is>
      </c>
      <c r="Q45" s="79" t="inlineStr">
        <is>
          <t xml:space="preserve">【対象記事】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6" ht="90" customHeight="1">
      <c r="A46" s="78" t="inlineStr">
        <is>
          <t>044</t>
        </is>
      </c>
      <c r="B46" s="79" t="inlineStr">
        <is>
          <t>パミール 屋根 対策</t>
        </is>
      </c>
      <c r="C46" s="79" t="inlineStr">
        <is>
          <t>パミール屋根の対策とは？塗装できない理由と修理方法を解説</t>
        </is>
      </c>
      <c r="D46" s="79" t="inlineStr">
        <is>
          <t>屋根修理・屋根材</t>
        </is>
      </c>
      <c r="E46" s="79" t="inlineStr">
        <is>
          <t>屋根材注意型</t>
        </is>
      </c>
      <c r="F46" s="78" t="inlineStr">
        <is>
          <t>eyecatches/044.png</t>
        </is>
      </c>
      <c r="G46" s="79" t="inlineStr">
        <is>
          <t>パミール 屋根 対策</t>
        </is>
      </c>
      <c r="H46" s="79" t="inlineStr">
        <is>
          <t>雨漏り前に劣化を確認</t>
        </is>
      </c>
      <c r="I46" s="79" t="inlineStr">
        <is>
          <t>屋根点検・修理方法を解説</t>
        </is>
      </c>
      <c r="J46" s="79" t="inlineStr">
        <is>
          <t>・劣化症状
・原因
・補修方法
・再発防止</t>
        </is>
      </c>
      <c r="K46" s="79" t="inlineStr">
        <is>
          <t>屋根材・瓦・板金・雨空</t>
        </is>
      </c>
      <c r="L46" s="79" t="inlineStr">
        <is>
          <t>屋根を点検する職人</t>
        </is>
      </c>
      <c r="M46" s="79" t="inlineStr">
        <is>
          <t>松山市版</t>
        </is>
      </c>
      <c r="N46" s="79" t="inlineStr">
        <is>
          <t>屋根修理訴求</t>
        </is>
      </c>
      <c r="O46"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6" s="79" t="inlineStr">
        <is>
          <t>屋根の劣化や修理の必要性がひと目で伝わる画像にする。
専門性を感じさせつつ、地域で相談できる安心感も出す。</t>
        </is>
      </c>
      <c r="Q46" s="79" t="inlineStr">
        <is>
          <t xml:space="preserve">【対象記事】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7" ht="90" customHeight="1">
      <c r="A47" s="78" t="inlineStr">
        <is>
          <t>045</t>
        </is>
      </c>
      <c r="B47" s="79" t="inlineStr">
        <is>
          <t>コロニアルNEO 雨漏り</t>
        </is>
      </c>
      <c r="C47" s="79" t="inlineStr">
        <is>
          <t>コロニアルNEOは雨漏りしやすい？劣化症状と対策を解説</t>
        </is>
      </c>
      <c r="D47" s="79" t="inlineStr">
        <is>
          <t>屋根修理・屋根材</t>
        </is>
      </c>
      <c r="E47" s="79" t="inlineStr">
        <is>
          <t>屋根材注意型</t>
        </is>
      </c>
      <c r="F47" s="78" t="inlineStr">
        <is>
          <t>eyecatches/045.png</t>
        </is>
      </c>
      <c r="G47" s="79" t="inlineStr">
        <is>
          <t>コロニアルNEO 雨漏り</t>
        </is>
      </c>
      <c r="H47" s="79" t="inlineStr">
        <is>
          <t>雨漏り前に劣化を確認</t>
        </is>
      </c>
      <c r="I47" s="79" t="inlineStr">
        <is>
          <t>屋根点検・修理方法を解説</t>
        </is>
      </c>
      <c r="J47" s="79" t="inlineStr">
        <is>
          <t>・屋根材の特徴
・注意点
・劣化症状
・対策</t>
        </is>
      </c>
      <c r="K47" s="79" t="inlineStr">
        <is>
          <t>屋根材・瓦・板金・雨空</t>
        </is>
      </c>
      <c r="L47" s="79" t="inlineStr">
        <is>
          <t>屋根を点検する職人</t>
        </is>
      </c>
      <c r="M47" s="79" t="inlineStr">
        <is>
          <t>松山市版</t>
        </is>
      </c>
      <c r="N47" s="79" t="inlineStr">
        <is>
          <t>屋根修理訴求</t>
        </is>
      </c>
      <c r="O47"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7" s="79" t="inlineStr">
        <is>
          <t>屋根の劣化や修理の必要性がひと目で伝わる画像にする。
専門性を感じさせつつ、地域で相談できる安心感も出す。</t>
        </is>
      </c>
      <c r="Q47" s="79" t="inlineStr">
        <is>
          <t xml:space="preserve">【対象記事】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8" ht="90" customHeight="1">
      <c r="A48" s="78" t="inlineStr">
        <is>
          <t>046</t>
        </is>
      </c>
      <c r="B48" s="79" t="inlineStr">
        <is>
          <t>アーバニー 屋根 修理</t>
        </is>
      </c>
      <c r="C48" s="79" t="inlineStr">
        <is>
          <t>アーバニー屋根の修理方法｜割れ・剥がれ・雨漏り対策</t>
        </is>
      </c>
      <c r="D48" s="79" t="inlineStr">
        <is>
          <t>屋根修理・屋根材</t>
        </is>
      </c>
      <c r="E48" s="79" t="inlineStr">
        <is>
          <t>屋根材注意型</t>
        </is>
      </c>
      <c r="F48" s="78" t="inlineStr">
        <is>
          <t>eyecatches/046.png</t>
        </is>
      </c>
      <c r="G48" s="79" t="inlineStr">
        <is>
          <t>アーバニー 屋根 修理</t>
        </is>
      </c>
      <c r="H48" s="79" t="inlineStr">
        <is>
          <t>雨漏り前に劣化を確認</t>
        </is>
      </c>
      <c r="I48" s="79" t="inlineStr">
        <is>
          <t>屋根点検・修理方法を解説</t>
        </is>
      </c>
      <c r="J48" s="79" t="inlineStr">
        <is>
          <t>・屋根材の特徴
・注意点
・劣化症状
・対策</t>
        </is>
      </c>
      <c r="K48" s="79" t="inlineStr">
        <is>
          <t>屋根材・瓦・板金・雨空</t>
        </is>
      </c>
      <c r="L48" s="79" t="inlineStr">
        <is>
          <t>屋根を点検する職人</t>
        </is>
      </c>
      <c r="M48" s="79" t="inlineStr">
        <is>
          <t>松山市版</t>
        </is>
      </c>
      <c r="N48" s="79" t="inlineStr">
        <is>
          <t>屋根修理訴求</t>
        </is>
      </c>
      <c r="O48"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8" s="79" t="inlineStr">
        <is>
          <t>屋根の劣化や修理の必要性がひと目で伝わる画像にする。
専門性を感じさせつつ、地域で相談できる安心感も出す。</t>
        </is>
      </c>
      <c r="Q48" s="79" t="inlineStr">
        <is>
          <t xml:space="preserve">【対象記事】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9" ht="90" customHeight="1">
      <c r="A49" s="78" t="inlineStr">
        <is>
          <t>047</t>
        </is>
      </c>
      <c r="B49" s="79" t="inlineStr">
        <is>
          <t>セキスイかわらU 修理</t>
        </is>
      </c>
      <c r="C49" s="79" t="inlineStr">
        <is>
          <t>セキスイかわらUの修理はどうする？塗装前に知るべき注意点</t>
        </is>
      </c>
      <c r="D49" s="79" t="inlineStr">
        <is>
          <t>屋根修理・屋根材</t>
        </is>
      </c>
      <c r="E49" s="79" t="inlineStr">
        <is>
          <t>屋根材注意型</t>
        </is>
      </c>
      <c r="F49" s="78" t="inlineStr">
        <is>
          <t>eyecatches/047.png</t>
        </is>
      </c>
      <c r="G49" s="79" t="inlineStr">
        <is>
          <t>セキスイかわらU 修理</t>
        </is>
      </c>
      <c r="H49" s="79" t="inlineStr">
        <is>
          <t>雨漏り前に劣化を確認</t>
        </is>
      </c>
      <c r="I49" s="79" t="inlineStr">
        <is>
          <t>屋根点検・修理方法を解説</t>
        </is>
      </c>
      <c r="J49" s="79" t="inlineStr">
        <is>
          <t>・屋根材の特徴
・注意点
・劣化症状
・対策</t>
        </is>
      </c>
      <c r="K49" s="79" t="inlineStr">
        <is>
          <t>屋根材・瓦・板金・雨空</t>
        </is>
      </c>
      <c r="L49" s="79" t="inlineStr">
        <is>
          <t>屋根を点検する職人</t>
        </is>
      </c>
      <c r="M49" s="79" t="inlineStr">
        <is>
          <t>松山市版</t>
        </is>
      </c>
      <c r="N49" s="79" t="inlineStr">
        <is>
          <t>屋根修理訴求</t>
        </is>
      </c>
      <c r="O49"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9" s="79" t="inlineStr">
        <is>
          <t>屋根の劣化や修理の必要性がひと目で伝わる画像にする。
専門性を感じさせつつ、地域で相談できる安心感も出す。</t>
        </is>
      </c>
      <c r="Q49" s="79" t="inlineStr">
        <is>
          <t xml:space="preserve">【対象記事】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50" ht="90" customHeight="1">
      <c r="A50" s="78" t="inlineStr">
        <is>
          <t>048</t>
        </is>
      </c>
      <c r="B50" s="79" t="inlineStr">
        <is>
          <t>モニエル瓦 塗装</t>
        </is>
      </c>
      <c r="C50" s="79" t="inlineStr">
        <is>
          <t>モニエル瓦の塗装は難しい？特徴・注意点・業者選びを解説</t>
        </is>
      </c>
      <c r="D50" s="79" t="inlineStr">
        <is>
          <t>屋根修理・屋根材</t>
        </is>
      </c>
      <c r="E50" s="79" t="inlineStr">
        <is>
          <t>屋根材注意型</t>
        </is>
      </c>
      <c r="F50" s="78" t="inlineStr">
        <is>
          <t>eyecatches/048.png</t>
        </is>
      </c>
      <c r="G50" s="79" t="inlineStr">
        <is>
          <t>モニエル瓦 塗装</t>
        </is>
      </c>
      <c r="H50" s="79" t="inlineStr">
        <is>
          <t>雨漏り前に劣化を確認</t>
        </is>
      </c>
      <c r="I50" s="79" t="inlineStr">
        <is>
          <t>屋根点検・修理方法を解説</t>
        </is>
      </c>
      <c r="J50" s="79" t="inlineStr">
        <is>
          <t>・屋根材の特徴
・注意点
・劣化症状
・対策</t>
        </is>
      </c>
      <c r="K50" s="79" t="inlineStr">
        <is>
          <t>屋根材・瓦・板金・雨空</t>
        </is>
      </c>
      <c r="L50" s="79" t="inlineStr">
        <is>
          <t>屋根を点検する職人</t>
        </is>
      </c>
      <c r="M50" s="79" t="inlineStr">
        <is>
          <t>松山市版</t>
        </is>
      </c>
      <c r="N50" s="79" t="inlineStr">
        <is>
          <t>屋根修理訴求</t>
        </is>
      </c>
      <c r="O50"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0" s="79" t="inlineStr">
        <is>
          <t>屋根の劣化や修理の必要性がひと目で伝わる画像にする。
専門性を感じさせつつ、地域で相談できる安心感も出す。</t>
        </is>
      </c>
      <c r="Q50" s="79" t="inlineStr">
        <is>
          <t xml:space="preserve">【対象記事】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1" ht="90" customHeight="1">
      <c r="A51" s="78" t="inlineStr">
        <is>
          <t>049</t>
        </is>
      </c>
      <c r="B51" s="79" t="inlineStr">
        <is>
          <t>屋根塗装しない方がいい屋根</t>
        </is>
      </c>
      <c r="C51" s="79" t="inlineStr">
        <is>
          <t>屋根塗装しない方がいい屋根とは？塗装できない屋根材と対策</t>
        </is>
      </c>
      <c r="D51" s="79" t="inlineStr">
        <is>
          <t>屋根修理・屋根材</t>
        </is>
      </c>
      <c r="E51" s="79" t="inlineStr">
        <is>
          <t>屋根材注意型</t>
        </is>
      </c>
      <c r="F51" s="78" t="inlineStr">
        <is>
          <t>eyecatches/049.png</t>
        </is>
      </c>
      <c r="G51" s="79" t="inlineStr">
        <is>
          <t>屋根塗装しない方がいい屋根</t>
        </is>
      </c>
      <c r="H51" s="79" t="inlineStr">
        <is>
          <t>雨漏り前に劣化を確認</t>
        </is>
      </c>
      <c r="I51" s="79" t="inlineStr">
        <is>
          <t>屋根点検・修理方法を解説</t>
        </is>
      </c>
      <c r="J51" s="79" t="inlineStr">
        <is>
          <t>・塗装NGの屋根材
・劣化症状
・正しい対策
・注意点</t>
        </is>
      </c>
      <c r="K51" s="79" t="inlineStr">
        <is>
          <t>屋根材・瓦・板金・雨空</t>
        </is>
      </c>
      <c r="L51" s="79" t="inlineStr">
        <is>
          <t>屋根を点検する職人</t>
        </is>
      </c>
      <c r="M51" s="79" t="inlineStr">
        <is>
          <t>松山市版</t>
        </is>
      </c>
      <c r="N51" s="79" t="inlineStr">
        <is>
          <t>屋根修理訴求</t>
        </is>
      </c>
      <c r="O51"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1" s="79" t="inlineStr">
        <is>
          <t>屋根の劣化や修理の必要性がひと目で伝わる画像にする。
専門性を感じさせつつ、地域で相談できる安心感も出す。</t>
        </is>
      </c>
      <c r="Q51" s="79" t="inlineStr">
        <is>
          <t xml:space="preserve">【対象記事】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2" ht="90" customHeight="1">
      <c r="A52" s="78" t="inlineStr">
        <is>
          <t>050</t>
        </is>
      </c>
      <c r="B52" s="79" t="inlineStr">
        <is>
          <t>外壁塗装と防水工事</t>
        </is>
      </c>
      <c r="C52" s="79" t="inlineStr">
        <is>
          <t>外壁塗装と防水工事は同時にできる？違い・費用・注意点</t>
        </is>
      </c>
      <c r="D52" s="79" t="inlineStr">
        <is>
          <t>防水・シーリング</t>
        </is>
      </c>
      <c r="E52" s="79" t="inlineStr">
        <is>
          <t>防水・シーリング型</t>
        </is>
      </c>
      <c r="F52" s="78" t="inlineStr">
        <is>
          <t>eyecatches/050.png</t>
        </is>
      </c>
      <c r="G52" s="79" t="inlineStr">
        <is>
          <t>外壁塗装と防水工事</t>
        </is>
      </c>
      <c r="H52" s="79" t="inlineStr">
        <is>
          <t>雨漏り前に防水状態をチェック</t>
        </is>
      </c>
      <c r="I52" s="79" t="inlineStr">
        <is>
          <t>費用・耐用年数を解説</t>
        </is>
      </c>
      <c r="J52" s="79" t="inlineStr">
        <is>
          <t>・劣化症状
・工法の違い
・費用相場
・メンテ時期</t>
        </is>
      </c>
      <c r="K52" s="79" t="inlineStr">
        <is>
          <t>ベランダ床・防水層・排水口</t>
        </is>
      </c>
      <c r="L52" s="79" t="inlineStr">
        <is>
          <t>点検する職人</t>
        </is>
      </c>
      <c r="M52" s="79" t="inlineStr">
        <is>
          <t>松山市版</t>
        </is>
      </c>
      <c r="N52" s="79" t="inlineStr">
        <is>
          <t>防水訴求</t>
        </is>
      </c>
      <c r="O52" s="79" t="inlineStr">
        <is>
          <t>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t>
        </is>
      </c>
      <c r="P52" s="79" t="inlineStr">
        <is>
          <t>外壁塗装の必要性や注意点が分かる、強めで分かりやすい画像にする。
塗り替え時期や工事のポイントを知りたい読者に向けた印象にする。</t>
        </is>
      </c>
      <c r="Q52" s="79" t="inlineStr">
        <is>
          <t xml:space="preserve">【対象記事】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3" ht="90" customHeight="1">
      <c r="A53" s="78" t="inlineStr">
        <is>
          <t>051</t>
        </is>
      </c>
      <c r="B53" s="79" t="inlineStr">
        <is>
          <t>外壁塗装と屋根カバー</t>
        </is>
      </c>
      <c r="C53" s="79" t="inlineStr">
        <is>
          <t>屋根カバー工法のメリットとは？費用・注意点・向いている屋根</t>
        </is>
      </c>
      <c r="D53" s="79" t="inlineStr">
        <is>
          <t>屋根修理・屋根材</t>
        </is>
      </c>
      <c r="E53" s="79" t="inlineStr">
        <is>
          <t>地域サービス型</t>
        </is>
      </c>
      <c r="F53" s="78" t="inlineStr">
        <is>
          <t>eyecatches/051.png</t>
        </is>
      </c>
      <c r="G53" s="79" t="inlineStr">
        <is>
          <t>外壁塗装と屋根カバー</t>
        </is>
      </c>
      <c r="H53" s="79" t="inlineStr">
        <is>
          <t>雨漏り前に劣化を確認</t>
        </is>
      </c>
      <c r="I53" s="79" t="inlineStr">
        <is>
          <t>屋根点検・修理方法を解説</t>
        </is>
      </c>
      <c r="J53" s="79" t="inlineStr">
        <is>
          <t>・劣化症状
・修理方法
・費用相場
・放置リスク</t>
        </is>
      </c>
      <c r="K53" s="79" t="inlineStr">
        <is>
          <t>屋根材・瓦・板金・雨空</t>
        </is>
      </c>
      <c r="L53" s="79" t="inlineStr">
        <is>
          <t>屋根を点検する職人</t>
        </is>
      </c>
      <c r="M53" s="79" t="inlineStr">
        <is>
          <t>松山市版</t>
        </is>
      </c>
      <c r="N53" s="79" t="inlineStr">
        <is>
          <t>屋根修理訴求</t>
        </is>
      </c>
      <c r="O53"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3" s="79" t="inlineStr">
        <is>
          <t>屋根の劣化や修理の必要性がひと目で伝わる画像にする。
専門性を感じさせつつ、地域で相談できる安心感も出す。</t>
        </is>
      </c>
      <c r="Q53" s="79" t="inlineStr">
        <is>
          <t xml:space="preserve">【対象記事】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4" ht="90" customHeight="1">
      <c r="A54" s="78" t="inlineStr">
        <is>
          <t>052</t>
        </is>
      </c>
      <c r="B54" s="79" t="inlineStr">
        <is>
          <t>外壁塗装 雨の日</t>
        </is>
      </c>
      <c r="C54" s="79" t="inlineStr">
        <is>
          <t>外壁塗装は雨の日にできる？季節ごとの注意点を解説</t>
        </is>
      </c>
      <c r="D54" s="79" t="inlineStr">
        <is>
          <t>外壁塗装</t>
        </is>
      </c>
      <c r="E54" s="79" t="inlineStr">
        <is>
          <t>季節・時期型</t>
        </is>
      </c>
      <c r="F54" s="78" t="inlineStr">
        <is>
          <t>eyecatches/052.png</t>
        </is>
      </c>
      <c r="G54" s="79" t="inlineStr">
        <is>
          <t>外壁塗装 雨の日</t>
        </is>
      </c>
      <c r="H54" s="79" t="inlineStr">
        <is>
          <t>放置リスクと判断基準を解説</t>
        </is>
      </c>
      <c r="I54" s="79" t="inlineStr">
        <is>
          <t>無料診断で状態確認</t>
        </is>
      </c>
      <c r="J54" s="79" t="inlineStr">
        <is>
          <t>・施工できる？
・注意点
・メリット
・工期への影響</t>
        </is>
      </c>
      <c r="K54" s="79" t="inlineStr">
        <is>
          <t>外壁ひび割れ・チョーキング・住宅外観</t>
        </is>
      </c>
      <c r="L54" s="79" t="inlineStr">
        <is>
          <t>職人＋困った住人</t>
        </is>
      </c>
      <c r="M54" s="79" t="inlineStr">
        <is>
          <t>松山市版</t>
        </is>
      </c>
      <c r="N54" s="79" t="inlineStr">
        <is>
          <t>外壁塗装訴求</t>
        </is>
      </c>
      <c r="O54"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4" s="79" t="inlineStr">
        <is>
          <t>外壁塗装の必要性や注意点が分かる、強めで分かりやすい画像にする。
塗り替え時期や工事のポイントを知りたい読者に向けた印象にする。</t>
        </is>
      </c>
      <c r="Q54" s="79" t="inlineStr">
        <is>
          <t xml:space="preserve">【対象記事】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5" ht="90" customHeight="1">
      <c r="A55" s="78" t="inlineStr">
        <is>
          <t>053</t>
        </is>
      </c>
      <c r="B55" s="79" t="inlineStr">
        <is>
          <t>外壁塗装 梅雨</t>
        </is>
      </c>
      <c r="C55" s="79" t="inlineStr">
        <is>
          <t>外壁塗装は梅雨にできる？季節ごとの注意点を解説</t>
        </is>
      </c>
      <c r="D55" s="79" t="inlineStr">
        <is>
          <t>外壁塗装</t>
        </is>
      </c>
      <c r="E55" s="79" t="inlineStr">
        <is>
          <t>季節・時期型</t>
        </is>
      </c>
      <c r="F55" s="78" t="inlineStr">
        <is>
          <t>eyecatches/053.png</t>
        </is>
      </c>
      <c r="G55" s="79" t="inlineStr">
        <is>
          <t>外壁塗装 梅雨</t>
        </is>
      </c>
      <c r="H55" s="79" t="inlineStr">
        <is>
          <t>放置リスクと判断基準を解説</t>
        </is>
      </c>
      <c r="I55" s="79" t="inlineStr">
        <is>
          <t>無料診断で状態確認</t>
        </is>
      </c>
      <c r="J55" s="79" t="inlineStr">
        <is>
          <t>・施工できる？
・注意点
・メリット
・工期への影響</t>
        </is>
      </c>
      <c r="K55" s="79" t="inlineStr">
        <is>
          <t>外壁ひび割れ・チョーキング・住宅外観</t>
        </is>
      </c>
      <c r="L55" s="79" t="inlineStr">
        <is>
          <t>職人＋困った住人</t>
        </is>
      </c>
      <c r="M55" s="79" t="inlineStr">
        <is>
          <t>松山市版</t>
        </is>
      </c>
      <c r="N55" s="79" t="inlineStr">
        <is>
          <t>外壁塗装訴求</t>
        </is>
      </c>
      <c r="O55"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5" s="79" t="inlineStr">
        <is>
          <t>外壁塗装の必要性や注意点が分かる、強めで分かりやすい画像にする。
塗り替え時期や工事のポイントを知りたい読者に向けた印象にする。</t>
        </is>
      </c>
      <c r="Q55" s="79" t="inlineStr">
        <is>
          <t xml:space="preserve">【対象記事】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6" ht="90" customHeight="1">
      <c r="A56" s="78" t="inlineStr">
        <is>
          <t>054</t>
        </is>
      </c>
      <c r="B56" s="79" t="inlineStr">
        <is>
          <t>外壁塗装 台風前</t>
        </is>
      </c>
      <c r="C56" s="79" t="inlineStr">
        <is>
          <t>外壁塗装は台風前にできる？季節ごとの注意点を解説</t>
        </is>
      </c>
      <c r="D56" s="79" t="inlineStr">
        <is>
          <t>外壁塗装</t>
        </is>
      </c>
      <c r="E56" s="79" t="inlineStr">
        <is>
          <t>季節・時期型</t>
        </is>
      </c>
      <c r="F56" s="78" t="inlineStr">
        <is>
          <t>eyecatches/054.png</t>
        </is>
      </c>
      <c r="G56" s="79" t="inlineStr">
        <is>
          <t>外壁塗装 台風前</t>
        </is>
      </c>
      <c r="H56" s="79" t="inlineStr">
        <is>
          <t>放置リスクと判断基準を解説</t>
        </is>
      </c>
      <c r="I56" s="79" t="inlineStr">
        <is>
          <t>無料診断で状態確認</t>
        </is>
      </c>
      <c r="J56" s="79" t="inlineStr">
        <is>
          <t>・施工できる？
・注意点
・メリット
・工期への影響</t>
        </is>
      </c>
      <c r="K56" s="79" t="inlineStr">
        <is>
          <t>外壁ひび割れ・チョーキング・住宅外観</t>
        </is>
      </c>
      <c r="L56" s="79" t="inlineStr">
        <is>
          <t>職人＋困った住人</t>
        </is>
      </c>
      <c r="M56" s="79" t="inlineStr">
        <is>
          <t>松山市版</t>
        </is>
      </c>
      <c r="N56" s="79" t="inlineStr">
        <is>
          <t>外壁塗装訴求</t>
        </is>
      </c>
      <c r="O56"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6" s="79" t="inlineStr">
        <is>
          <t>外壁塗装の必要性や注意点が分かる、強めで分かりやすい画像にする。
塗り替え時期や工事のポイントを知りたい読者に向けた印象にする。</t>
        </is>
      </c>
      <c r="Q56" s="79" t="inlineStr">
        <is>
          <t xml:space="preserve">【対象記事】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7" ht="90" customHeight="1">
      <c r="A57" s="78" t="inlineStr">
        <is>
          <t>055</t>
        </is>
      </c>
      <c r="B57" s="79" t="inlineStr">
        <is>
          <t>外壁塗装 冬</t>
        </is>
      </c>
      <c r="C57" s="79" t="inlineStr">
        <is>
          <t>外壁塗装は冬にできる？季節ごとの注意点を解説</t>
        </is>
      </c>
      <c r="D57" s="79" t="inlineStr">
        <is>
          <t>外壁塗装</t>
        </is>
      </c>
      <c r="E57" s="79" t="inlineStr">
        <is>
          <t>季節・時期型</t>
        </is>
      </c>
      <c r="F57" s="78" t="inlineStr">
        <is>
          <t>eyecatches/055.png</t>
        </is>
      </c>
      <c r="G57" s="79" t="inlineStr">
        <is>
          <t>外壁塗装 冬</t>
        </is>
      </c>
      <c r="H57" s="79" t="inlineStr">
        <is>
          <t>放置リスクと判断基準を解説</t>
        </is>
      </c>
      <c r="I57" s="79" t="inlineStr">
        <is>
          <t>無料診断で状態確認</t>
        </is>
      </c>
      <c r="J57" s="79" t="inlineStr">
        <is>
          <t>・施工できる？
・注意点
・メリット
・工期への影響</t>
        </is>
      </c>
      <c r="K57" s="79" t="inlineStr">
        <is>
          <t>外壁ひび割れ・チョーキング・住宅外観</t>
        </is>
      </c>
      <c r="L57" s="79" t="inlineStr">
        <is>
          <t>職人＋困った住人</t>
        </is>
      </c>
      <c r="M57" s="79" t="inlineStr">
        <is>
          <t>松山市版</t>
        </is>
      </c>
      <c r="N57" s="79" t="inlineStr">
        <is>
          <t>外壁塗装訴求</t>
        </is>
      </c>
      <c r="O57"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7" s="79" t="inlineStr">
        <is>
          <t>外壁塗装の必要性や注意点が分かる、強めで分かりやすい画像にする。
塗り替え時期や工事のポイントを知りたい読者に向けた印象にする。</t>
        </is>
      </c>
      <c r="Q57" s="79" t="inlineStr">
        <is>
          <t xml:space="preserve">【対象記事】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8" ht="90" customHeight="1">
      <c r="A58" s="78" t="inlineStr">
        <is>
          <t>056</t>
        </is>
      </c>
      <c r="B58" s="79" t="inlineStr">
        <is>
          <t>外壁塗装 夏</t>
        </is>
      </c>
      <c r="C58" s="79" t="inlineStr">
        <is>
          <t>外壁塗装は夏にできる？季節ごとの注意点を解説</t>
        </is>
      </c>
      <c r="D58" s="79" t="inlineStr">
        <is>
          <t>外壁塗装</t>
        </is>
      </c>
      <c r="E58" s="79" t="inlineStr">
        <is>
          <t>季節・時期型</t>
        </is>
      </c>
      <c r="F58" s="78" t="inlineStr">
        <is>
          <t>eyecatches/056.png</t>
        </is>
      </c>
      <c r="G58" s="79" t="inlineStr">
        <is>
          <t>外壁塗装 夏</t>
        </is>
      </c>
      <c r="H58" s="79" t="inlineStr">
        <is>
          <t>放置リスクと判断基準を解説</t>
        </is>
      </c>
      <c r="I58" s="79" t="inlineStr">
        <is>
          <t>無料診断で状態確認</t>
        </is>
      </c>
      <c r="J58" s="79" t="inlineStr">
        <is>
          <t>・施工できる？
・注意点
・メリット
・工期への影響</t>
        </is>
      </c>
      <c r="K58" s="79" t="inlineStr">
        <is>
          <t>外壁ひび割れ・チョーキング・住宅外観</t>
        </is>
      </c>
      <c r="L58" s="79" t="inlineStr">
        <is>
          <t>職人＋困った住人</t>
        </is>
      </c>
      <c r="M58" s="79" t="inlineStr">
        <is>
          <t>松山市版</t>
        </is>
      </c>
      <c r="N58" s="79" t="inlineStr">
        <is>
          <t>外壁塗装訴求</t>
        </is>
      </c>
      <c r="O58"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8" s="79" t="inlineStr">
        <is>
          <t>外壁塗装の必要性や注意点が分かる、強めで分かりやすい画像にする。
塗り替え時期や工事のポイントを知りたい読者に向けた印象にする。</t>
        </is>
      </c>
      <c r="Q58" s="79" t="inlineStr">
        <is>
          <t xml:space="preserve">【対象記事】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9" ht="90" customHeight="1">
      <c r="A59" s="78" t="inlineStr">
        <is>
          <t>057</t>
        </is>
      </c>
      <c r="B59" s="79" t="inlineStr">
        <is>
          <t>外壁塗装 春</t>
        </is>
      </c>
      <c r="C59" s="79" t="inlineStr">
        <is>
          <t>外壁塗装は春にできる？季節ごとの注意点を解説</t>
        </is>
      </c>
      <c r="D59" s="79" t="inlineStr">
        <is>
          <t>外壁塗装</t>
        </is>
      </c>
      <c r="E59" s="79" t="inlineStr">
        <is>
          <t>季節・時期型</t>
        </is>
      </c>
      <c r="F59" s="78" t="inlineStr">
        <is>
          <t>eyecatches/057.png</t>
        </is>
      </c>
      <c r="G59" s="79" t="inlineStr">
        <is>
          <t>外壁塗装 春</t>
        </is>
      </c>
      <c r="H59" s="79" t="inlineStr">
        <is>
          <t>放置リスクと判断基準を解説</t>
        </is>
      </c>
      <c r="I59" s="79" t="inlineStr">
        <is>
          <t>無料診断で状態確認</t>
        </is>
      </c>
      <c r="J59" s="79" t="inlineStr">
        <is>
          <t>・施工できる？
・注意点
・メリット
・工期への影響</t>
        </is>
      </c>
      <c r="K59" s="79" t="inlineStr">
        <is>
          <t>外壁ひび割れ・チョーキング・住宅外観</t>
        </is>
      </c>
      <c r="L59" s="79" t="inlineStr">
        <is>
          <t>職人＋困った住人</t>
        </is>
      </c>
      <c r="M59" s="79" t="inlineStr">
        <is>
          <t>松山市版</t>
        </is>
      </c>
      <c r="N59" s="79" t="inlineStr">
        <is>
          <t>外壁塗装訴求</t>
        </is>
      </c>
      <c r="O59"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9" s="79" t="inlineStr">
        <is>
          <t>外壁塗装の必要性や注意点が分かる、強めで分かりやすい画像にする。
塗り替え時期や工事のポイントを知りたい読者に向けた印象にする。</t>
        </is>
      </c>
      <c r="Q59" s="79" t="inlineStr">
        <is>
          <t xml:space="preserve">【対象記事】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0" ht="90" customHeight="1">
      <c r="A60" s="78" t="inlineStr">
        <is>
          <t>058</t>
        </is>
      </c>
      <c r="B60" s="79" t="inlineStr">
        <is>
          <t>外壁塗装 秋</t>
        </is>
      </c>
      <c r="C60" s="79" t="inlineStr">
        <is>
          <t>外壁塗装は秋にできる？季節ごとの注意点を解説</t>
        </is>
      </c>
      <c r="D60" s="79" t="inlineStr">
        <is>
          <t>外壁塗装</t>
        </is>
      </c>
      <c r="E60" s="79" t="inlineStr">
        <is>
          <t>季節・時期型</t>
        </is>
      </c>
      <c r="F60" s="78" t="inlineStr">
        <is>
          <t>eyecatches/058.png</t>
        </is>
      </c>
      <c r="G60" s="79" t="inlineStr">
        <is>
          <t>外壁塗装 秋</t>
        </is>
      </c>
      <c r="H60" s="79" t="inlineStr">
        <is>
          <t>放置リスクと判断基準を解説</t>
        </is>
      </c>
      <c r="I60" s="79" t="inlineStr">
        <is>
          <t>無料診断で状態確認</t>
        </is>
      </c>
      <c r="J60" s="79" t="inlineStr">
        <is>
          <t>・施工できる？
・注意点
・メリット
・工期への影響</t>
        </is>
      </c>
      <c r="K60" s="79" t="inlineStr">
        <is>
          <t>外壁ひび割れ・チョーキング・住宅外観</t>
        </is>
      </c>
      <c r="L60" s="79" t="inlineStr">
        <is>
          <t>職人＋困った住人</t>
        </is>
      </c>
      <c r="M60" s="79" t="inlineStr">
        <is>
          <t>松山市版</t>
        </is>
      </c>
      <c r="N60" s="79" t="inlineStr">
        <is>
          <t>外壁塗装訴求</t>
        </is>
      </c>
      <c r="O60"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0" s="79" t="inlineStr">
        <is>
          <t>外壁塗装の必要性や注意点が分かる、強めで分かりやすい画像にする。
塗り替え時期や工事のポイントを知りたい読者に向けた印象にする。</t>
        </is>
      </c>
      <c r="Q60" s="79" t="inlineStr">
        <is>
          <t xml:space="preserve">【対象記事】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1" ht="90" customHeight="1">
      <c r="A61" s="78" t="inlineStr">
        <is>
          <t>059</t>
        </is>
      </c>
      <c r="B61" s="79" t="inlineStr">
        <is>
          <t>外壁塗装 工期</t>
        </is>
      </c>
      <c r="C61" s="79" t="inlineStr">
        <is>
          <t>外壁塗装の工期はどれくらい？工程・日数・遅れる原因を解説</t>
        </is>
      </c>
      <c r="D61" s="79" t="inlineStr">
        <is>
          <t>外壁塗装</t>
        </is>
      </c>
      <c r="E61" s="79" t="inlineStr">
        <is>
          <t>季節・時期型</t>
        </is>
      </c>
      <c r="F61" s="78" t="inlineStr">
        <is>
          <t>eyecatches/059.png</t>
        </is>
      </c>
      <c r="G61" s="79" t="inlineStr">
        <is>
          <t>外壁塗装 工期</t>
        </is>
      </c>
      <c r="H61" s="79" t="inlineStr">
        <is>
          <t>放置リスクと判断基準を解説</t>
        </is>
      </c>
      <c r="I61" s="79" t="inlineStr">
        <is>
          <t>無料診断で状態確認</t>
        </is>
      </c>
      <c r="J61" s="79" t="inlineStr">
        <is>
          <t>・工程の流れ
・日数の目安
・遅れる要因
・事前準備</t>
        </is>
      </c>
      <c r="K61" s="79" t="inlineStr">
        <is>
          <t>外壁ひび割れ・チョーキング・住宅外観</t>
        </is>
      </c>
      <c r="L61" s="79" t="inlineStr">
        <is>
          <t>職人＋困った住人</t>
        </is>
      </c>
      <c r="M61" s="79" t="inlineStr">
        <is>
          <t>松山市版</t>
        </is>
      </c>
      <c r="N61" s="79" t="inlineStr">
        <is>
          <t>外壁塗装訴求</t>
        </is>
      </c>
      <c r="O61"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1" s="79" t="inlineStr">
        <is>
          <t>外壁塗装の必要性や注意点が分かる、強めで分かりやすい画像にする。
塗り替え時期や工事のポイントを知りたい読者に向けた印象にする。</t>
        </is>
      </c>
      <c r="Q61" s="79" t="inlineStr">
        <is>
          <t xml:space="preserve">【対象記事】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2" ht="90" customHeight="1">
      <c r="A62" s="78" t="inlineStr">
        <is>
          <t>060</t>
        </is>
      </c>
      <c r="B62" s="79" t="inlineStr">
        <is>
          <t>外壁塗装 足場代</t>
        </is>
      </c>
      <c r="C62" s="79" t="inlineStr">
        <is>
          <t>外壁塗装の足場代はいくら？費用相場と節約の考え方</t>
        </is>
      </c>
      <c r="D62" s="79" t="inlineStr">
        <is>
          <t>外壁塗装</t>
        </is>
      </c>
      <c r="E62" s="79" t="inlineStr">
        <is>
          <t>費用・相場型</t>
        </is>
      </c>
      <c r="F62" s="78" t="inlineStr">
        <is>
          <t>eyecatches/060.png</t>
        </is>
      </c>
      <c r="G62" s="79" t="inlineStr">
        <is>
          <t>外壁塗装 足場代</t>
        </is>
      </c>
      <c r="H62" s="79" t="inlineStr">
        <is>
          <t>放置リスクと判断基準を解説</t>
        </is>
      </c>
      <c r="I62" s="79" t="inlineStr">
        <is>
          <t>無料診断で状態確認</t>
        </is>
      </c>
      <c r="J62" s="79" t="inlineStr">
        <is>
          <t>・工事内容
・メリット
・注意点
・選び方</t>
        </is>
      </c>
      <c r="K62" s="79" t="inlineStr">
        <is>
          <t>外壁ひび割れ・チョーキング・住宅外観</t>
        </is>
      </c>
      <c r="L62" s="79" t="inlineStr">
        <is>
          <t>職人＋困った住人</t>
        </is>
      </c>
      <c r="M62" s="79" t="inlineStr">
        <is>
          <t>松山市版</t>
        </is>
      </c>
      <c r="N62" s="79" t="inlineStr">
        <is>
          <t>外壁塗装訴求</t>
        </is>
      </c>
      <c r="O62"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2" s="79" t="inlineStr">
        <is>
          <t>外壁塗装の必要性や注意点が分かる、強めで分かりやすい画像にする。
塗り替え時期や工事のポイントを知りたい読者に向けた印象にする。</t>
        </is>
      </c>
      <c r="Q62" s="79" t="inlineStr">
        <is>
          <t xml:space="preserve">【対象記事】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3" ht="90" customHeight="1">
      <c r="A63" s="78" t="inlineStr">
        <is>
          <t>061</t>
        </is>
      </c>
      <c r="B63" s="79" t="inlineStr">
        <is>
          <t>樋 塗装 松山市</t>
        </is>
      </c>
      <c r="C63" s="79" t="inlineStr">
        <is>
          <t>松山市の雨樋塗装は必要？費用・劣化症状・塗り替え時期を解説</t>
        </is>
      </c>
      <c r="D63" s="79" t="inlineStr">
        <is>
          <t>付帯部</t>
        </is>
      </c>
      <c r="E63" s="79" t="inlineStr">
        <is>
          <t>付帯部型</t>
        </is>
      </c>
      <c r="F63" s="78" t="inlineStr">
        <is>
          <t>eyecatches/061.png</t>
        </is>
      </c>
      <c r="G63" s="79" t="inlineStr">
        <is>
          <t>樋 塗装 松山市</t>
        </is>
      </c>
      <c r="H63" s="79" t="inlineStr">
        <is>
          <t>割れ・外れ・劣化を放置NG</t>
        </is>
      </c>
      <c r="I63" s="79" t="inlineStr">
        <is>
          <t>交換と塗装の判断ポイント</t>
        </is>
      </c>
      <c r="J63" s="79" t="inlineStr">
        <is>
          <t>・劣化症状
・塗装・修理方法
・費用相場
・放置リスク</t>
        </is>
      </c>
      <c r="K63" s="79" t="inlineStr">
        <is>
          <t>雨樋の割れ・外れ・雨水</t>
        </is>
      </c>
      <c r="L63" s="79" t="inlineStr">
        <is>
          <t>点検する職人</t>
        </is>
      </c>
      <c r="M63" s="79" t="inlineStr">
        <is>
          <t>松山市版</t>
        </is>
      </c>
      <c r="N63" s="79" t="inlineStr">
        <is>
          <t>付帯部訴求</t>
        </is>
      </c>
      <c r="O63" s="79"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3" s="79" t="inlineStr">
        <is>
          <t>部位ごとの劣化症状やメンテナンスの必要性が直感的に伝わる画像にする。
小さな部位でも放置しない大切さが分かる印象にする。</t>
        </is>
      </c>
      <c r="Q63" s="79" t="inlineStr">
        <is>
          <t xml:space="preserve">【対象記事】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4" ht="90" customHeight="1">
      <c r="A64" s="78" t="inlineStr">
        <is>
          <t>062</t>
        </is>
      </c>
      <c r="B64" s="79" t="inlineStr">
        <is>
          <t>雨樋 交換 松山市</t>
        </is>
      </c>
      <c r="C64" s="79" t="inlineStr">
        <is>
          <t>松山市の雨樋交換はいつ必要？費用・修理との違いを解説</t>
        </is>
      </c>
      <c r="D64" s="79" t="inlineStr">
        <is>
          <t>付帯部</t>
        </is>
      </c>
      <c r="E64" s="79" t="inlineStr">
        <is>
          <t>付帯部型</t>
        </is>
      </c>
      <c r="F64" s="78" t="inlineStr">
        <is>
          <t>eyecatches/062.png</t>
        </is>
      </c>
      <c r="G64" s="79" t="inlineStr">
        <is>
          <t>雨樋 交換 松山市</t>
        </is>
      </c>
      <c r="H64" s="79" t="inlineStr">
        <is>
          <t>割れ・外れ・劣化を放置NG</t>
        </is>
      </c>
      <c r="I64" s="79" t="inlineStr">
        <is>
          <t>交換と塗装の判断ポイント</t>
        </is>
      </c>
      <c r="J64" s="79" t="inlineStr">
        <is>
          <t>・劣化症状
・塗装・修理方法
・費用相場
・放置リスク</t>
        </is>
      </c>
      <c r="K64" s="79" t="inlineStr">
        <is>
          <t>雨樋の割れ・外れ・雨水</t>
        </is>
      </c>
      <c r="L64" s="79" t="inlineStr">
        <is>
          <t>点検する職人</t>
        </is>
      </c>
      <c r="M64" s="79" t="inlineStr">
        <is>
          <t>松山市版</t>
        </is>
      </c>
      <c r="N64" s="79" t="inlineStr">
        <is>
          <t>付帯部訴求</t>
        </is>
      </c>
      <c r="O64"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4" s="79" t="inlineStr">
        <is>
          <t>部位ごとの劣化症状やメンテナンスの必要性が直感的に伝わる画像にする。
小さな部位でも放置しない大切さが分かる印象にする。</t>
        </is>
      </c>
      <c r="Q64" s="79" t="inlineStr">
        <is>
          <t xml:space="preserve">【対象記事】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5" ht="90" customHeight="1">
      <c r="A65" s="78" t="inlineStr">
        <is>
          <t>063</t>
        </is>
      </c>
      <c r="B65" s="79" t="inlineStr">
        <is>
          <t>雨樋 色あせ</t>
        </is>
      </c>
      <c r="C65" s="79" t="inlineStr">
        <is>
          <t>雨樋の色あせは塗装すべき？劣化サインとメンテナンス方法</t>
        </is>
      </c>
      <c r="D65" s="79" t="inlineStr">
        <is>
          <t>付帯部</t>
        </is>
      </c>
      <c r="E65" s="79" t="inlineStr">
        <is>
          <t>付帯部型</t>
        </is>
      </c>
      <c r="F65" s="78" t="inlineStr">
        <is>
          <t>eyecatches/063.png</t>
        </is>
      </c>
      <c r="G65" s="79" t="inlineStr">
        <is>
          <t>雨樋 色あせ</t>
        </is>
      </c>
      <c r="H65" s="79" t="inlineStr">
        <is>
          <t>割れ・外れ・劣化を放置NG</t>
        </is>
      </c>
      <c r="I65" s="79" t="inlineStr">
        <is>
          <t>交換と塗装の判断ポイント</t>
        </is>
      </c>
      <c r="J65" s="79" t="inlineStr">
        <is>
          <t>・劣化症状
・塗装・修理方法
・費用相場
・放置リスク</t>
        </is>
      </c>
      <c r="K65" s="79" t="inlineStr">
        <is>
          <t>雨樋の割れ・外れ・雨水</t>
        </is>
      </c>
      <c r="L65" s="79" t="inlineStr">
        <is>
          <t>点検する職人</t>
        </is>
      </c>
      <c r="M65" s="79" t="inlineStr">
        <is>
          <t>松山市版</t>
        </is>
      </c>
      <c r="N65" s="79" t="inlineStr">
        <is>
          <t>付帯部訴求</t>
        </is>
      </c>
      <c r="O65"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65" s="79" t="inlineStr">
        <is>
          <t>部位ごとの劣化症状やメンテナンスの必要性が直感的に伝わる画像にする。
小さな部位でも放置しない大切さが分かる印象にする。</t>
        </is>
      </c>
      <c r="Q65" s="79" t="inlineStr">
        <is>
          <t xml:space="preserve">【対象記事】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6" ht="90" customHeight="1">
      <c r="A66" s="78" t="inlineStr">
        <is>
          <t>064</t>
        </is>
      </c>
      <c r="B66" s="79" t="inlineStr">
        <is>
          <t>雨樋 塗装 必要</t>
        </is>
      </c>
      <c r="C66" s="79" t="inlineStr">
        <is>
          <t>雨樋塗装は必要？塗り替えの目的・不要なケースも解説</t>
        </is>
      </c>
      <c r="D66" s="79" t="inlineStr">
        <is>
          <t>付帯部</t>
        </is>
      </c>
      <c r="E66" s="79" t="inlineStr">
        <is>
          <t>付帯部型</t>
        </is>
      </c>
      <c r="F66" s="78" t="inlineStr">
        <is>
          <t>eyecatches/064.png</t>
        </is>
      </c>
      <c r="G66" s="79" t="inlineStr">
        <is>
          <t>雨樋 塗装 必要</t>
        </is>
      </c>
      <c r="H66" s="79" t="inlineStr">
        <is>
          <t>割れ・外れ・劣化を放置NG</t>
        </is>
      </c>
      <c r="I66" s="79" t="inlineStr">
        <is>
          <t>交換と塗装の判断ポイント</t>
        </is>
      </c>
      <c r="J66" s="79" t="inlineStr">
        <is>
          <t>・劣化症状
・塗装・修理方法
・費用相場
・放置リスク</t>
        </is>
      </c>
      <c r="K66" s="79" t="inlineStr">
        <is>
          <t>雨樋の割れ・外れ・雨水</t>
        </is>
      </c>
      <c r="L66" s="79" t="inlineStr">
        <is>
          <t>点検する職人</t>
        </is>
      </c>
      <c r="M66" s="79" t="inlineStr">
        <is>
          <t>松山市版</t>
        </is>
      </c>
      <c r="N66" s="79" t="inlineStr">
        <is>
          <t>付帯部訴求</t>
        </is>
      </c>
      <c r="O66" s="79"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6" s="79" t="inlineStr">
        <is>
          <t>部位ごとの劣化症状やメンテナンスの必要性が直感的に伝わる画像にする。
小さな部位でも放置しない大切さが分かる印象にする。</t>
        </is>
      </c>
      <c r="Q66" s="79" t="inlineStr">
        <is>
          <t xml:space="preserve">【対象記事】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7" ht="90" customHeight="1">
      <c r="A67" s="78" t="inlineStr">
        <is>
          <t>065</t>
        </is>
      </c>
      <c r="B67" s="79" t="inlineStr">
        <is>
          <t>雨樋 塗装 費用</t>
        </is>
      </c>
      <c r="C67" s="79" t="inlineStr">
        <is>
          <t>雨樋塗装の費用相場はいくら？単価・足場代・注意点を解説</t>
        </is>
      </c>
      <c r="D67" s="79" t="inlineStr">
        <is>
          <t>付帯部</t>
        </is>
      </c>
      <c r="E67" s="79" t="inlineStr">
        <is>
          <t>費用・相場型</t>
        </is>
      </c>
      <c r="F67" s="78" t="inlineStr">
        <is>
          <t>eyecatches/065.png</t>
        </is>
      </c>
      <c r="G67" s="79" t="inlineStr">
        <is>
          <t>雨樋 塗装 費用</t>
        </is>
      </c>
      <c r="H67" s="79" t="inlineStr">
        <is>
          <t>割れ・外れ・劣化を放置NG</t>
        </is>
      </c>
      <c r="I67" s="79" t="inlineStr">
        <is>
          <t>交換と塗装の判断ポイント</t>
        </is>
      </c>
      <c r="J67" s="79" t="inlineStr">
        <is>
          <t>・費用相場
・内訳
・工事内容
・見積りの見方</t>
        </is>
      </c>
      <c r="K67" s="79" t="inlineStr">
        <is>
          <t>雨樋の割れ・外れ・雨水</t>
        </is>
      </c>
      <c r="L67" s="79" t="inlineStr">
        <is>
          <t>点検する職人</t>
        </is>
      </c>
      <c r="M67" s="79" t="inlineStr">
        <is>
          <t>松山市版</t>
        </is>
      </c>
      <c r="N67" s="79" t="inlineStr">
        <is>
          <t>付帯部訴求</t>
        </is>
      </c>
      <c r="O67" s="79" t="inlineStr">
        <is>
          <t>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t>
        </is>
      </c>
      <c r="P67" s="79" t="inlineStr">
        <is>
          <t>費用への不安を持つ読者に向けて、相場や内訳が分かりやすい印象にする。
安売り感ではなく、無料見積りで納得して相談できる安心感を出す。</t>
        </is>
      </c>
      <c r="Q67" s="79" t="inlineStr">
        <is>
          <t xml:space="preserve">【対象記事】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6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68" ht="90" customHeight="1">
      <c r="A68" s="78" t="inlineStr">
        <is>
          <t>066</t>
        </is>
      </c>
      <c r="B68" s="79" t="inlineStr">
        <is>
          <t>雨樋 割れ 補修</t>
        </is>
      </c>
      <c r="C68" s="79" t="inlineStr">
        <is>
          <t>雨樋の割れは補修できる？修理・交換の判断ポイント</t>
        </is>
      </c>
      <c r="D68" s="79" t="inlineStr">
        <is>
          <t>付帯部</t>
        </is>
      </c>
      <c r="E68" s="79" t="inlineStr">
        <is>
          <t>付帯部型</t>
        </is>
      </c>
      <c r="F68" s="78" t="inlineStr">
        <is>
          <t>eyecatches/066.png</t>
        </is>
      </c>
      <c r="G68" s="79" t="inlineStr">
        <is>
          <t>雨樋 割れ 補修</t>
        </is>
      </c>
      <c r="H68" s="79" t="inlineStr">
        <is>
          <t>割れ・外れ・劣化を放置NG</t>
        </is>
      </c>
      <c r="I68" s="79" t="inlineStr">
        <is>
          <t>交換と塗装の判断ポイント</t>
        </is>
      </c>
      <c r="J68" s="79" t="inlineStr">
        <is>
          <t>・劣化症状
・塗装・修理方法
・費用相場
・放置リスク</t>
        </is>
      </c>
      <c r="K68" s="79" t="inlineStr">
        <is>
          <t>雨樋の割れ・外れ・雨水</t>
        </is>
      </c>
      <c r="L68" s="79" t="inlineStr">
        <is>
          <t>点検する職人</t>
        </is>
      </c>
      <c r="M68" s="79" t="inlineStr">
        <is>
          <t>松山市版</t>
        </is>
      </c>
      <c r="N68" s="79" t="inlineStr">
        <is>
          <t>付帯部訴求</t>
        </is>
      </c>
      <c r="O68"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8" s="79" t="inlineStr">
        <is>
          <t>部位ごとの劣化症状やメンテナンスの必要性が直感的に伝わる画像にする。
小さな部位でも放置しない大切さが分かる印象にする。</t>
        </is>
      </c>
      <c r="Q68" s="79" t="inlineStr">
        <is>
          <t xml:space="preserve">【対象記事】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9" ht="90" customHeight="1">
      <c r="A69" s="78" t="inlineStr">
        <is>
          <t>067</t>
        </is>
      </c>
      <c r="B69" s="79" t="inlineStr">
        <is>
          <t>雨樋 外れ 修理</t>
        </is>
      </c>
      <c r="C69" s="79" t="inlineStr">
        <is>
          <t>雨樋が外れたときの修理方法｜原因・費用・放置リスク</t>
        </is>
      </c>
      <c r="D69" s="79" t="inlineStr">
        <is>
          <t>付帯部</t>
        </is>
      </c>
      <c r="E69" s="79" t="inlineStr">
        <is>
          <t>付帯部型</t>
        </is>
      </c>
      <c r="F69" s="78" t="inlineStr">
        <is>
          <t>eyecatches/067.png</t>
        </is>
      </c>
      <c r="G69" s="79" t="inlineStr">
        <is>
          <t>雨樋 外れ 修理</t>
        </is>
      </c>
      <c r="H69" s="79" t="inlineStr">
        <is>
          <t>割れ・外れ・劣化を放置NG</t>
        </is>
      </c>
      <c r="I69" s="79" t="inlineStr">
        <is>
          <t>交換と塗装の判断ポイント</t>
        </is>
      </c>
      <c r="J69" s="79" t="inlineStr">
        <is>
          <t>・劣化症状
・塗装・修理方法
・費用相場
・放置リスク</t>
        </is>
      </c>
      <c r="K69" s="79" t="inlineStr">
        <is>
          <t>雨樋の割れ・外れ・雨水</t>
        </is>
      </c>
      <c r="L69" s="79" t="inlineStr">
        <is>
          <t>点検する職人</t>
        </is>
      </c>
      <c r="M69" s="79" t="inlineStr">
        <is>
          <t>松山市版</t>
        </is>
      </c>
      <c r="N69" s="79" t="inlineStr">
        <is>
          <t>付帯部訴求</t>
        </is>
      </c>
      <c r="O69"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9" s="79" t="inlineStr">
        <is>
          <t>部位ごとの劣化症状やメンテナンスの必要性が直感的に伝わる画像にする。
小さな部位でも放置しない大切さが分かる印象にする。</t>
        </is>
      </c>
      <c r="Q69" s="79" t="inlineStr">
        <is>
          <t xml:space="preserve">【対象記事】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0" ht="90" customHeight="1">
      <c r="A70" s="78" t="inlineStr">
        <is>
          <t>068</t>
        </is>
      </c>
      <c r="B70" s="79" t="inlineStr">
        <is>
          <t>雨樋 劣化 症状</t>
        </is>
      </c>
      <c r="C70" s="79" t="inlineStr">
        <is>
          <t>雨樋の劣化症状とは？塗装・補修・交換の判断基準</t>
        </is>
      </c>
      <c r="D70" s="79" t="inlineStr">
        <is>
          <t>付帯部</t>
        </is>
      </c>
      <c r="E70" s="79" t="inlineStr">
        <is>
          <t>付帯部型</t>
        </is>
      </c>
      <c r="F70" s="78" t="inlineStr">
        <is>
          <t>eyecatches/068.png</t>
        </is>
      </c>
      <c r="G70" s="79" t="inlineStr">
        <is>
          <t>雨樋 劣化 症状</t>
        </is>
      </c>
      <c r="H70" s="79" t="inlineStr">
        <is>
          <t>割れ・外れ・劣化を放置NG</t>
        </is>
      </c>
      <c r="I70" s="79" t="inlineStr">
        <is>
          <t>交換と塗装の判断ポイント</t>
        </is>
      </c>
      <c r="J70" s="79" t="inlineStr">
        <is>
          <t>・劣化症状
・塗装・修理方法
・費用相場
・放置リスク</t>
        </is>
      </c>
      <c r="K70" s="79" t="inlineStr">
        <is>
          <t>雨樋の割れ・外れ・雨水</t>
        </is>
      </c>
      <c r="L70" s="79" t="inlineStr">
        <is>
          <t>点検する職人</t>
        </is>
      </c>
      <c r="M70" s="79" t="inlineStr">
        <is>
          <t>松山市版</t>
        </is>
      </c>
      <c r="N70" s="79" t="inlineStr">
        <is>
          <t>付帯部訴求</t>
        </is>
      </c>
      <c r="O70"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0" s="79" t="inlineStr">
        <is>
          <t>部位ごとの劣化症状やメンテナンスの必要性が直感的に伝わる画像にする。
小さな部位でも放置しない大切さが分かる印象にする。</t>
        </is>
      </c>
      <c r="Q70" s="79" t="inlineStr">
        <is>
          <t xml:space="preserve">【対象記事】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1" ht="90" customHeight="1">
      <c r="A71" s="78" t="inlineStr">
        <is>
          <t>069</t>
        </is>
      </c>
      <c r="B71" s="79" t="inlineStr">
        <is>
          <t>雨樋 チョーキング</t>
        </is>
      </c>
      <c r="C71" s="79" t="inlineStr">
        <is>
          <t>雨樋のチョーキングとは？塗装時期と劣化の見分け方</t>
        </is>
      </c>
      <c r="D71" s="79" t="inlineStr">
        <is>
          <t>付帯部</t>
        </is>
      </c>
      <c r="E71" s="79" t="inlineStr">
        <is>
          <t>付帯部型</t>
        </is>
      </c>
      <c r="F71" s="78" t="inlineStr">
        <is>
          <t>eyecatches/069.png</t>
        </is>
      </c>
      <c r="G71" s="79" t="inlineStr">
        <is>
          <t>雨樋 チョーキング</t>
        </is>
      </c>
      <c r="H71" s="79" t="inlineStr">
        <is>
          <t>割れ・外れ・劣化を放置NG</t>
        </is>
      </c>
      <c r="I71" s="79" t="inlineStr">
        <is>
          <t>交換と塗装の判断ポイント</t>
        </is>
      </c>
      <c r="J71" s="79" t="inlineStr">
        <is>
          <t>・劣化症状
・塗装・修理方法
・費用相場
・放置リスク</t>
        </is>
      </c>
      <c r="K71" s="79" t="inlineStr">
        <is>
          <t>雨樋の割れ・外れ・雨水</t>
        </is>
      </c>
      <c r="L71" s="79" t="inlineStr">
        <is>
          <t>点検する職人</t>
        </is>
      </c>
      <c r="M71" s="79" t="inlineStr">
        <is>
          <t>松山市版</t>
        </is>
      </c>
      <c r="N71" s="79" t="inlineStr">
        <is>
          <t>付帯部訴求</t>
        </is>
      </c>
      <c r="O71"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1" s="79" t="inlineStr">
        <is>
          <t>部位ごとの劣化症状やメンテナンスの必要性が直感的に伝わる画像にする。
小さな部位でも放置しない大切さが分かる印象にする。</t>
        </is>
      </c>
      <c r="Q71" s="79" t="inlineStr">
        <is>
          <t xml:space="preserve">【対象記事】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2" ht="90" customHeight="1">
      <c r="A72" s="78" t="inlineStr">
        <is>
          <t>070</t>
        </is>
      </c>
      <c r="B72" s="79" t="inlineStr">
        <is>
          <t>雨樋 塗り替え時期</t>
        </is>
      </c>
      <c r="C72" s="79" t="inlineStr">
        <is>
          <t>雨樋の塗り替え時期はいつ？劣化サインと費用目安</t>
        </is>
      </c>
      <c r="D72" s="79" t="inlineStr">
        <is>
          <t>付帯部</t>
        </is>
      </c>
      <c r="E72" s="79" t="inlineStr">
        <is>
          <t>付帯部型</t>
        </is>
      </c>
      <c r="F72" s="78" t="inlineStr">
        <is>
          <t>eyecatches/070.png</t>
        </is>
      </c>
      <c r="G72" s="79" t="inlineStr">
        <is>
          <t>雨樋 塗り替え時期</t>
        </is>
      </c>
      <c r="H72" s="79" t="inlineStr">
        <is>
          <t>割れ・外れ・劣化を放置NG</t>
        </is>
      </c>
      <c r="I72" s="79" t="inlineStr">
        <is>
          <t>交換と塗装の判断ポイント</t>
        </is>
      </c>
      <c r="J72" s="79" t="inlineStr">
        <is>
          <t>・劣化症状
・塗装・修理方法
・費用相場
・放置リスク</t>
        </is>
      </c>
      <c r="K72" s="79" t="inlineStr">
        <is>
          <t>雨樋の割れ・外れ・雨水</t>
        </is>
      </c>
      <c r="L72" s="79" t="inlineStr">
        <is>
          <t>点検する職人</t>
        </is>
      </c>
      <c r="M72" s="79" t="inlineStr">
        <is>
          <t>松山市版</t>
        </is>
      </c>
      <c r="N72" s="79" t="inlineStr">
        <is>
          <t>付帯部訴求</t>
        </is>
      </c>
      <c r="O72"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2" s="79" t="inlineStr">
        <is>
          <t>部位ごとの劣化症状やメンテナンスの必要性が直感的に伝わる画像にする。
小さな部位でも放置しない大切さが分かる印象にする。</t>
        </is>
      </c>
      <c r="Q72" s="79" t="inlineStr">
        <is>
          <t xml:space="preserve">【対象記事】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3" ht="90" customHeight="1">
      <c r="A73" s="78" t="inlineStr">
        <is>
          <t>071</t>
        </is>
      </c>
      <c r="B73" s="79" t="inlineStr">
        <is>
          <t>軒天 塗装 松山市</t>
        </is>
      </c>
      <c r="C73" s="79" t="inlineStr">
        <is>
          <t>松山市の軒天塗装はいつ必要？費用・劣化症状・注意点</t>
        </is>
      </c>
      <c r="D73" s="79" t="inlineStr">
        <is>
          <t>付帯部</t>
        </is>
      </c>
      <c r="E73" s="79" t="inlineStr">
        <is>
          <t>付帯部型</t>
        </is>
      </c>
      <c r="F73" s="78" t="inlineStr">
        <is>
          <t>eyecatches/071.png</t>
        </is>
      </c>
      <c r="G73" s="79" t="inlineStr">
        <is>
          <t>軒天 塗装 松山市</t>
        </is>
      </c>
      <c r="H73" s="79" t="inlineStr">
        <is>
          <t>シミ・黒ずみ・剥がれは要注意</t>
        </is>
      </c>
      <c r="I73" s="79" t="inlineStr">
        <is>
          <t>補修と塗装の判断ポイント</t>
        </is>
      </c>
      <c r="J73" s="79" t="inlineStr">
        <is>
          <t>・劣化症状
・原因
・補修・塗装方法
・費用相場</t>
        </is>
      </c>
      <c r="K73" s="79" t="inlineStr">
        <is>
          <t>軒天シミ・黒ずみ・住宅軒下</t>
        </is>
      </c>
      <c r="L73" s="79" t="inlineStr">
        <is>
          <t>見上げる住人＋職人</t>
        </is>
      </c>
      <c r="M73" s="79" t="inlineStr">
        <is>
          <t>松山市版</t>
        </is>
      </c>
      <c r="N73" s="79" t="inlineStr">
        <is>
          <t>軒天訴求</t>
        </is>
      </c>
      <c r="O73" s="79" t="inlineStr">
        <is>
          <t>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t>
        </is>
      </c>
      <c r="P73" s="79" t="inlineStr">
        <is>
          <t>部位ごとの劣化症状やメンテナンスの必要性が直感的に伝わる画像にする。
小さな部位でも放置しない大切さが分かる印象にする。</t>
        </is>
      </c>
      <c r="Q73" s="79" t="inlineStr">
        <is>
          <t xml:space="preserve">【対象記事】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7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74" ht="90" customHeight="1">
      <c r="A74" s="78" t="inlineStr">
        <is>
          <t>072</t>
        </is>
      </c>
      <c r="B74" s="79" t="inlineStr">
        <is>
          <t>軒天 シミ 原因</t>
        </is>
      </c>
      <c r="C74" s="79" t="inlineStr">
        <is>
          <t>軒天のシミの原因とは？雨漏りとの関係と補修方法</t>
        </is>
      </c>
      <c r="D74" s="79" t="inlineStr">
        <is>
          <t>付帯部</t>
        </is>
      </c>
      <c r="E74" s="79" t="inlineStr">
        <is>
          <t>付帯部型</t>
        </is>
      </c>
      <c r="F74" s="78" t="inlineStr">
        <is>
          <t>eyecatches/072.png</t>
        </is>
      </c>
      <c r="G74" s="79" t="inlineStr">
        <is>
          <t>軒天 シミ 原因の原因は？</t>
        </is>
      </c>
      <c r="H74" s="79" t="inlineStr">
        <is>
          <t>放置リスクと対処法を解説</t>
        </is>
      </c>
      <c r="I74" s="79" t="inlineStr">
        <is>
          <t>早めの確認が大切</t>
        </is>
      </c>
      <c r="J74" s="79" t="inlineStr">
        <is>
          <t>・劣化症状
・原因
・補修・塗装方法
・費用相場</t>
        </is>
      </c>
      <c r="K74" s="79" t="inlineStr">
        <is>
          <t>劣化箇所の拡大・雨染み・ひび割れ</t>
        </is>
      </c>
      <c r="L74" s="79" t="inlineStr">
        <is>
          <t>職人</t>
        </is>
      </c>
      <c r="M74" s="79" t="inlineStr">
        <is>
          <t>松山市版</t>
        </is>
      </c>
      <c r="N74" s="79" t="inlineStr">
        <is>
          <t>原因解説訴求</t>
        </is>
      </c>
      <c r="O74"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74" s="79" t="inlineStr">
        <is>
          <t>原因や症状が一目で伝わる、分かりやすい解説型の画像にする。
放置リスクと早めの対策の大切さが伝わる印象にする。</t>
        </is>
      </c>
      <c r="Q74" s="79" t="inlineStr">
        <is>
          <t xml:space="preserve">【対象記事】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7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75" ht="90" customHeight="1">
      <c r="A75" s="78" t="inlineStr">
        <is>
          <t>073</t>
        </is>
      </c>
      <c r="B75" s="79" t="inlineStr">
        <is>
          <t>軒天 黒ずみ</t>
        </is>
      </c>
      <c r="C75" s="79" t="inlineStr">
        <is>
          <t>軒天の黒ずみは放置して大丈夫？原因・掃除・塗装の判断</t>
        </is>
      </c>
      <c r="D75" s="79" t="inlineStr">
        <is>
          <t>付帯部</t>
        </is>
      </c>
      <c r="E75" s="79" t="inlineStr">
        <is>
          <t>付帯部型</t>
        </is>
      </c>
      <c r="F75" s="78" t="inlineStr">
        <is>
          <t>eyecatches/073.png</t>
        </is>
      </c>
      <c r="G75" s="79" t="inlineStr">
        <is>
          <t>軒天 黒ずみ</t>
        </is>
      </c>
      <c r="H75" s="79" t="inlineStr">
        <is>
          <t>シミ・黒ずみ・剥がれは要注意</t>
        </is>
      </c>
      <c r="I75" s="79" t="inlineStr">
        <is>
          <t>補修と塗装の判断ポイント</t>
        </is>
      </c>
      <c r="J75" s="79" t="inlineStr">
        <is>
          <t>・劣化症状
・原因
・補修・塗装方法
・費用相場</t>
        </is>
      </c>
      <c r="K75" s="79" t="inlineStr">
        <is>
          <t>軒天シミ・黒ずみ・住宅軒下</t>
        </is>
      </c>
      <c r="L75" s="79" t="inlineStr">
        <is>
          <t>見上げる住人＋職人</t>
        </is>
      </c>
      <c r="M75" s="79" t="inlineStr">
        <is>
          <t>松山市版</t>
        </is>
      </c>
      <c r="N75" s="79" t="inlineStr">
        <is>
          <t>軒天訴求</t>
        </is>
      </c>
      <c r="O75"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5" s="79" t="inlineStr">
        <is>
          <t>部位ごとの劣化症状やメンテナンスの必要性が直感的に伝わる画像にする。
小さな部位でも放置しない大切さが分かる印象にする。</t>
        </is>
      </c>
      <c r="Q75" s="79" t="inlineStr">
        <is>
          <t xml:space="preserve">【対象記事】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6" ht="90" customHeight="1">
      <c r="A76" s="78" t="inlineStr">
        <is>
          <t>074</t>
        </is>
      </c>
      <c r="B76" s="79" t="inlineStr">
        <is>
          <t>軒天 カビ</t>
        </is>
      </c>
      <c r="C76" s="79" t="inlineStr">
        <is>
          <t>軒天のカビの原因とは？雨漏りリスクと補修方法を解説</t>
        </is>
      </c>
      <c r="D76" s="79" t="inlineStr">
        <is>
          <t>付帯部</t>
        </is>
      </c>
      <c r="E76" s="79" t="inlineStr">
        <is>
          <t>付帯部型</t>
        </is>
      </c>
      <c r="F76" s="78" t="inlineStr">
        <is>
          <t>eyecatches/074.png</t>
        </is>
      </c>
      <c r="G76" s="79" t="inlineStr">
        <is>
          <t>軒天 カビ</t>
        </is>
      </c>
      <c r="H76" s="79" t="inlineStr">
        <is>
          <t>シミ・黒ずみ・剥がれは要注意</t>
        </is>
      </c>
      <c r="I76" s="79" t="inlineStr">
        <is>
          <t>補修と塗装の判断ポイント</t>
        </is>
      </c>
      <c r="J76" s="79" t="inlineStr">
        <is>
          <t>・劣化症状
・原因
・補修・塗装方法
・費用相場</t>
        </is>
      </c>
      <c r="K76" s="79" t="inlineStr">
        <is>
          <t>軒天シミ・黒ずみ・住宅軒下</t>
        </is>
      </c>
      <c r="L76" s="79" t="inlineStr">
        <is>
          <t>見上げる住人＋職人</t>
        </is>
      </c>
      <c r="M76" s="79" t="inlineStr">
        <is>
          <t>松山市版</t>
        </is>
      </c>
      <c r="N76" s="79" t="inlineStr">
        <is>
          <t>軒天訴求</t>
        </is>
      </c>
      <c r="O76"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6" s="79" t="inlineStr">
        <is>
          <t>部位ごとの劣化症状やメンテナンスの必要性が直感的に伝わる画像にする。
小さな部位でも放置しない大切さが分かる印象にする。</t>
        </is>
      </c>
      <c r="Q76" s="79" t="inlineStr">
        <is>
          <t xml:space="preserve">【対象記事】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7" ht="90" customHeight="1">
      <c r="A77" s="78" t="inlineStr">
        <is>
          <t>075</t>
        </is>
      </c>
      <c r="B77" s="79" t="inlineStr">
        <is>
          <t>軒天 剥がれ</t>
        </is>
      </c>
      <c r="C77" s="79" t="inlineStr">
        <is>
          <t>軒天の剥がれは補修が必要？原因・費用・放置リスク</t>
        </is>
      </c>
      <c r="D77" s="79" t="inlineStr">
        <is>
          <t>付帯部</t>
        </is>
      </c>
      <c r="E77" s="79" t="inlineStr">
        <is>
          <t>付帯部型</t>
        </is>
      </c>
      <c r="F77" s="78" t="inlineStr">
        <is>
          <t>eyecatches/075.png</t>
        </is>
      </c>
      <c r="G77" s="79" t="inlineStr">
        <is>
          <t>軒天 剥がれ</t>
        </is>
      </c>
      <c r="H77" s="79" t="inlineStr">
        <is>
          <t>シミ・黒ずみ・剥がれは要注意</t>
        </is>
      </c>
      <c r="I77" s="79" t="inlineStr">
        <is>
          <t>補修と塗装の判断ポイント</t>
        </is>
      </c>
      <c r="J77" s="79" t="inlineStr">
        <is>
          <t>・劣化症状
・原因
・補修・塗装方法
・費用相場</t>
        </is>
      </c>
      <c r="K77" s="79" t="inlineStr">
        <is>
          <t>軒天シミ・黒ずみ・住宅軒下</t>
        </is>
      </c>
      <c r="L77" s="79" t="inlineStr">
        <is>
          <t>見上げる住人＋職人</t>
        </is>
      </c>
      <c r="M77" s="79" t="inlineStr">
        <is>
          <t>松山市版</t>
        </is>
      </c>
      <c r="N77" s="79" t="inlineStr">
        <is>
          <t>軒天訴求</t>
        </is>
      </c>
      <c r="O77"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7" s="79" t="inlineStr">
        <is>
          <t>部位ごとの劣化症状やメンテナンスの必要性が直感的に伝わる画像にする。
小さな部位でも放置しない大切さが分かる印象にする。</t>
        </is>
      </c>
      <c r="Q77" s="79" t="inlineStr">
        <is>
          <t xml:space="preserve">【対象記事】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8" ht="90" customHeight="1">
      <c r="A78" s="78" t="inlineStr">
        <is>
          <t>076</t>
        </is>
      </c>
      <c r="B78" s="79" t="inlineStr">
        <is>
          <t>軒天 ベニヤ 張り替え</t>
        </is>
      </c>
      <c r="C78" s="79" t="inlineStr">
        <is>
          <t>軒天ベニヤの張り替えはいつ必要？費用・材料・注意点</t>
        </is>
      </c>
      <c r="D78" s="79" t="inlineStr">
        <is>
          <t>付帯部</t>
        </is>
      </c>
      <c r="E78" s="79" t="inlineStr">
        <is>
          <t>付帯部型</t>
        </is>
      </c>
      <c r="F78" s="78" t="inlineStr">
        <is>
          <t>eyecatches/076.png</t>
        </is>
      </c>
      <c r="G78" s="79" t="inlineStr">
        <is>
          <t>軒天 ベニヤ 張り替え</t>
        </is>
      </c>
      <c r="H78" s="79" t="inlineStr">
        <is>
          <t>シミ・黒ずみ・剥がれは要注意</t>
        </is>
      </c>
      <c r="I78" s="79" t="inlineStr">
        <is>
          <t>補修と塗装の判断ポイント</t>
        </is>
      </c>
      <c r="J78" s="79" t="inlineStr">
        <is>
          <t>・劣化症状
・原因
・補修・塗装方法
・費用相場</t>
        </is>
      </c>
      <c r="K78" s="79" t="inlineStr">
        <is>
          <t>軒天シミ・黒ずみ・住宅軒下</t>
        </is>
      </c>
      <c r="L78" s="79" t="inlineStr">
        <is>
          <t>見上げる住人＋職人</t>
        </is>
      </c>
      <c r="M78" s="79" t="inlineStr">
        <is>
          <t>松山市版</t>
        </is>
      </c>
      <c r="N78" s="79" t="inlineStr">
        <is>
          <t>軒天訴求</t>
        </is>
      </c>
      <c r="O78"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8" s="79" t="inlineStr">
        <is>
          <t>部位ごとの劣化症状やメンテナンスの必要性が直感的に伝わる画像にする。
小さな部位でも放置しない大切さが分かる印象にする。</t>
        </is>
      </c>
      <c r="Q78" s="79" t="inlineStr">
        <is>
          <t xml:space="preserve">【対象記事】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9" ht="90" customHeight="1">
      <c r="A79" s="78" t="inlineStr">
        <is>
          <t>077</t>
        </is>
      </c>
      <c r="B79" s="79" t="inlineStr">
        <is>
          <t>軒天 雨漏り</t>
        </is>
      </c>
      <c r="C79" s="79" t="inlineStr">
        <is>
          <t>軒天の雨漏りはどこから？原因調査と補修方法を解説</t>
        </is>
      </c>
      <c r="D79" s="79" t="inlineStr">
        <is>
          <t>付帯部</t>
        </is>
      </c>
      <c r="E79" s="79" t="inlineStr">
        <is>
          <t>付帯部型</t>
        </is>
      </c>
      <c r="F79" s="78" t="inlineStr">
        <is>
          <t>eyecatches/077.png</t>
        </is>
      </c>
      <c r="G79" s="79" t="inlineStr">
        <is>
          <t>軒天 雨漏り</t>
        </is>
      </c>
      <c r="H79" s="79" t="inlineStr">
        <is>
          <t>シミ・黒ずみ・剥がれは要注意</t>
        </is>
      </c>
      <c r="I79" s="79" t="inlineStr">
        <is>
          <t>補修と塗装の判断ポイント</t>
        </is>
      </c>
      <c r="J79" s="79" t="inlineStr">
        <is>
          <t>・劣化症状
・原因
・補修・塗装方法
・費用相場</t>
        </is>
      </c>
      <c r="K79" s="79" t="inlineStr">
        <is>
          <t>軒天シミ・黒ずみ・住宅軒下</t>
        </is>
      </c>
      <c r="L79" s="79" t="inlineStr">
        <is>
          <t>見上げる住人＋職人</t>
        </is>
      </c>
      <c r="M79" s="79" t="inlineStr">
        <is>
          <t>松山市版</t>
        </is>
      </c>
      <c r="N79" s="79" t="inlineStr">
        <is>
          <t>軒天訴求</t>
        </is>
      </c>
      <c r="O79"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9" s="79" t="inlineStr">
        <is>
          <t>部位ごとの劣化症状やメンテナンスの必要性が直感的に伝わる画像にする。
小さな部位でも放置しない大切さが分かる印象にする。</t>
        </is>
      </c>
      <c r="Q79" s="79" t="inlineStr">
        <is>
          <t xml:space="preserve">【対象記事】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0" ht="90" customHeight="1">
      <c r="A80" s="78" t="inlineStr">
        <is>
          <t>078</t>
        </is>
      </c>
      <c r="B80" s="79" t="inlineStr">
        <is>
          <t>軒天 塗装 費用</t>
        </is>
      </c>
      <c r="C80" s="79" t="inlineStr">
        <is>
          <t>軒天塗装の費用相場はいくら？単価・足場代・注意点</t>
        </is>
      </c>
      <c r="D80" s="79" t="inlineStr">
        <is>
          <t>付帯部</t>
        </is>
      </c>
      <c r="E80" s="79" t="inlineStr">
        <is>
          <t>費用・相場型</t>
        </is>
      </c>
      <c r="F80" s="78" t="inlineStr">
        <is>
          <t>eyecatches/078.png</t>
        </is>
      </c>
      <c r="G80" s="79" t="inlineStr">
        <is>
          <t>軒天 塗装 費用</t>
        </is>
      </c>
      <c r="H80" s="79" t="inlineStr">
        <is>
          <t>シミ・黒ずみ・剥がれは要注意</t>
        </is>
      </c>
      <c r="I80" s="79" t="inlineStr">
        <is>
          <t>補修と塗装の判断ポイント</t>
        </is>
      </c>
      <c r="J80" s="79" t="inlineStr">
        <is>
          <t>・費用相場
・内訳
・工事内容
・見積りの見方</t>
        </is>
      </c>
      <c r="K80" s="79" t="inlineStr">
        <is>
          <t>軒天シミ・黒ずみ・住宅軒下</t>
        </is>
      </c>
      <c r="L80" s="79" t="inlineStr">
        <is>
          <t>見上げる住人＋職人</t>
        </is>
      </c>
      <c r="M80" s="79" t="inlineStr">
        <is>
          <t>松山市版</t>
        </is>
      </c>
      <c r="N80" s="79" t="inlineStr">
        <is>
          <t>軒天訴求</t>
        </is>
      </c>
      <c r="O80" s="79" t="inlineStr">
        <is>
          <t>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t>
        </is>
      </c>
      <c r="P80" s="79" t="inlineStr">
        <is>
          <t>費用への不安を持つ読者に向けて、相場や内訳が分かりやすい印象にする。
安売り感ではなく、無料見積りで納得して相談できる安心感を出す。</t>
        </is>
      </c>
      <c r="Q80" s="79" t="inlineStr">
        <is>
          <t xml:space="preserve">【対象記事】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8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1" ht="90" customHeight="1">
      <c r="A81" s="78" t="inlineStr">
        <is>
          <t>079</t>
        </is>
      </c>
      <c r="B81" s="79" t="inlineStr">
        <is>
          <t>軒天 補修</t>
        </is>
      </c>
      <c r="C81" s="79" t="inlineStr">
        <is>
          <t>軒天補修の方法とは？剥がれ・シミ・雨漏り症状別に解説</t>
        </is>
      </c>
      <c r="D81" s="79" t="inlineStr">
        <is>
          <t>付帯部</t>
        </is>
      </c>
      <c r="E81" s="79" t="inlineStr">
        <is>
          <t>付帯部型</t>
        </is>
      </c>
      <c r="F81" s="78" t="inlineStr">
        <is>
          <t>eyecatches/079.png</t>
        </is>
      </c>
      <c r="G81" s="79" t="inlineStr">
        <is>
          <t>軒天 補修</t>
        </is>
      </c>
      <c r="H81" s="79" t="inlineStr">
        <is>
          <t>シミ・黒ずみ・剥がれは要注意</t>
        </is>
      </c>
      <c r="I81" s="79" t="inlineStr">
        <is>
          <t>補修と塗装の判断ポイント</t>
        </is>
      </c>
      <c r="J81" s="79" t="inlineStr">
        <is>
          <t>・劣化症状
・原因
・補修・塗装方法
・費用相場</t>
        </is>
      </c>
      <c r="K81" s="79" t="inlineStr">
        <is>
          <t>軒天シミ・黒ずみ・住宅軒下</t>
        </is>
      </c>
      <c r="L81" s="79" t="inlineStr">
        <is>
          <t>見上げる住人＋職人</t>
        </is>
      </c>
      <c r="M81" s="79" t="inlineStr">
        <is>
          <t>松山市版</t>
        </is>
      </c>
      <c r="N81" s="79" t="inlineStr">
        <is>
          <t>軒天訴求</t>
        </is>
      </c>
      <c r="O81" s="79" t="inlineStr">
        <is>
          <t>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t>
        </is>
      </c>
      <c r="P81" s="79" t="inlineStr">
        <is>
          <t>部位ごとの劣化症状やメンテナンスの必要性が直感的に伝わる画像にする。
小さな部位でも放置しない大切さが分かる印象にする。</t>
        </is>
      </c>
      <c r="Q81" s="79" t="inlineStr">
        <is>
          <t xml:space="preserve">【対象記事】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2" ht="90" customHeight="1">
      <c r="A82" s="78" t="inlineStr">
        <is>
          <t>080</t>
        </is>
      </c>
      <c r="B82" s="79" t="inlineStr">
        <is>
          <t>軒天 材料 種類</t>
        </is>
      </c>
      <c r="C82" s="79" t="inlineStr">
        <is>
          <t>軒天の材料には何がある？種類・特徴・選び方を解説</t>
        </is>
      </c>
      <c r="D82" s="79" t="inlineStr">
        <is>
          <t>付帯部</t>
        </is>
      </c>
      <c r="E82" s="79" t="inlineStr">
        <is>
          <t>付帯部型</t>
        </is>
      </c>
      <c r="F82" s="78" t="inlineStr">
        <is>
          <t>eyecatches/080.png</t>
        </is>
      </c>
      <c r="G82" s="79" t="inlineStr">
        <is>
          <t>軒天 材料 種類</t>
        </is>
      </c>
      <c r="H82" s="79" t="inlineStr">
        <is>
          <t>シミ・黒ずみ・剥がれは要注意</t>
        </is>
      </c>
      <c r="I82" s="79" t="inlineStr">
        <is>
          <t>補修と塗装の判断ポイント</t>
        </is>
      </c>
      <c r="J82" s="79" t="inlineStr">
        <is>
          <t>・材料の種類
・特徴
・選び方
・注意点</t>
        </is>
      </c>
      <c r="K82" s="79" t="inlineStr">
        <is>
          <t>軒天シミ・黒ずみ・住宅軒下</t>
        </is>
      </c>
      <c r="L82" s="79" t="inlineStr">
        <is>
          <t>見上げる住人＋職人</t>
        </is>
      </c>
      <c r="M82" s="79" t="inlineStr">
        <is>
          <t>松山市版</t>
        </is>
      </c>
      <c r="N82" s="79" t="inlineStr">
        <is>
          <t>軒天訴求</t>
        </is>
      </c>
      <c r="O82"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82" s="79" t="inlineStr">
        <is>
          <t>部位ごとの劣化症状やメンテナンスの必要性が直感的に伝わる画像にする。
小さな部位でも放置しない大切さが分かる印象にする。</t>
        </is>
      </c>
      <c r="Q82" s="79" t="inlineStr">
        <is>
          <t xml:space="preserve">【対象記事】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sheetData>
  <mergeCells count="1">
    <mergeCell ref="B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2026-06-26T11:20:37Z</dcterms:created>
  <dcterms:modified xsi:type="dcterms:W3CDTF">2026-06-27T16:21:38Z</dcterms:modified>
</cp:coreProperties>
</file>