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ダッシュボード" sheetId="1" state="visible" r:id="rId1"/>
    <sheet name="制作管理表" sheetId="2" state="visible" r:id="rId2"/>
    <sheet name="アイキャッチ制作指示" sheetId="3" state="visible" r:id="rId3"/>
    <sheet name="記事制作ルール" sheetId="4" state="visible" r:id="rId4"/>
    <sheet name="設定" sheetId="5" state="visible" r:id="rId5"/>
    <sheet name="投稿結果ログ" sheetId="6" state="visible" r:id="rId6"/>
    <sheet name="Claude連携メモ" sheetId="7" state="visible" r:id="rId7"/>
    <sheet name="旧管理表バックアップ" sheetId="8" state="visible" r:id="rId8"/>
    <sheet name="画像生成共通プロンプト" sheetId="9" state="visible" r:id="rId9"/>
    <sheet name="画像生成プロンプト一覧" sheetId="10" state="visible" r:id="rId10"/>
  </sheets>
  <definedNames/>
  <calcPr calcId="191029" fullCalcOnLoad="1"/>
</workbook>
</file>

<file path=xl/styles.xml><?xml version="1.0" encoding="utf-8"?>
<styleSheet xmlns="http://schemas.openxmlformats.org/spreadsheetml/2006/main">
  <numFmts count="1">
    <numFmt numFmtId="164" formatCode="yyyy\-mm\-dd\ hh:mm"/>
  </numFmts>
  <fonts count="8">
    <font>
      <name val="Carlito"/>
      <sz val="11"/>
    </font>
    <font>
      <name val="Carlito"/>
      <b val="1"/>
      <color rgb="FFFFFFFF"/>
      <sz val="11"/>
    </font>
    <font>
      <name val="Carlito"/>
      <b val="1"/>
      <color rgb="FFFFFFFF"/>
      <sz val="18"/>
    </font>
    <font>
      <name val="Carlito"/>
      <b val="1"/>
      <color rgb="FFFFFFFF"/>
      <sz val="14"/>
    </font>
    <font>
      <name val="Carlito"/>
      <b val="1"/>
      <sz val="11"/>
    </font>
    <font>
      <name val="Carlito"/>
      <b val="1"/>
      <color rgb="FFFFFFFF"/>
      <sz val="11"/>
    </font>
    <font>
      <name val="Carlito"/>
      <sz val="11"/>
    </font>
    <font>
      <name val="ＭＳ Ｐゴシック"/>
      <charset val="128"/>
      <family val="3"/>
      <sz val="6"/>
    </font>
  </fonts>
  <fills count="10">
    <fill>
      <patternFill/>
    </fill>
    <fill>
      <patternFill patternType="gray125"/>
    </fill>
    <fill>
      <patternFill patternType="solid">
        <fgColor rgb="FF0F3A2E"/>
      </patternFill>
    </fill>
    <fill>
      <patternFill patternType="solid">
        <fgColor rgb="FF7A1F2B"/>
      </patternFill>
    </fill>
    <fill>
      <patternFill patternType="solid">
        <fgColor rgb="FF173763"/>
      </patternFill>
    </fill>
    <fill>
      <patternFill patternType="solid">
        <fgColor rgb="FFC89B5B"/>
      </patternFill>
    </fill>
    <fill>
      <patternFill patternType="solid">
        <fgColor rgb="FF4B5563"/>
      </patternFill>
    </fill>
    <fill>
      <patternFill patternType="solid">
        <fgColor rgb="FF6B7280"/>
      </patternFill>
    </fill>
    <fill>
      <patternFill patternType="solid">
        <fgColor rgb="FF1F4E78"/>
      </patternFill>
    </fill>
    <fill>
      <patternFill patternType="solid">
        <fgColor rgb="FFFFF2CC"/>
      </patternFill>
    </fill>
  </fills>
  <borders count="7">
    <border>
      <left/>
      <right/>
      <top/>
      <bottom/>
      <diagonal/>
    </border>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s>
  <cellStyleXfs count="2">
    <xf numFmtId="0" fontId="6" fillId="0" borderId="1"/>
    <xf numFmtId="0" fontId="6" fillId="0" borderId="1"/>
  </cellStyleXfs>
  <cellXfs count="33">
    <xf numFmtId="0" fontId="0" fillId="0" borderId="0" pivotButton="0" quotePrefix="0" xfId="0"/>
    <xf numFmtId="0" fontId="1" fillId="2" borderId="0" applyAlignment="1" pivotButton="0" quotePrefix="0" xfId="1">
      <alignment wrapText="1"/>
    </xf>
    <xf numFmtId="0" fontId="1" fillId="2" borderId="0" applyAlignment="1" pivotButton="0" quotePrefix="0" xfId="1">
      <alignment horizontal="center" vertical="center" wrapText="1"/>
    </xf>
    <xf numFmtId="0" fontId="0" fillId="0" borderId="0" applyAlignment="1" pivotButton="0" quotePrefix="0" xfId="1">
      <alignment wrapText="1"/>
    </xf>
    <xf numFmtId="0" fontId="1" fillId="2" borderId="0" applyAlignment="1" pivotButton="0" quotePrefix="0" xfId="1">
      <alignment horizontal="center" vertical="top" wrapText="1"/>
    </xf>
    <xf numFmtId="0" fontId="0" fillId="0" borderId="0" applyAlignment="1" pivotButton="0" quotePrefix="0" xfId="1">
      <alignment vertical="top" wrapText="1"/>
    </xf>
    <xf numFmtId="0" fontId="1" fillId="3" borderId="0" applyAlignment="1" pivotButton="0" quotePrefix="0" xfId="1">
      <alignment horizontal="center" vertical="top" wrapText="1"/>
    </xf>
    <xf numFmtId="0" fontId="1" fillId="4" borderId="0" applyAlignment="1" pivotButton="0" quotePrefix="0" xfId="1">
      <alignment horizontal="center" vertical="top" wrapText="1"/>
    </xf>
    <xf numFmtId="0" fontId="1" fillId="5" borderId="0" applyAlignment="1" pivotButton="0" quotePrefix="0" xfId="1">
      <alignment horizontal="center" vertical="top" wrapText="1"/>
    </xf>
    <xf numFmtId="0" fontId="1" fillId="6" borderId="0" applyAlignment="1" pivotButton="0" quotePrefix="0" xfId="1">
      <alignment horizontal="center" vertical="top" wrapText="1"/>
    </xf>
    <xf numFmtId="0" fontId="1" fillId="4" borderId="0" applyAlignment="1" pivotButton="0" quotePrefix="0" xfId="1">
      <alignment horizontal="center" wrapText="1"/>
    </xf>
    <xf numFmtId="0" fontId="1" fillId="3" borderId="0" applyAlignment="1" pivotButton="0" quotePrefix="0" xfId="1">
      <alignment horizontal="center" wrapText="1"/>
    </xf>
    <xf numFmtId="0" fontId="1" fillId="6" borderId="0" applyAlignment="1" pivotButton="0" quotePrefix="0" xfId="1">
      <alignment horizontal="center" wrapText="1"/>
    </xf>
    <xf numFmtId="0" fontId="1" fillId="7" borderId="0" applyAlignment="1" pivotButton="0" quotePrefix="0" xfId="1">
      <alignment horizontal="center" wrapText="1"/>
    </xf>
    <xf numFmtId="164" fontId="0" fillId="0" borderId="0" applyAlignment="1" pivotButton="0" quotePrefix="0" xfId="1">
      <alignment vertical="top" wrapText="1"/>
    </xf>
    <xf numFmtId="164" fontId="1" fillId="6" borderId="0" applyAlignment="1" pivotButton="0" quotePrefix="0" xfId="1">
      <alignment horizontal="center" wrapText="1"/>
    </xf>
    <xf numFmtId="0" fontId="4" fillId="0" borderId="0" pivotButton="0" quotePrefix="0" xfId="1"/>
    <xf numFmtId="0" fontId="5" fillId="8" borderId="2" applyAlignment="1" pivotButton="0" quotePrefix="0" xfId="1">
      <alignment horizontal="center" vertical="center" wrapText="1"/>
    </xf>
    <xf numFmtId="0" fontId="4" fillId="9" borderId="2" pivotButton="0" quotePrefix="0" xfId="1"/>
    <xf numFmtId="0" fontId="0" fillId="0" borderId="2" applyAlignment="1" pivotButton="0" quotePrefix="0" xfId="1">
      <alignment horizontal="center" vertical="center" wrapText="1"/>
    </xf>
    <xf numFmtId="0" fontId="0" fillId="0" borderId="2" applyAlignment="1" pivotButton="0" quotePrefix="0" xfId="1">
      <alignment vertical="top" wrapText="1"/>
    </xf>
    <xf numFmtId="0" fontId="2" fillId="2" borderId="1" applyAlignment="1" pivotButton="0" quotePrefix="0" xfId="1">
      <alignment horizontal="center" wrapText="1"/>
    </xf>
    <xf numFmtId="0" fontId="0" fillId="0" borderId="1" pivotButton="0" quotePrefix="0" xfId="1"/>
    <xf numFmtId="0" fontId="0" fillId="0" borderId="1" applyAlignment="1" pivotButton="0" quotePrefix="0" xfId="1">
      <alignment vertical="top" wrapText="1"/>
    </xf>
    <xf numFmtId="0" fontId="0" fillId="0" borderId="0" pivotButton="0" quotePrefix="0" xfId="0"/>
    <xf numFmtId="0" fontId="3" fillId="8" borderId="1" applyAlignment="1" pivotButton="0" quotePrefix="0" xfId="1">
      <alignment horizontal="center" vertical="center" wrapText="1"/>
    </xf>
    <xf numFmtId="0" fontId="0" fillId="9" borderId="2" applyAlignment="1" pivotButton="0" quotePrefix="0" xfId="1">
      <alignment vertical="top" wrapText="1"/>
    </xf>
    <xf numFmtId="0" fontId="0" fillId="0" borderId="3" pivotButton="0" quotePrefix="0" xfId="1"/>
    <xf numFmtId="0" fontId="0" fillId="0" borderId="4" pivotButton="0" quotePrefix="0" xfId="1"/>
    <xf numFmtId="164" fontId="0" fillId="0" borderId="0" applyAlignment="1" pivotButton="0" quotePrefix="0" xfId="1">
      <alignment vertical="top" wrapText="1"/>
    </xf>
    <xf numFmtId="164" fontId="1" fillId="6" borderId="0" applyAlignment="1" pivotButton="0" quotePrefix="0" xfId="1">
      <alignment horizontal="center" wrapText="1"/>
    </xf>
    <xf numFmtId="0" fontId="0" fillId="0" borderId="3" pivotButton="0" quotePrefix="0" xfId="0"/>
    <xf numFmtId="0" fontId="0" fillId="0" borderId="4" pivotButton="0" quotePrefix="0" xfId="0"/>
  </cellXfs>
  <cellStyles count="2">
    <cellStyle name="標準" xfId="0" builtinId="0"/>
    <cellStyle name="Normal" xfId="1"/>
  </cellStyles>
  <dxfs count="35">
    <dxf>
      <fill>
        <patternFill patternType="solid">
          <bgColor rgb="FFFEF3C7"/>
        </patternFill>
      </fill>
    </dxf>
    <dxf>
      <fill>
        <patternFill patternType="solid">
          <bgColor rgb="FFFEF3C7"/>
        </patternFill>
      </fill>
    </dxf>
    <dxf>
      <fill>
        <patternFill patternType="solid">
          <bgColor rgb="FFFECACA"/>
        </patternFill>
      </fill>
    </dxf>
    <dxf>
      <fill>
        <patternFill patternType="solid">
          <bgColor rgb="FFFEF3C7"/>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FEF3C7"/>
        </patternFill>
      </fill>
    </dxf>
    <dxf>
      <fill>
        <patternFill patternType="solid">
          <bgColor rgb="FFFEF3C7"/>
        </patternFill>
      </fill>
    </dxf>
    <dxf>
      <fill>
        <patternFill patternType="solid">
          <bgColor rgb="FFFECACA"/>
        </patternFill>
      </fill>
    </dxf>
    <dxf>
      <fill>
        <patternFill patternType="solid">
          <bgColor rgb="FFFEF3C7"/>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FEF3C7"/>
        </patternFill>
      </fill>
    </dxf>
    <dxf>
      <fill>
        <patternFill patternType="solid">
          <bgColor rgb="FFFEF3C7"/>
        </patternFill>
      </fill>
    </dxf>
    <dxf>
      <fill>
        <patternFill patternType="solid">
          <bgColor rgb="FFFECACA"/>
        </patternFill>
      </fill>
    </dxf>
    <dxf>
      <fill>
        <patternFill patternType="solid">
          <bgColor rgb="FFFEF3C7"/>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FEF3C7"/>
        </patternFill>
      </fill>
    </dxf>
    <dxf>
      <fill>
        <patternFill patternType="solid">
          <bgColor rgb="FFFEF3C7"/>
        </patternFill>
      </fill>
    </dxf>
    <dxf>
      <fill>
        <patternFill patternType="solid">
          <bgColor rgb="FFFECACA"/>
        </patternFill>
      </fill>
    </dxf>
    <dxf>
      <fill>
        <patternFill patternType="solid">
          <bgColor rgb="FFFEF3C7"/>
        </patternFill>
      </fill>
    </dxf>
    <dxf>
      <fill>
        <patternFill patternType="solid">
          <bgColor rgb="FFFECACA"/>
        </patternFill>
      </fill>
    </dxf>
    <dxf>
      <fill>
        <patternFill patternType="solid">
          <bgColor rgb="FFDCFCE7"/>
        </patternFill>
      </fill>
    </dxf>
    <dxf>
      <fill>
        <patternFill patternType="solid">
          <bgColor rgb="FFDCFCE7"/>
        </patternFill>
      </fill>
    </dxf>
    <dxf>
      <fill>
        <patternFill patternType="solid">
          <bgColor rgb="FFFEF3C7"/>
        </patternFill>
      </fill>
    </dxf>
    <dxf>
      <fill>
        <patternFill patternType="solid">
          <bgColor rgb="FFFEF3C7"/>
        </patternFill>
      </fill>
    </dxf>
    <dxf>
      <fill>
        <patternFill patternType="solid">
          <bgColor rgb="FFFECACA"/>
        </patternFill>
      </fill>
    </dxf>
    <dxf>
      <fill>
        <patternFill patternType="solid">
          <bgColor rgb="FFFEF3C7"/>
        </patternFill>
      </fill>
    </dxf>
    <dxf>
      <fill>
        <patternFill patternType="solid">
          <bgColor rgb="FFFECACA"/>
        </patternFill>
      </fill>
    </dxf>
    <dxf>
      <fill>
        <patternFill patternType="solid">
          <bgColor rgb="FFDCFCE7"/>
        </patternFill>
      </fill>
    </dxf>
    <dxf>
      <fill>
        <patternFill patternType="solid">
          <bgColor rgb="FFDCFC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r>
              <a:rPr lang="ja-JP" altLang="en-US"/>
              <a:t>ロット別 進捗</a:t>
            </a:r>
          </a:p>
        </rich>
      </tx>
      <overlay val="0"/>
    </title>
    <plotArea>
      <layout/>
      <barChart>
        <barDir val="col"/>
        <grouping val="clustered"/>
        <varyColors val="0"/>
        <ser>
          <idx val="0"/>
          <order val="0"/>
          <tx>
            <v>#NAME?</v>
          </tx>
          <spPr>
            <a:ln>
              <a:prstDash val="solid"/>
            </a:ln>
          </spPr>
          <invertIfNegative val="1"/>
          <cat>
            <strRef>
              <f>ダッシュボード!$A$11:$A$13</f>
              <strCache>
                <ptCount val="3"/>
                <pt idx="0">
                  <v>第2ロット：屋根修理・屋根材系</v>
                </pt>
                <pt idx="1">
                  <v>第3ロット：外壁塗装・防水系</v>
                </pt>
                <pt idx="2">
                  <v>第4ロット：雨樋・軒天・付帯部系</v>
                </pt>
              </strCache>
            </strRef>
          </cat>
          <val>
            <numRef>
              <f>ダッシュボード!$B$11:$B$13</f>
              <numCache>
                <formatCode>General</formatCode>
                <ptCount val="3"/>
                <pt idx="0">
                  <v>19</v>
                </pt>
                <pt idx="1">
                  <v>23</v>
                </pt>
                <pt idx="2">
                  <v>20</v>
                </pt>
              </numCache>
            </numRef>
          </val>
        </ser>
        <ser>
          <idx val="1"/>
          <order val="1"/>
          <tx>
            <v>#NAME?</v>
          </tx>
          <spPr>
            <a:ln>
              <a:prstDash val="solid"/>
            </a:ln>
          </spPr>
          <invertIfNegative val="1"/>
          <cat>
            <strRef>
              <f>ダッシュボード!$A$11:$A$13</f>
              <strCache>
                <ptCount val="3"/>
                <pt idx="0">
                  <v>第2ロット：屋根修理・屋根材系</v>
                </pt>
                <pt idx="1">
                  <v>第3ロット：外壁塗装・防水系</v>
                </pt>
                <pt idx="2">
                  <v>第4ロット：雨樋・軒天・付帯部系</v>
                </pt>
              </strCache>
            </strRef>
          </cat>
          <val>
            <numRef>
              <f>ダッシュボード!$C$11:$C$13</f>
              <numCache>
                <formatCode>General</formatCode>
                <ptCount val="3"/>
                <pt idx="0">
                  <v>0</v>
                </pt>
                <pt idx="1">
                  <v>0</v>
                </pt>
                <pt idx="2">
                  <v>0</v>
                </pt>
              </numCache>
            </numRef>
          </val>
        </ser>
        <ser>
          <idx val="2"/>
          <order val="2"/>
          <tx>
            <v>#NAME?</v>
          </tx>
          <spPr>
            <a:ln>
              <a:prstDash val="solid"/>
            </a:ln>
          </spPr>
          <invertIfNegative val="1"/>
          <cat>
            <strRef>
              <f>ダッシュボード!$A$11:$A$13</f>
              <strCache>
                <ptCount val="3"/>
                <pt idx="0">
                  <v>第2ロット：屋根修理・屋根材系</v>
                </pt>
                <pt idx="1">
                  <v>第3ロット：外壁塗装・防水系</v>
                </pt>
                <pt idx="2">
                  <v>第4ロット：雨樋・軒天・付帯部系</v>
                </pt>
              </strCache>
            </strRef>
          </cat>
          <val>
            <numRef>
              <f>ダッシュボード!$D$11:$D$13</f>
              <numCache>
                <formatCode>General</formatCode>
                <ptCount val="3"/>
                <pt idx="0">
                  <v>0</v>
                </pt>
                <pt idx="1">
                  <v>0</v>
                </pt>
                <pt idx="2">
                  <v>0</v>
                </pt>
              </numCache>
            </numRef>
          </val>
        </ser>
        <ser>
          <idx val="3"/>
          <order val="3"/>
          <tx>
            <v>#NAME?</v>
          </tx>
          <spPr>
            <a:ln>
              <a:prstDash val="solid"/>
            </a:ln>
          </spPr>
          <invertIfNegative val="1"/>
          <cat>
            <strRef>
              <f>ダッシュボード!$A$11:$A$13</f>
              <strCache>
                <ptCount val="3"/>
                <pt idx="0">
                  <v>第2ロット：屋根修理・屋根材系</v>
                </pt>
                <pt idx="1">
                  <v>第3ロット：外壁塗装・防水系</v>
                </pt>
                <pt idx="2">
                  <v>第4ロット：雨樋・軒天・付帯部系</v>
                </pt>
              </strCache>
            </strRef>
          </cat>
          <val>
            <numRef>
              <f>ダッシュボード!$E$11:$E$13</f>
              <numCache>
                <formatCode>General</formatCode>
                <ptCount val="3"/>
                <pt idx="0">
                  <v>0</v>
                </pt>
                <pt idx="1">
                  <v>0</v>
                </pt>
                <pt idx="2">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w="9525">
              <a:solidFill>
                <a:srgbClr val="CCCCCC"/>
              </a:solidFill>
              <a:prstDash val="dash"/>
            </a:ln>
          </spPr>
        </majorGridlines>
        <numFmt formatCode="General" sourceLinked="0"/>
        <majorTickMark val="none"/>
        <minorTickMark val="none"/>
        <tickLblPos val="nextTo"/>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8</col>
      <colOff>0</colOff>
      <row>2</row>
      <rowOff>0</rowOff>
    </from>
    <to>
      <col>16</col>
      <colOff>0</colOff>
      <row>18</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ProductionTable" displayName="ProductionTable" ref="A1:AQ81" headerRowCount="1">
  <tableColumns count="43">
    <tableColumn id="1" name="No"/>
    <tableColumn id="2" name="指定KW"/>
    <tableColumn id="3" name="管理KW"/>
    <tableColumn id="4" name="記事タイトル案"/>
    <tableColumn id="5" name="記事カテゴリ"/>
    <tableColumn id="6" name="記事タイプ"/>
    <tableColumn id="7" name="記事構成型"/>
    <tableColumn id="8" name="文字数目安"/>
    <tableColumn id="9" name="文字数下限"/>
    <tableColumn id="10" name="文字数上限"/>
    <tableColumn id="11" name="優先度"/>
    <tableColumn id="12" name="ロット"/>
    <tableColumn id="13" name="記事ファイル名"/>
    <tableColumn id="14" name="画像ファイル名"/>
    <tableColumn id="15" name="スラッグ"/>
    <tableColumn id="16" name="メタディスクリプション案"/>
    <tableColumn id="17" name="WPカテゴリ"/>
    <tableColumn id="18" name="タグ案"/>
    <tableColumn id="19" name="主訴求サービス"/>
    <tableColumn id="20" name="CTAタイプ"/>
    <tableColumn id="21" name="CTA文"/>
    <tableColumn id="22" name="アイキャッチ主コピー"/>
    <tableColumn id="23" name="アイキャッチサブコピー"/>
    <tableColumn id="24" name="アイキャッチ補助コピー"/>
    <tableColumn id="25" name="背景モチーフ"/>
    <tableColumn id="26" name="人物モチーフ"/>
    <tableColumn id="27" name="地域要素"/>
    <tableColumn id="28" name="アイキャッチ方向性"/>
    <tableColumn id="29" name="記事制作ステータス"/>
    <tableColumn id="30" name="画像制作ステータス"/>
    <tableColumn id="31" name="GitHub反映ステータス"/>
    <tableColumn id="32" name="投稿ステータス"/>
    <tableColumn id="33" name="最終実行モード"/>
    <tableColumn id="34" name="WP投稿ID"/>
    <tableColumn id="35" name="WP投稿URL"/>
    <tableColumn id="36" name="最終投稿日時"/>
    <tableColumn id="37" name="最終更新日時"/>
    <tableColumn id="38" name="文字数実績"/>
    <tableColumn id="39" name="文字数判定"/>
    <tableColumn id="40" name="エラー内容"/>
    <tableColumn id="41" name="内部リンク方針"/>
    <tableColumn id="42" name="砂田塗装型チェック"/>
    <tableColumn id="43" name="備考"/>
  </tableColumns>
  <tableStyleInfo name="TableStyleMedium2" showFirstColumn="0" showLastColumn="0" showRowStripes="1" showColumnStripes="0"/>
</table>
</file>

<file path=xl/tables/table2.xml><?xml version="1.0" encoding="utf-8"?>
<table xmlns="http://schemas.openxmlformats.org/spreadsheetml/2006/main" id="2" name="EyecatchTable" displayName="EyecatchTable" ref="A1:K81" headerRowCount="1">
  <tableColumns count="11">
    <tableColumn id="1" name="No"/>
    <tableColumn id="2" name="指定KW"/>
    <tableColumn id="3" name="画像ファイル名"/>
    <tableColumn id="4" name="アイキャッチ主コピー"/>
    <tableColumn id="5" name="アイキャッチサブコピー"/>
    <tableColumn id="6" name="補助コピー"/>
    <tableColumn id="7" name="背景モチーフ"/>
    <tableColumn id="8" name="人物モチーフ"/>
    <tableColumn id="9" name="地域要素"/>
    <tableColumn id="10" name="方向性"/>
    <tableColumn id="11" name="備考"/>
  </tableColumns>
  <tableStyleInfo name="TableStyleMedium2" showFirstColumn="0" showLastColumn="0" showRowStripes="1" showColumnStripes="0"/>
</table>
</file>

<file path=xl/tables/table3.xml><?xml version="1.0" encoding="utf-8"?>
<table xmlns="http://schemas.openxmlformats.org/spreadsheetml/2006/main" id="3" name="RulesTable" displayName="RulesTable" ref="A1:C11" headerRowCount="1">
  <tableColumns count="3">
    <tableColumn id="1" name="区分"/>
    <tableColumn id="2" name="ルール"/>
    <tableColumn id="3" name="詳細"/>
  </tableColumns>
  <tableStyleInfo name="TableStyleMedium2" showFirstColumn="0" showLastColumn="0" showRowStripes="1" showColumnStripes="0"/>
</table>
</file>

<file path=xl/tables/table4.xml><?xml version="1.0" encoding="utf-8"?>
<table xmlns="http://schemas.openxmlformats.org/spreadsheetml/2006/main" id="4" name="PostLogTable" displayName="PostLogTable" ref="A1:K2" headerRowCount="1">
  <tableColumns count="11">
    <tableColumn id="1" name="実行日時"/>
    <tableColumn id="2" name="No"/>
    <tableColumn id="3" name="指定KW"/>
    <tableColumn id="4" name="mode"/>
    <tableColumn id="5" name="write_mode"/>
    <tableColumn id="6" name="status"/>
    <tableColumn id="7" name="WP投稿ID"/>
    <tableColumn id="8" name="WP投稿URL"/>
    <tableColumn id="9" name="記事ファイル"/>
    <tableColumn id="10" name="画像ファイル"/>
    <tableColumn id="11" name="message"/>
  </tableColumns>
  <tableStyleInfo name="TableStyleMedium2" showFirstColumn="0" showLastColumn="0" showRowStripes="1" showColumnStripes="0"/>
</table>
</file>

<file path=xl/tables/table5.xml><?xml version="1.0" encoding="utf-8"?>
<table xmlns="http://schemas.openxmlformats.org/spreadsheetml/2006/main" id="5" name="ClaudeMemoTable" displayName="ClaudeMemoTable" ref="A1:B9" headerRowCount="1">
  <tableColumns count="2">
    <tableColumn id="1" name="項目"/>
    <tableColumn id="2" name="内容"/>
  </tableColumns>
  <tableStyleInfo name="TableStyleMedium2" showFirstColumn="0" showLastColumn="0" showRowStripes="1" showColumnStripes="0"/>
</table>
</file>

<file path=xl/tables/table6.xml><?xml version="1.0" encoding="utf-8"?>
<table xmlns="http://schemas.openxmlformats.org/spreadsheetml/2006/main" id="6" name="OldManagementTable" displayName="OldManagementTable" ref="A1:W81" headerRowCount="1">
  <tableColumns count="23">
    <tableColumn id="1" name="No"/>
    <tableColumn id="2" name="指定KW"/>
    <tableColumn id="3" name="管理KW"/>
    <tableColumn id="4" name="記事タイトル案"/>
    <tableColumn id="5" name="記事カテゴリ"/>
    <tableColumn id="6" name="記事タイプ"/>
    <tableColumn id="7" name="文字数目安"/>
    <tableColumn id="8" name="優先度"/>
    <tableColumn id="9" name="ロット"/>
    <tableColumn id="10" name="アイキャッチ型"/>
    <tableColumn id="11" name="画像内テキスト"/>
    <tableColumn id="12" name="スラッグ"/>
    <tableColumn id="13" name="画像ファイル名"/>
    <tableColumn id="14" name="メタディスクリプション案"/>
    <tableColumn id="15" name="WPカテゴリ"/>
    <tableColumn id="16" name="タグ案"/>
    <tableColumn id="17" name="制作ステータス"/>
    <tableColumn id="18" name="構成ステータス"/>
    <tableColumn id="19" name="本文ステータス"/>
    <tableColumn id="20" name="アイキャッチステータス"/>
    <tableColumn id="21" name="記事URL"/>
    <tableColumn id="22" name="内部リンク方針"/>
    <tableColumn id="23" name="備考"/>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G15"/>
  <sheetViews>
    <sheetView workbookViewId="0">
      <selection activeCell="A5" sqref="A5"/>
    </sheetView>
  </sheetViews>
  <sheetFormatPr baseColWidth="8" defaultRowHeight="14.25"/>
  <cols>
    <col width="28" customWidth="1" style="24" min="1" max="1"/>
    <col width="16" customWidth="1" style="24" min="2" max="2"/>
    <col width="22" customWidth="1" style="24" min="3" max="3"/>
    <col width="6" customWidth="1" style="24" min="4" max="4"/>
    <col width="24" customWidth="1" style="24" min="5" max="5"/>
    <col width="16" customWidth="1" style="24" min="6" max="6"/>
    <col width="8" customWidth="1" style="24" min="7" max="7"/>
  </cols>
  <sheetData>
    <row r="1" ht="64.90000000000001" customHeight="1" s="24">
      <c r="A1" s="21" t="inlineStr">
        <is>
          <t>SEO 80KW 制作・投稿管理ダッシュボード</t>
        </is>
      </c>
    </row>
    <row r="2" ht="15" customHeight="1" s="24">
      <c r="A2" s="3" t="inlineStr">
        <is>
          <t>更新日時</t>
        </is>
      </c>
      <c r="B2" s="3" t="inlineStr">
        <is>
          <t>2026-06-26 08:25</t>
        </is>
      </c>
      <c r="C2" s="3" t="n"/>
      <c r="D2" s="3" t="n"/>
      <c r="E2" s="3" t="n"/>
      <c r="F2" s="3" t="n"/>
      <c r="G2" s="3" t="n"/>
    </row>
    <row r="3" ht="15" customHeight="1" s="24">
      <c r="A3" s="10" t="inlineStr">
        <is>
          <t>KPI</t>
        </is>
      </c>
      <c r="B3" s="10" t="inlineStr">
        <is>
          <t>件数</t>
        </is>
      </c>
      <c r="C3" s="10" t="inlineStr">
        <is>
          <t>メモ</t>
        </is>
      </c>
      <c r="D3" s="10" t="n"/>
      <c r="E3" s="10" t="inlineStr">
        <is>
          <t>ステータス別</t>
        </is>
      </c>
      <c r="F3" s="10" t="inlineStr">
        <is>
          <t>件数</t>
        </is>
      </c>
      <c r="G3" s="10" t="n"/>
    </row>
    <row r="4" ht="15" customHeight="1" s="24">
      <c r="A4" s="3" t="inlineStr">
        <is>
          <t>総KW数</t>
        </is>
      </c>
      <c r="B4" s="3">
        <f>COUNTA(制作管理表!A2:A81)</f>
        <v/>
      </c>
      <c r="C4" s="3" t="inlineStr">
        <is>
          <t>管理対象の総数</t>
        </is>
      </c>
      <c r="D4" s="3" t="n"/>
      <c r="E4" s="3" t="inlineStr">
        <is>
          <t>記事制作：完了</t>
        </is>
      </c>
      <c r="F4" s="3">
        <f>COUNTIF(制作管理表!AC2:AC81,"完了")</f>
        <v/>
      </c>
      <c r="G4" s="3" t="n"/>
    </row>
    <row r="5" ht="15" customHeight="1" s="24">
      <c r="A5" s="3" t="inlineStr">
        <is>
          <t>要再編集</t>
        </is>
      </c>
      <c r="B5" s="3">
        <f>COUNTIF(制作管理表!AC2:AC81,"要再編集")</f>
        <v/>
      </c>
      <c r="C5" s="3" t="inlineStr">
        <is>
          <t>記事作り直し対象</t>
        </is>
      </c>
      <c r="D5" s="3" t="n"/>
      <c r="E5" s="3" t="inlineStr">
        <is>
          <t>画像：完了</t>
        </is>
      </c>
      <c r="F5" s="3">
        <f>COUNTIF(制作管理表!AD2:AD81,"完了")</f>
        <v/>
      </c>
      <c r="G5" s="3" t="n"/>
    </row>
    <row r="6" ht="26.45" customHeight="1" s="24">
      <c r="A6" s="3" t="inlineStr">
        <is>
          <t>画像差替必要</t>
        </is>
      </c>
      <c r="B6" s="3">
        <f>COUNTIF(制作管理表!AD2:AD81,"差替必要")</f>
        <v/>
      </c>
      <c r="C6" s="3" t="inlineStr">
        <is>
          <t>アイキャッチ作り直し対象</t>
        </is>
      </c>
      <c r="D6" s="3" t="n"/>
      <c r="E6" s="3" t="inlineStr">
        <is>
          <t>投稿：下書き投稿済</t>
        </is>
      </c>
      <c r="F6" s="3">
        <f>COUNTIF(制作管理表!AF2:AF81,"下書き投稿済")</f>
        <v/>
      </c>
      <c r="G6" s="3" t="n"/>
    </row>
    <row r="7" ht="15" customHeight="1" s="24">
      <c r="A7" s="3" t="inlineStr">
        <is>
          <t>投稿エラー</t>
        </is>
      </c>
      <c r="B7" s="3">
        <f>COUNTIF(制作管理表!AF2:AF81,"error")</f>
        <v/>
      </c>
      <c r="C7" s="3" t="inlineStr">
        <is>
          <t>Actions結果を反映</t>
        </is>
      </c>
      <c r="D7" s="3" t="n"/>
      <c r="E7" s="3" t="inlineStr">
        <is>
          <t>文字数OK</t>
        </is>
      </c>
      <c r="F7" s="3">
        <f>COUNTIF(制作管理表!AM2:AM81,"OK")</f>
        <v/>
      </c>
      <c r="G7" s="3" t="n"/>
    </row>
    <row r="8" ht="15" customHeight="1" s="24">
      <c r="A8" s="3" t="n"/>
      <c r="B8" s="3" t="n"/>
      <c r="C8" s="3" t="n"/>
      <c r="D8" s="3" t="n"/>
      <c r="E8" s="3" t="n"/>
      <c r="F8" s="3" t="n"/>
      <c r="G8" s="3" t="n"/>
    </row>
    <row r="9" ht="26.45" customHeight="1" s="24">
      <c r="A9" s="11" t="inlineStr">
        <is>
          <t>ロット</t>
        </is>
      </c>
      <c r="B9" s="11" t="inlineStr">
        <is>
          <t>総数</t>
        </is>
      </c>
      <c r="C9" s="11" t="inlineStr">
        <is>
          <t>記事完了</t>
        </is>
      </c>
      <c r="D9" s="11" t="inlineStr">
        <is>
          <t>画像完了</t>
        </is>
      </c>
      <c r="E9" s="11" t="inlineStr">
        <is>
          <t>投稿済/更新済</t>
        </is>
      </c>
      <c r="F9" s="11" t="inlineStr">
        <is>
          <t>エラー</t>
        </is>
      </c>
      <c r="G9" s="11" t="n"/>
    </row>
    <row r="10" ht="26.45" customHeight="1" s="24">
      <c r="A10" s="3" t="inlineStr">
        <is>
          <t>第1ロット：雨漏り系</t>
        </is>
      </c>
      <c r="B10" s="3">
        <f>COUNTIF(制作管理表!L2:L81,"第1ロット：雨漏り系")</f>
        <v/>
      </c>
      <c r="C10" s="3">
        <f>COUNTIFS(制作管理表!L2:L81,"第1ロット：雨漏り系",制作管理表!AC2:AC81,"完了")</f>
        <v/>
      </c>
      <c r="D10" s="3">
        <f>COUNTIFS(制作管理表!L2:L81,"第1ロット：雨漏り系",制作管理表!AD2:AD81,"完了")</f>
        <v/>
      </c>
      <c r="E10" s="3">
        <f>COUNTIFS(制作管理表!L2:L81,"第1ロット：雨漏り系",制作管理表!AF2:AF81,"更新済")+COUNTIFS(制作管理表!L2:L81,"第1ロット：雨漏り系",制作管理表!AF2:AF81,"下書き投稿済")</f>
        <v/>
      </c>
      <c r="F10" s="3">
        <f>COUNTIFS(制作管理表!L2:L81,"第1ロット：雨漏り系",制作管理表!AF2:AF81,"error")</f>
        <v/>
      </c>
      <c r="G10" s="3" t="n"/>
    </row>
    <row r="11" ht="26.45" customHeight="1" s="24">
      <c r="A11" s="3" t="inlineStr">
        <is>
          <t>第2ロット：屋根修理・屋根材系</t>
        </is>
      </c>
      <c r="B11" s="3">
        <f>COUNTIF(制作管理表!L2:L81,"第2ロット：屋根修理・屋根材系")</f>
        <v/>
      </c>
      <c r="C11" s="3">
        <f>COUNTIFS(制作管理表!L2:L81,"第2ロット：屋根修理・屋根材系",制作管理表!AC2:AC81,"完了")</f>
        <v/>
      </c>
      <c r="D11" s="3">
        <f>COUNTIFS(制作管理表!L2:L81,"第2ロット：屋根修理・屋根材系",制作管理表!AD2:AD81,"完了")</f>
        <v/>
      </c>
      <c r="E11" s="3">
        <f>COUNTIFS(制作管理表!L2:L81,"第2ロット：屋根修理・屋根材系",制作管理表!AF2:AF81,"更新済")+COUNTIFS(制作管理表!L2:L81,"第2ロット：屋根修理・屋根材系",制作管理表!AF2:AF81,"下書き投稿済")</f>
        <v/>
      </c>
      <c r="F11" s="3">
        <f>COUNTIFS(制作管理表!L2:L81,"第2ロット：屋根修理・屋根材系",制作管理表!AF2:AF81,"error")</f>
        <v/>
      </c>
      <c r="G11" s="3" t="n"/>
    </row>
    <row r="12" ht="26.45" customHeight="1" s="24">
      <c r="A12" s="3" t="inlineStr">
        <is>
          <t>第3ロット：外壁塗装・防水系</t>
        </is>
      </c>
      <c r="B12" s="3">
        <f>COUNTIF(制作管理表!L2:L81,"第3ロット：外壁塗装・防水系")</f>
        <v/>
      </c>
      <c r="C12" s="3">
        <f>COUNTIFS(制作管理表!L2:L81,"第3ロット：外壁塗装・防水系",制作管理表!AC2:AC81,"完了")</f>
        <v/>
      </c>
      <c r="D12" s="3">
        <f>COUNTIFS(制作管理表!L2:L81,"第3ロット：外壁塗装・防水系",制作管理表!AD2:AD81,"完了")</f>
        <v/>
      </c>
      <c r="E12" s="3">
        <f>COUNTIFS(制作管理表!L2:L81,"第3ロット：外壁塗装・防水系",制作管理表!AF2:AF81,"更新済")+COUNTIFS(制作管理表!L2:L81,"第3ロット：外壁塗装・防水系",制作管理表!AF2:AF81,"下書き投稿済")</f>
        <v/>
      </c>
      <c r="F12" s="3">
        <f>COUNTIFS(制作管理表!L2:L81,"第3ロット：外壁塗装・防水系",制作管理表!AF2:AF81,"error")</f>
        <v/>
      </c>
      <c r="G12" s="3" t="n"/>
    </row>
    <row r="13" ht="26.45" customHeight="1" s="24">
      <c r="A13" s="3" t="inlineStr">
        <is>
          <t>第4ロット：雨樋・軒天・付帯部系</t>
        </is>
      </c>
      <c r="B13" s="3">
        <f>COUNTIF(制作管理表!L2:L81,"第4ロット：雨樋・軒天・付帯部系")</f>
        <v/>
      </c>
      <c r="C13" s="3">
        <f>COUNTIFS(制作管理表!L2:L81,"第4ロット：雨樋・軒天・付帯部系",制作管理表!AC2:AC81,"完了")</f>
        <v/>
      </c>
      <c r="D13" s="3">
        <f>COUNTIFS(制作管理表!L2:L81,"第4ロット：雨樋・軒天・付帯部系",制作管理表!AD2:AD81,"完了")</f>
        <v/>
      </c>
      <c r="E13" s="3">
        <f>COUNTIFS(制作管理表!L2:L81,"第4ロット：雨樋・軒天・付帯部系",制作管理表!AF2:AF81,"更新済")+COUNTIFS(制作管理表!L2:L81,"第4ロット：雨樋・軒天・付帯部系",制作管理表!AF2:AF81,"下書き投稿済")</f>
        <v/>
      </c>
      <c r="F13" s="3">
        <f>COUNTIFS(制作管理表!L2:L81,"第4ロット：雨樋・軒天・付帯部系",制作管理表!AF2:AF81,"error")</f>
        <v/>
      </c>
      <c r="G13" s="3" t="n"/>
    </row>
    <row r="14" ht="15" customHeight="1" s="24">
      <c r="A14" s="3" t="n"/>
      <c r="B14" s="3" t="n"/>
      <c r="C14" s="3" t="n"/>
      <c r="D14" s="3" t="n"/>
      <c r="E14" s="3" t="n"/>
      <c r="F14" s="3" t="n"/>
      <c r="G14" s="3" t="n"/>
    </row>
    <row r="15" ht="52.7" customHeight="1" s="24">
      <c r="A15" s="3" t="inlineStr">
        <is>
          <t>次にやること</t>
        </is>
      </c>
      <c r="B15" s="3" t="inlineStr">
        <is>
          <t>1. 制作管理表で対象Noを選ぶ</t>
        </is>
      </c>
      <c r="C15" s="3" t="inlineStr">
        <is>
          <t>2. MD記事作成</t>
        </is>
      </c>
      <c r="D15" s="3" t="inlineStr">
        <is>
          <t>3. アイキャッチ作成</t>
        </is>
      </c>
      <c r="E15" s="3" t="inlineStr">
        <is>
          <t>4. GitHub反映</t>
        </is>
      </c>
      <c r="F15" s="3" t="inlineStr">
        <is>
          <t>5. dry-run→draft投稿</t>
        </is>
      </c>
      <c r="G15" s="3" t="n"/>
    </row>
  </sheetData>
  <mergeCells count="1">
    <mergeCell ref="A1:G1"/>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Q81"/>
  <sheetViews>
    <sheetView tabSelected="1" topLeftCell="G66" workbookViewId="0">
      <selection activeCell="O77" sqref="O77"/>
    </sheetView>
  </sheetViews>
  <sheetFormatPr baseColWidth="8" defaultRowHeight="14.25"/>
  <cols>
    <col width="6" customWidth="1" style="24" min="1" max="1"/>
    <col width="22" customWidth="1" style="24" min="2" max="3"/>
    <col width="38" customWidth="1" style="24" min="4" max="4"/>
    <col width="14" customWidth="1" style="24" min="5" max="5"/>
    <col width="16" customWidth="1" style="24" min="6" max="6"/>
    <col width="18" customWidth="1" style="24" min="7" max="7"/>
    <col width="14" customWidth="1" style="24" min="8" max="8"/>
    <col width="10" customWidth="1" style="24" min="9" max="11"/>
    <col width="22" customWidth="1" style="24" min="12" max="12"/>
    <col width="12" customWidth="1" style="24" min="13" max="14"/>
    <col width="28" customWidth="1" style="24" min="15" max="15"/>
    <col width="42" customWidth="1" style="24" min="16" max="16"/>
    <col width="18" customWidth="1" style="24" min="17" max="17"/>
    <col width="28" customWidth="1" style="24" min="18" max="18"/>
    <col width="24" customWidth="1" style="24" min="19" max="19"/>
    <col width="18" customWidth="1" style="24" min="20" max="20"/>
    <col width="44" customWidth="1" style="24" min="21" max="21"/>
    <col width="24" customWidth="1" style="24" min="22" max="22"/>
    <col width="34" customWidth="1" style="24" min="23" max="23"/>
    <col width="32" customWidth="1" style="24" min="24" max="24"/>
    <col width="36" customWidth="1" style="24" min="25" max="25"/>
    <col width="24" customWidth="1" style="24" min="26" max="26"/>
    <col width="12" customWidth="1" style="24" min="27" max="27"/>
    <col width="24" customWidth="1" style="24" min="28" max="28"/>
    <col width="14" customWidth="1" style="24" min="29" max="32"/>
    <col width="16" customWidth="1" style="24" min="33" max="33"/>
    <col width="12" customWidth="1" style="24" min="34" max="34"/>
    <col width="28" customWidth="1" style="24" min="35" max="35"/>
    <col width="18" customWidth="1" style="24" min="36" max="37"/>
    <col width="10" customWidth="1" style="24" min="38" max="39"/>
    <col width="34" customWidth="1" style="24" min="40" max="40"/>
    <col width="42" customWidth="1" style="24" min="41" max="41"/>
    <col width="38" customWidth="1" style="24" min="42" max="42"/>
    <col width="24" customWidth="1" style="24" min="43" max="43"/>
  </cols>
  <sheetData>
    <row r="1" ht="33.95" customHeight="1" s="24">
      <c r="A1" s="4" t="inlineStr">
        <is>
          <t>No</t>
        </is>
      </c>
      <c r="B1" s="4" t="inlineStr">
        <is>
          <t>指定KW</t>
        </is>
      </c>
      <c r="C1" s="4" t="inlineStr">
        <is>
          <t>管理KW</t>
        </is>
      </c>
      <c r="D1" s="4" t="inlineStr">
        <is>
          <t>記事タイトル案</t>
        </is>
      </c>
      <c r="E1" s="4" t="inlineStr">
        <is>
          <t>記事カテゴリ</t>
        </is>
      </c>
      <c r="F1" s="4" t="inlineStr">
        <is>
          <t>記事タイプ</t>
        </is>
      </c>
      <c r="G1" s="4" t="inlineStr">
        <is>
          <t>記事構成型</t>
        </is>
      </c>
      <c r="H1" s="4" t="inlineStr">
        <is>
          <t>文字数目安</t>
        </is>
      </c>
      <c r="I1" s="4" t="inlineStr">
        <is>
          <t>文字数下限</t>
        </is>
      </c>
      <c r="J1" s="4" t="inlineStr">
        <is>
          <t>文字数上限</t>
        </is>
      </c>
      <c r="K1" s="4" t="inlineStr">
        <is>
          <t>優先度</t>
        </is>
      </c>
      <c r="L1" s="4" t="inlineStr">
        <is>
          <t>ロット</t>
        </is>
      </c>
      <c r="M1" s="4" t="inlineStr">
        <is>
          <t>記事ファイル名</t>
        </is>
      </c>
      <c r="N1" s="4" t="inlineStr">
        <is>
          <t>画像ファイル名</t>
        </is>
      </c>
      <c r="O1" s="4" t="inlineStr">
        <is>
          <t>スラッグ</t>
        </is>
      </c>
      <c r="P1" s="4" t="inlineStr">
        <is>
          <t>メタディスクリプション案</t>
        </is>
      </c>
      <c r="Q1" s="4" t="inlineStr">
        <is>
          <t>WPカテゴリ</t>
        </is>
      </c>
      <c r="R1" s="4" t="inlineStr">
        <is>
          <t>タグ案</t>
        </is>
      </c>
      <c r="S1" s="6" t="inlineStr">
        <is>
          <t>主訴求サービス</t>
        </is>
      </c>
      <c r="T1" s="6" t="inlineStr">
        <is>
          <t>CTAタイプ</t>
        </is>
      </c>
      <c r="U1" s="6" t="inlineStr">
        <is>
          <t>CTA文</t>
        </is>
      </c>
      <c r="V1" s="7" t="inlineStr">
        <is>
          <t>アイキャッチ主コピー</t>
        </is>
      </c>
      <c r="W1" s="7" t="inlineStr">
        <is>
          <t>アイキャッチサブコピー</t>
        </is>
      </c>
      <c r="X1" s="7" t="inlineStr">
        <is>
          <t>アイキャッチ補助コピー</t>
        </is>
      </c>
      <c r="Y1" s="7" t="inlineStr">
        <is>
          <t>背景モチーフ</t>
        </is>
      </c>
      <c r="Z1" s="7" t="inlineStr">
        <is>
          <t>人物モチーフ</t>
        </is>
      </c>
      <c r="AA1" s="7" t="inlineStr">
        <is>
          <t>地域要素</t>
        </is>
      </c>
      <c r="AB1" s="7" t="inlineStr">
        <is>
          <t>アイキャッチ方向性</t>
        </is>
      </c>
      <c r="AC1" s="8" t="inlineStr">
        <is>
          <t>記事制作ステータス</t>
        </is>
      </c>
      <c r="AD1" s="8" t="inlineStr">
        <is>
          <t>画像制作ステータス</t>
        </is>
      </c>
      <c r="AE1" s="8" t="inlineStr">
        <is>
          <t>GitHub反映ステータス</t>
        </is>
      </c>
      <c r="AF1" s="8" t="inlineStr">
        <is>
          <t>投稿ステータス</t>
        </is>
      </c>
      <c r="AG1" s="8" t="inlineStr">
        <is>
          <t>最終実行モード</t>
        </is>
      </c>
      <c r="AH1" s="8" t="inlineStr">
        <is>
          <t>WP投稿ID</t>
        </is>
      </c>
      <c r="AI1" s="8" t="inlineStr">
        <is>
          <t>WP投稿URL</t>
        </is>
      </c>
      <c r="AJ1" s="8" t="inlineStr">
        <is>
          <t>最終投稿日時</t>
        </is>
      </c>
      <c r="AK1" s="8" t="inlineStr">
        <is>
          <t>最終更新日時</t>
        </is>
      </c>
      <c r="AL1" s="8" t="inlineStr">
        <is>
          <t>文字数実績</t>
        </is>
      </c>
      <c r="AM1" s="8" t="inlineStr">
        <is>
          <t>文字数判定</t>
        </is>
      </c>
      <c r="AN1" s="8" t="inlineStr">
        <is>
          <t>エラー内容</t>
        </is>
      </c>
      <c r="AO1" s="9" t="inlineStr">
        <is>
          <t>内部リンク方針</t>
        </is>
      </c>
      <c r="AP1" s="9" t="inlineStr">
        <is>
          <t>砂田塗装型チェック</t>
        </is>
      </c>
      <c r="AQ1" s="9" t="inlineStr">
        <is>
          <t>備考</t>
        </is>
      </c>
    </row>
    <row r="2" ht="42.75" customHeight="1" s="24">
      <c r="A2" s="5" t="n">
        <v>1</v>
      </c>
      <c r="B2" s="5" t="inlineStr">
        <is>
          <t>松山市 雨漏り修理</t>
        </is>
      </c>
      <c r="C2" s="5" t="inlineStr">
        <is>
          <t>松山市 雨漏り修理</t>
        </is>
      </c>
      <c r="D2" s="5" t="inlineStr">
        <is>
          <t>松山市で雨漏り修理を依頼するなら？原因調査・費用・業者選びを解説</t>
        </is>
      </c>
      <c r="E2" s="5" t="inlineStr">
        <is>
          <t>雨漏り</t>
        </is>
      </c>
      <c r="F2" s="5" t="inlineStr">
        <is>
          <t>地域サービス型</t>
        </is>
      </c>
      <c r="G2" s="5" t="inlineStr">
        <is>
          <t>地域サービス型</t>
        </is>
      </c>
      <c r="H2" s="5" t="inlineStr">
        <is>
          <t>4,500〜6,500字</t>
        </is>
      </c>
      <c r="I2" s="5" t="n">
        <v>4500</v>
      </c>
      <c r="J2" s="5" t="n">
        <v>6500</v>
      </c>
      <c r="K2" s="5" t="inlineStr">
        <is>
          <t>高</t>
        </is>
      </c>
      <c r="L2" s="5" t="inlineStr">
        <is>
          <t>第1ロット：雨漏り系</t>
        </is>
      </c>
      <c r="M2" s="5" t="inlineStr">
        <is>
          <t>001.md</t>
        </is>
      </c>
      <c r="N2" s="5" t="inlineStr">
        <is>
          <t>001.webp</t>
        </is>
      </c>
      <c r="O2" s="5" t="inlineStr">
        <is>
          <t>matsuyama-leak-repair</t>
        </is>
      </c>
      <c r="P2" s="5" t="inlineStr">
        <is>
          <t>松山市 雨漏り修理について、主な原因、放置リスク、修理方法、業者選びのポイントを松山市で検討中の方向けに解説します。</t>
        </is>
      </c>
      <c r="Q2" s="5" t="inlineStr">
        <is>
          <t>雨漏り修理</t>
        </is>
      </c>
      <c r="R2" s="5" t="inlineStr">
        <is>
          <t>松山市、雨漏り、雨漏り修理</t>
        </is>
      </c>
      <c r="S2" s="5" t="inlineStr">
        <is>
          <t>雨漏り無料点検・無料見積り</t>
        </is>
      </c>
      <c r="T2" s="5" t="inlineStr">
        <is>
          <t>雨漏り無料点検CTA</t>
        </is>
      </c>
      <c r="U2" s="5" t="inlineStr">
        <is>
          <t>松山市で雨漏りが気になる方は、まずは無料点検・無料見積りをご利用ください。原因を確認し、必要な工事だけをご提案します。</t>
        </is>
      </c>
      <c r="V2" s="5" t="inlineStr">
        <is>
          <t>松山市の雨漏り修理</t>
        </is>
      </c>
      <c r="W2" s="5" t="inlineStr">
        <is>
          <t>原因・費用・業者選びをプロが解説</t>
        </is>
      </c>
      <c r="X2" s="5" t="inlineStr">
        <is>
          <t>無料点検受付中</t>
        </is>
      </c>
      <c r="Y2" s="5" t="inlineStr">
        <is>
          <t>天井シミ・雨だれ・屋根点検</t>
        </is>
      </c>
      <c r="Z2" s="5" t="inlineStr">
        <is>
          <t>ヘルメットの職人</t>
        </is>
      </c>
      <c r="AA2" s="5" t="inlineStr">
        <is>
          <t>松山市版</t>
        </is>
      </c>
      <c r="AB2" s="5" t="inlineStr">
        <is>
          <t>強めサムネ・雨漏り訴求</t>
        </is>
      </c>
      <c r="AC2" s="5" t="inlineStr">
        <is>
          <t>要再編集</t>
        </is>
      </c>
      <c r="AD2" s="5" t="inlineStr">
        <is>
          <t>画像確認済み</t>
        </is>
      </c>
      <c r="AE2" s="5" t="inlineStr">
        <is>
          <t>要反映</t>
        </is>
      </c>
      <c r="AF2" s="5" t="inlineStr">
        <is>
          <t>posted</t>
        </is>
      </c>
      <c r="AG2" s="5" t="inlineStr">
        <is>
          <t>post/create_only</t>
        </is>
      </c>
      <c r="AH2" s="5" t="n">
        <v>21921</v>
      </c>
      <c r="AI2" s="5" t="inlineStr">
        <is>
          <t>https://www.sunadatosou.com/?p=21921</t>
        </is>
      </c>
      <c r="AJ2" s="29" t="inlineStr">
        <is>
          <t>2026-06-27 16:59:20</t>
        </is>
      </c>
      <c r="AK2" s="29" t="n"/>
      <c r="AL2" s="5" t="n">
        <v>4011</v>
      </c>
      <c r="AM2" s="5" t="inlineStr">
        <is>
          <t>不足(目安4,500〜6,500字)</t>
        </is>
      </c>
      <c r="AN2" s="5" t="n"/>
      <c r="AO2" s="5" t="inlineStr">
        <is>
          <t>中心記事「松山市の雨漏り修理」へリンク。関連：雨漏り費用・調査・屋根雨漏り。</t>
        </is>
      </c>
      <c r="AP2" s="5" t="inlineStr">
        <is>
          <t>H1なし／この記事でわかること／地域事情／事例／原因・費用／CTA／FAQ</t>
        </is>
      </c>
      <c r="AQ2" s="5" t="n"/>
    </row>
    <row r="3" ht="42.75" customHeight="1" s="24">
      <c r="A3" s="5" t="n">
        <v>2</v>
      </c>
      <c r="B3" s="5" t="inlineStr">
        <is>
          <t>松山市 雨漏り調査</t>
        </is>
      </c>
      <c r="C3" s="5" t="inlineStr">
        <is>
          <t>松山市 雨漏り調査</t>
        </is>
      </c>
      <c r="D3" s="5" t="inlineStr">
        <is>
          <t>松山市の雨漏り調査とは？調査方法・費用・依頼前の注意点</t>
        </is>
      </c>
      <c r="E3" s="5" t="inlineStr">
        <is>
          <t>雨漏り</t>
        </is>
      </c>
      <c r="F3" s="5" t="inlineStr">
        <is>
          <t>地域サービス型</t>
        </is>
      </c>
      <c r="G3" s="5" t="inlineStr">
        <is>
          <t>地域サービス型</t>
        </is>
      </c>
      <c r="H3" s="5" t="inlineStr">
        <is>
          <t>4,500〜6,500字</t>
        </is>
      </c>
      <c r="I3" s="5" t="n">
        <v>4500</v>
      </c>
      <c r="J3" s="5" t="n">
        <v>6500</v>
      </c>
      <c r="K3" s="5" t="inlineStr">
        <is>
          <t>高</t>
        </is>
      </c>
      <c r="L3" s="5" t="inlineStr">
        <is>
          <t>第1ロット：雨漏り系</t>
        </is>
      </c>
      <c r="M3" s="5" t="inlineStr">
        <is>
          <t>002.md</t>
        </is>
      </c>
      <c r="N3" s="5" t="inlineStr">
        <is>
          <t>002.webp</t>
        </is>
      </c>
      <c r="O3" s="5" t="inlineStr">
        <is>
          <t>matsuyama-leak-investigation</t>
        </is>
      </c>
      <c r="P3" s="5" t="inlineStr">
        <is>
          <t>松山市 雨漏り調査について、主な原因、放置リスク、修理方法、業者選びのポイントを松山市で検討中の方向けに解説します。</t>
        </is>
      </c>
      <c r="Q3" s="5" t="inlineStr">
        <is>
          <t>雨漏り修理</t>
        </is>
      </c>
      <c r="R3" s="5" t="inlineStr">
        <is>
          <t>松山市、雨漏り、雨漏り修理</t>
        </is>
      </c>
      <c r="S3" s="5" t="inlineStr">
        <is>
          <t>写真付き劣化診断書</t>
        </is>
      </c>
      <c r="T3" s="5" t="inlineStr">
        <is>
          <t>写真付き診断CTA</t>
        </is>
      </c>
      <c r="U3" s="5" t="inlineStr">
        <is>
          <t>調査後は写真付きで劣化箇所を共有し、雨水の侵入口や修理範囲を分かりやすくご説明します。</t>
        </is>
      </c>
      <c r="V3" s="5" t="inlineStr">
        <is>
          <t>雨漏り調査は原因特定が命</t>
        </is>
      </c>
      <c r="W3" s="5" t="inlineStr">
        <is>
          <t>散水調査・写真付き診断を解説</t>
        </is>
      </c>
      <c r="X3" s="5" t="inlineStr">
        <is>
          <t>見えない侵入口を確認</t>
        </is>
      </c>
      <c r="Y3" s="5" t="inlineStr">
        <is>
          <t>外壁ひび割れ・サッシ・虫眼鏡</t>
        </is>
      </c>
      <c r="Z3" s="5" t="inlineStr">
        <is>
          <t>虫眼鏡を持つ職人</t>
        </is>
      </c>
      <c r="AA3" s="5" t="inlineStr">
        <is>
          <t>松山市版</t>
        </is>
      </c>
      <c r="AB3" s="5" t="inlineStr">
        <is>
          <t>調査訴求・原因特定</t>
        </is>
      </c>
      <c r="AC3" s="5" t="inlineStr">
        <is>
          <t>要再編集</t>
        </is>
      </c>
      <c r="AD3" s="5" t="inlineStr">
        <is>
          <t>画像確認済み</t>
        </is>
      </c>
      <c r="AE3" s="5" t="inlineStr">
        <is>
          <t>要反映</t>
        </is>
      </c>
      <c r="AF3" s="5" t="inlineStr">
        <is>
          <t>posted</t>
        </is>
      </c>
      <c r="AG3" s="5" t="inlineStr">
        <is>
          <t>post/create_only</t>
        </is>
      </c>
      <c r="AH3" s="5" t="n">
        <v>21923</v>
      </c>
      <c r="AI3" s="5" t="inlineStr">
        <is>
          <t>https://www.sunadatosou.com/?p=21923</t>
        </is>
      </c>
      <c r="AJ3" s="29" t="inlineStr">
        <is>
          <t>2026-06-27 16:59:29</t>
        </is>
      </c>
      <c r="AK3" s="29" t="n"/>
      <c r="AL3" s="5" t="n">
        <v>4123</v>
      </c>
      <c r="AM3" s="5" t="inlineStr">
        <is>
          <t>不足(目安4,500〜6,500字)</t>
        </is>
      </c>
      <c r="AN3" s="5" t="n"/>
      <c r="AO3" s="5" t="inlineStr">
        <is>
          <t>中心記事「松山市の雨漏り修理」へリンク。関連：雨漏り費用・調査・屋根雨漏り。</t>
        </is>
      </c>
      <c r="AP3" s="5" t="inlineStr">
        <is>
          <t>H1なし／この記事でわかること／地域事情／事例／原因・費用／CTA／FAQ</t>
        </is>
      </c>
      <c r="AQ3" s="5" t="n"/>
    </row>
    <row r="4" ht="42.75" customHeight="1" s="24">
      <c r="A4" s="5" t="n">
        <v>3</v>
      </c>
      <c r="B4" s="5" t="inlineStr">
        <is>
          <t>松山市 雨漏り診断</t>
        </is>
      </c>
      <c r="C4" s="5" t="inlineStr">
        <is>
          <t>松山市 雨漏り診断</t>
        </is>
      </c>
      <c r="D4" s="5" t="inlineStr">
        <is>
          <t>松山市の雨漏り診断でわかること｜原因特定と修理前の確認ポイント</t>
        </is>
      </c>
      <c r="E4" s="5" t="inlineStr">
        <is>
          <t>雨漏り</t>
        </is>
      </c>
      <c r="F4" s="5" t="inlineStr">
        <is>
          <t>地域サービス型</t>
        </is>
      </c>
      <c r="G4" s="5" t="inlineStr">
        <is>
          <t>地域サービス型</t>
        </is>
      </c>
      <c r="H4" s="5" t="inlineStr">
        <is>
          <t>4,500〜6,500字</t>
        </is>
      </c>
      <c r="I4" s="5" t="n">
        <v>4500</v>
      </c>
      <c r="J4" s="5" t="n">
        <v>6500</v>
      </c>
      <c r="K4" s="5" t="inlineStr">
        <is>
          <t>高</t>
        </is>
      </c>
      <c r="L4" s="5" t="inlineStr">
        <is>
          <t>第1ロット：雨漏り系</t>
        </is>
      </c>
      <c r="M4" s="5" t="inlineStr">
        <is>
          <t>003.md</t>
        </is>
      </c>
      <c r="N4" s="5" t="inlineStr">
        <is>
          <t>003.webp</t>
        </is>
      </c>
      <c r="O4" s="5" t="inlineStr">
        <is>
          <t>matsuyama-leak-diagnosis</t>
        </is>
      </c>
      <c r="P4" s="5" t="inlineStr">
        <is>
          <t>松山市 雨漏り診断について、主な原因、放置リスク、修理方法、業者選びのポイントを松山市で検討中の方向けに解説します。</t>
        </is>
      </c>
      <c r="Q4" s="5" t="inlineStr">
        <is>
          <t>雨漏り修理</t>
        </is>
      </c>
      <c r="R4" s="5" t="inlineStr">
        <is>
          <t>松山市、雨漏り、雨漏り修理</t>
        </is>
      </c>
      <c r="S4" s="5" t="inlineStr">
        <is>
          <t>外装劣化診断（無料現地調査）</t>
        </is>
      </c>
      <c r="T4" s="5" t="inlineStr">
        <is>
          <t>外装劣化診断CTA</t>
        </is>
      </c>
      <c r="U4" s="5" t="inlineStr">
        <is>
          <t>外壁・屋根・付帯部を無料現地調査し、今すぐ必要な工事と様子を見られる箇所を分けてご案内します。</t>
        </is>
      </c>
      <c r="V4" s="5" t="inlineStr">
        <is>
          <t>これって雨漏り？</t>
        </is>
      </c>
      <c r="W4" s="5" t="inlineStr">
        <is>
          <t>天井シミ・壁紙浮き・カビ臭を確認</t>
        </is>
      </c>
      <c r="X4" s="5" t="inlineStr">
        <is>
          <t>無料現地診断でチェック</t>
        </is>
      </c>
      <c r="Y4" s="5" t="inlineStr">
        <is>
          <t>住宅外観・チェックリスト・雨染み</t>
        </is>
      </c>
      <c r="Z4" s="5" t="inlineStr">
        <is>
          <t>困った住人＋職人</t>
        </is>
      </c>
      <c r="AA4" s="5" t="inlineStr">
        <is>
          <t>松山市版</t>
        </is>
      </c>
      <c r="AB4" s="5" t="inlineStr">
        <is>
          <t>診断訴求・不安解消</t>
        </is>
      </c>
      <c r="AC4" s="5" t="inlineStr">
        <is>
          <t>要再編集</t>
        </is>
      </c>
      <c r="AD4" s="5" t="inlineStr">
        <is>
          <t>画像確認済み</t>
        </is>
      </c>
      <c r="AE4" s="5" t="inlineStr">
        <is>
          <t>要反映</t>
        </is>
      </c>
      <c r="AF4" s="5" t="inlineStr">
        <is>
          <t>posted</t>
        </is>
      </c>
      <c r="AG4" s="5" t="inlineStr">
        <is>
          <t>post/create_only</t>
        </is>
      </c>
      <c r="AH4" s="5" t="n">
        <v>21925</v>
      </c>
      <c r="AI4" s="5" t="inlineStr">
        <is>
          <t>https://www.sunadatosou.com/?p=21925</t>
        </is>
      </c>
      <c r="AJ4" s="29" t="inlineStr">
        <is>
          <t>2026-06-27 16:59:37</t>
        </is>
      </c>
      <c r="AK4" s="29" t="n"/>
      <c r="AL4" s="5" t="n">
        <v>4024</v>
      </c>
      <c r="AM4" s="5" t="inlineStr">
        <is>
          <t>不足(目安4,500〜6,500字)</t>
        </is>
      </c>
      <c r="AN4" s="5" t="n"/>
      <c r="AO4" s="5" t="inlineStr">
        <is>
          <t>中心記事「松山市の雨漏り修理」へリンク。関連：雨漏り費用・調査・屋根雨漏り。</t>
        </is>
      </c>
      <c r="AP4" s="5" t="inlineStr">
        <is>
          <t>H1なし／この記事でわかること／地域事情／事例／原因・費用／CTA／FAQ</t>
        </is>
      </c>
      <c r="AQ4" s="5" t="n"/>
    </row>
    <row r="5" ht="42.75" customHeight="1" s="24">
      <c r="A5" s="5" t="n">
        <v>4</v>
      </c>
      <c r="B5" s="5" t="inlineStr">
        <is>
          <t>松山市 雨漏り業者</t>
        </is>
      </c>
      <c r="C5" s="5" t="inlineStr">
        <is>
          <t>松山市 雨漏り業者</t>
        </is>
      </c>
      <c r="D5" s="5" t="inlineStr">
        <is>
          <t>松山市で雨漏り業者を選ぶポイント｜失敗しない比較方法を解説</t>
        </is>
      </c>
      <c r="E5" s="5" t="inlineStr">
        <is>
          <t>雨漏り</t>
        </is>
      </c>
      <c r="F5" s="5" t="inlineStr">
        <is>
          <t>地域サービス型</t>
        </is>
      </c>
      <c r="G5" s="5" t="inlineStr">
        <is>
          <t>業者選び型</t>
        </is>
      </c>
      <c r="H5" s="5" t="inlineStr">
        <is>
          <t>5,000〜7,000字</t>
        </is>
      </c>
      <c r="I5" s="5" t="n">
        <v>5000</v>
      </c>
      <c r="J5" s="5" t="n">
        <v>7000</v>
      </c>
      <c r="K5" s="5" t="inlineStr">
        <is>
          <t>高</t>
        </is>
      </c>
      <c r="L5" s="5" t="inlineStr">
        <is>
          <t>第1ロット：雨漏り系</t>
        </is>
      </c>
      <c r="M5" s="5" t="inlineStr">
        <is>
          <t>004.md</t>
        </is>
      </c>
      <c r="N5" s="5" t="inlineStr">
        <is>
          <t>004.webp</t>
        </is>
      </c>
      <c r="O5" s="5" t="inlineStr">
        <is>
          <t>matsuyama-leak-contractor</t>
        </is>
      </c>
      <c r="P5" s="5" t="inlineStr">
        <is>
          <t>松山市 雨漏り業者について、主な原因、放置リスク、修理方法、業者選びのポイントを松山市で検討中の方向けに解説します。</t>
        </is>
      </c>
      <c r="Q5" s="5" t="inlineStr">
        <is>
          <t>雨漏り修理</t>
        </is>
      </c>
      <c r="R5" s="5" t="inlineStr">
        <is>
          <t>松山市、雨漏り、雨漏り修理</t>
        </is>
      </c>
      <c r="S5" s="5" t="inlineStr">
        <is>
          <t>国家資格者診断・必要な工事だけ提案</t>
        </is>
      </c>
      <c r="T5" s="5" t="inlineStr">
        <is>
          <t>外装劣化診断CTA</t>
        </is>
      </c>
      <c r="U5" s="5" t="inlineStr">
        <is>
          <t>外壁・屋根・付帯部を無料現地調査し、今すぐ必要な工事と様子を見られる箇所を分けてご案内します。</t>
        </is>
      </c>
      <c r="V5" s="5" t="inlineStr">
        <is>
          <t>雨漏り業者の選び方</t>
        </is>
      </c>
      <c r="W5" s="5" t="inlineStr">
        <is>
          <t>安さだけで選ぶと危険!?</t>
        </is>
      </c>
      <c r="X5" s="5" t="inlineStr">
        <is>
          <t>見積り・保証・原因説明</t>
        </is>
      </c>
      <c r="Y5" s="5" t="inlineStr">
        <is>
          <t>見積書・住宅外観・比較表</t>
        </is>
      </c>
      <c r="Z5" s="5" t="inlineStr">
        <is>
          <t>考える住人＋職人</t>
        </is>
      </c>
      <c r="AA5" s="5" t="inlineStr">
        <is>
          <t>松山市版</t>
        </is>
      </c>
      <c r="AB5" s="5" t="inlineStr">
        <is>
          <t>業者選び訴求</t>
        </is>
      </c>
      <c r="AC5" s="5" t="inlineStr">
        <is>
          <t>要再編集</t>
        </is>
      </c>
      <c r="AD5" s="5" t="inlineStr">
        <is>
          <t>画像確認済み</t>
        </is>
      </c>
      <c r="AE5" s="5" t="inlineStr">
        <is>
          <t>要反映</t>
        </is>
      </c>
      <c r="AF5" s="5" t="inlineStr">
        <is>
          <t>posted</t>
        </is>
      </c>
      <c r="AG5" s="5" t="inlineStr">
        <is>
          <t>post/create_only</t>
        </is>
      </c>
      <c r="AH5" s="5" t="n">
        <v>21927</v>
      </c>
      <c r="AI5" s="5" t="inlineStr">
        <is>
          <t>https://www.sunadatosou.com/?p=21927</t>
        </is>
      </c>
      <c r="AJ5" s="29" t="inlineStr">
        <is>
          <t>2026-06-27 16:59:46</t>
        </is>
      </c>
      <c r="AK5" s="29" t="n"/>
      <c r="AL5" s="5" t="n">
        <v>4450</v>
      </c>
      <c r="AM5" s="5" t="inlineStr">
        <is>
          <t>不足(目安5,000〜7,000字)</t>
        </is>
      </c>
      <c r="AN5" s="5" t="n"/>
      <c r="AO5" s="5" t="inlineStr">
        <is>
          <t>中心記事「松山市の雨漏り修理」へリンク。関連：雨漏り費用・調査・屋根雨漏り。</t>
        </is>
      </c>
      <c r="AP5" s="5" t="inlineStr">
        <is>
          <t>H1なし／この記事でわかること／地域事情／事例／原因・費用／CTA／FAQ</t>
        </is>
      </c>
      <c r="AQ5" s="5" t="n"/>
    </row>
    <row r="6" ht="42.75" customHeight="1" s="24">
      <c r="A6" s="5" t="n">
        <v>5</v>
      </c>
      <c r="B6" s="5" t="inlineStr">
        <is>
          <t>松山市 雨漏り修理 費用</t>
        </is>
      </c>
      <c r="C6" s="5" t="inlineStr">
        <is>
          <t>松山市 雨漏り修理 費用</t>
        </is>
      </c>
      <c r="D6" s="5" t="inlineStr">
        <is>
          <t>松山市の雨漏り修理費用はいくら？相場・内訳・業者選びを解説</t>
        </is>
      </c>
      <c r="E6" s="5" t="inlineStr">
        <is>
          <t>雨漏り</t>
        </is>
      </c>
      <c r="F6" s="5" t="inlineStr">
        <is>
          <t>地域サービス型</t>
        </is>
      </c>
      <c r="G6" s="5" t="inlineStr">
        <is>
          <t>費用・相場型</t>
        </is>
      </c>
      <c r="H6" s="5" t="inlineStr">
        <is>
          <t>5,000〜7,000字</t>
        </is>
      </c>
      <c r="I6" s="5" t="n">
        <v>5000</v>
      </c>
      <c r="J6" s="5" t="n">
        <v>7000</v>
      </c>
      <c r="K6" s="5" t="inlineStr">
        <is>
          <t>高</t>
        </is>
      </c>
      <c r="L6" s="5" t="inlineStr">
        <is>
          <t>第1ロット：雨漏り系</t>
        </is>
      </c>
      <c r="M6" s="5" t="inlineStr">
        <is>
          <t>005.md</t>
        </is>
      </c>
      <c r="N6" s="5" t="inlineStr">
        <is>
          <t>005.webp</t>
        </is>
      </c>
      <c r="O6" s="5" t="inlineStr">
        <is>
          <t>matsuyama-leak-repair-cost</t>
        </is>
      </c>
      <c r="P6" s="5" t="inlineStr">
        <is>
          <t>松山市 雨漏り修理 費用について、費用相場、内訳、金額が変わる要因、見積もり時の注意点をわかりやすく解説します。</t>
        </is>
      </c>
      <c r="Q6" s="5" t="inlineStr">
        <is>
          <t>雨漏り修理</t>
        </is>
      </c>
      <c r="R6" s="5" t="inlineStr">
        <is>
          <t>松山市、雨漏り、費用、雨漏り修理</t>
        </is>
      </c>
      <c r="S6" s="5" t="inlineStr">
        <is>
          <t>無料見積り・費用根拠の見える化</t>
        </is>
      </c>
      <c r="T6" s="5" t="inlineStr">
        <is>
          <t>無料見積りCTA</t>
        </is>
      </c>
      <c r="U6" s="5" t="inlineStr">
        <is>
          <t>費用は原因箇所や補修範囲で変わります。現地調査で状態を確認し、見積もりの根拠を写真付きでご説明します。</t>
        </is>
      </c>
      <c r="V6" s="5" t="inlineStr">
        <is>
          <t>雨漏り修理の費用はいくら？</t>
        </is>
      </c>
      <c r="W6" s="5" t="inlineStr">
        <is>
          <t>相場と内訳を職人が解説</t>
        </is>
      </c>
      <c r="X6" s="5" t="inlineStr">
        <is>
          <t>応急処置／屋根補修／防水工事</t>
        </is>
      </c>
      <c r="Y6" s="5" t="inlineStr">
        <is>
          <t>見積書・天井シミ・屋根修理の現場</t>
        </is>
      </c>
      <c r="Z6" s="5" t="inlineStr">
        <is>
          <t>不安そうな住人＋職人</t>
        </is>
      </c>
      <c r="AA6" s="5" t="inlineStr">
        <is>
          <t>松山市版</t>
        </is>
      </c>
      <c r="AB6" s="5" t="inlineStr">
        <is>
          <t>強めサムネ・費用訴求</t>
        </is>
      </c>
      <c r="AC6" s="5" t="inlineStr">
        <is>
          <t>要再編集</t>
        </is>
      </c>
      <c r="AD6" s="5" t="inlineStr">
        <is>
          <t>画像確認済み</t>
        </is>
      </c>
      <c r="AE6" s="5" t="inlineStr">
        <is>
          <t>要反映</t>
        </is>
      </c>
      <c r="AF6" s="5" t="inlineStr">
        <is>
          <t>posted</t>
        </is>
      </c>
      <c r="AG6" s="5" t="inlineStr">
        <is>
          <t>post/create_only</t>
        </is>
      </c>
      <c r="AH6" s="5" t="n">
        <v>21929</v>
      </c>
      <c r="AI6" s="5" t="inlineStr">
        <is>
          <t>https://www.sunadatosou.com/?p=21929</t>
        </is>
      </c>
      <c r="AJ6" s="29" t="inlineStr">
        <is>
          <t>2026-06-27 16:59:54</t>
        </is>
      </c>
      <c r="AK6" s="29" t="n"/>
      <c r="AL6" s="5" t="n">
        <v>4414</v>
      </c>
      <c r="AM6" s="5" t="inlineStr">
        <is>
          <t>不足(目安5,000〜7,000字)</t>
        </is>
      </c>
      <c r="AN6" s="5" t="n"/>
      <c r="AO6" s="5" t="inlineStr">
        <is>
          <t>中心記事「松山市の雨漏り修理」へリンク。関連：雨漏り費用・調査・屋根雨漏り。</t>
        </is>
      </c>
      <c r="AP6" s="5" t="inlineStr">
        <is>
          <t>H1なし／この記事でわかること／地域事情／事例／原因・費用／CTA／FAQ</t>
        </is>
      </c>
      <c r="AQ6" s="5" t="n"/>
    </row>
    <row r="7" ht="42.75" customHeight="1" s="24">
      <c r="A7" s="5" t="n">
        <v>6</v>
      </c>
      <c r="B7" s="5" t="inlineStr">
        <is>
          <t>松山市 雨漏り 原因</t>
        </is>
      </c>
      <c r="C7" s="5" t="inlineStr">
        <is>
          <t>松山市 雨漏り 原因</t>
        </is>
      </c>
      <c r="D7" s="5" t="inlineStr">
        <is>
          <t>松山市で多い雨漏りの原因とは？屋根・外壁・ベランダ別に解説</t>
        </is>
      </c>
      <c r="E7" s="5" t="inlineStr">
        <is>
          <t>雨漏り</t>
        </is>
      </c>
      <c r="F7" s="5" t="inlineStr">
        <is>
          <t>地域サービス型</t>
        </is>
      </c>
      <c r="G7" s="5" t="inlineStr">
        <is>
          <t>原因・症状解説型</t>
        </is>
      </c>
      <c r="H7" s="5" t="inlineStr">
        <is>
          <t>4,500〜6,500字</t>
        </is>
      </c>
      <c r="I7" s="5" t="n">
        <v>4500</v>
      </c>
      <c r="J7" s="5" t="n">
        <v>6500</v>
      </c>
      <c r="K7" s="5" t="inlineStr">
        <is>
          <t>高</t>
        </is>
      </c>
      <c r="L7" s="5" t="inlineStr">
        <is>
          <t>第1ロット：雨漏り系</t>
        </is>
      </c>
      <c r="M7" s="5" t="inlineStr">
        <is>
          <t>006.md</t>
        </is>
      </c>
      <c r="N7" s="5" t="inlineStr">
        <is>
          <t>006.webp</t>
        </is>
      </c>
      <c r="O7" s="5" t="inlineStr">
        <is>
          <t>matsuyama-leak-cause</t>
        </is>
      </c>
      <c r="P7" s="5" t="inlineStr">
        <is>
          <t>松山市 雨漏り 原因について、主な原因、放置リスク、修理方法、業者選びのポイントを松山市で検討中の方向けに解説します。</t>
        </is>
      </c>
      <c r="Q7" s="5" t="inlineStr">
        <is>
          <t>雨漏り修理</t>
        </is>
      </c>
      <c r="R7" s="5" t="inlineStr">
        <is>
          <t>松山市、雨漏り、雨漏り修理</t>
        </is>
      </c>
      <c r="S7" s="5" t="inlineStr">
        <is>
          <t>雨漏り無料点検・無料見積り</t>
        </is>
      </c>
      <c r="T7" s="5" t="inlineStr">
        <is>
          <t>雨漏り無料点検CTA</t>
        </is>
      </c>
      <c r="U7" s="5" t="inlineStr">
        <is>
          <t>松山市で雨漏りが気になる方は、まずは無料点検・無料見積りをご利用ください。原因を確認し、必要な工事だけをご提案します。</t>
        </is>
      </c>
      <c r="V7" s="5" t="inlineStr">
        <is>
          <t>雨漏り 原因の原因は？</t>
        </is>
      </c>
      <c r="W7" s="5" t="inlineStr">
        <is>
          <t>放置リスクと対処法を解説</t>
        </is>
      </c>
      <c r="X7" s="5" t="inlineStr">
        <is>
          <t>早めの確認が大切</t>
        </is>
      </c>
      <c r="Y7" s="5" t="inlineStr">
        <is>
          <t>劣化箇所の拡大・雨染み・ひび割れ</t>
        </is>
      </c>
      <c r="Z7" s="5" t="inlineStr">
        <is>
          <t>職人</t>
        </is>
      </c>
      <c r="AA7" s="5" t="inlineStr">
        <is>
          <t>松山市版</t>
        </is>
      </c>
      <c r="AB7" s="5" t="inlineStr">
        <is>
          <t>原因解説訴求</t>
        </is>
      </c>
      <c r="AC7" s="5" t="inlineStr">
        <is>
          <t>未着手</t>
        </is>
      </c>
      <c r="AD7" s="5" t="inlineStr">
        <is>
          <t>画像確認済み</t>
        </is>
      </c>
      <c r="AE7" s="5" t="inlineStr">
        <is>
          <t>未反映</t>
        </is>
      </c>
      <c r="AF7" s="5" t="inlineStr">
        <is>
          <t>posted</t>
        </is>
      </c>
      <c r="AG7" s="5" t="inlineStr">
        <is>
          <t>post/create_only</t>
        </is>
      </c>
      <c r="AH7" s="5" t="n">
        <v>21933</v>
      </c>
      <c r="AI7" s="5" t="inlineStr">
        <is>
          <t>https://www.sunadatosou.com/?p=21933</t>
        </is>
      </c>
      <c r="AJ7" s="29" t="inlineStr">
        <is>
          <t>2026-06-27 17:05:29</t>
        </is>
      </c>
      <c r="AK7" s="29" t="n"/>
      <c r="AL7" s="5" t="n">
        <v>4011</v>
      </c>
      <c r="AM7" s="5" t="inlineStr">
        <is>
          <t>不足(目安4,500〜6,500字)</t>
        </is>
      </c>
      <c r="AN7" s="5" t="n"/>
      <c r="AO7" s="5" t="inlineStr">
        <is>
          <t>中心記事「松山市の雨漏り修理」へリンク。関連：雨漏り費用・調査・屋根雨漏り。</t>
        </is>
      </c>
      <c r="AP7" s="5" t="inlineStr">
        <is>
          <t>H1なし／この記事でわかること／地域事情／事例／原因・費用／CTA／FAQ</t>
        </is>
      </c>
      <c r="AQ7" s="5" t="n"/>
    </row>
    <row r="8" ht="42.75" customHeight="1" s="24">
      <c r="A8" s="5" t="n">
        <v>7</v>
      </c>
      <c r="B8" s="5" t="inlineStr">
        <is>
          <t>松山市 ベランダ雨漏り</t>
        </is>
      </c>
      <c r="C8" s="5" t="inlineStr">
        <is>
          <t>松山市 ベランダ雨漏り</t>
        </is>
      </c>
      <c r="D8" s="5" t="inlineStr">
        <is>
          <t>松山市のベランダ雨漏りはなぜ起こる？原因・修理費用・防水対策</t>
        </is>
      </c>
      <c r="E8" s="5" t="inlineStr">
        <is>
          <t>雨漏り</t>
        </is>
      </c>
      <c r="F8" s="5" t="inlineStr">
        <is>
          <t>地域サービス型</t>
        </is>
      </c>
      <c r="G8" s="5" t="inlineStr">
        <is>
          <t>地域サービス型</t>
        </is>
      </c>
      <c r="H8" s="5" t="inlineStr">
        <is>
          <t>4,500〜6,500字</t>
        </is>
      </c>
      <c r="I8" s="5" t="n">
        <v>4500</v>
      </c>
      <c r="J8" s="5" t="n">
        <v>6500</v>
      </c>
      <c r="K8" s="5" t="inlineStr">
        <is>
          <t>高</t>
        </is>
      </c>
      <c r="L8" s="5" t="inlineStr">
        <is>
          <t>第1ロット：雨漏り系</t>
        </is>
      </c>
      <c r="M8" s="5" t="inlineStr">
        <is>
          <t>007.md</t>
        </is>
      </c>
      <c r="N8" s="5" t="inlineStr">
        <is>
          <t>007.webp</t>
        </is>
      </c>
      <c r="O8" s="5" t="inlineStr">
        <is>
          <t>matsuyama-balcony-leak</t>
        </is>
      </c>
      <c r="P8" s="5" t="inlineStr">
        <is>
          <t>松山市 ベランダ雨漏りについて、主な原因、放置リスク、修理方法、業者選びのポイントを松山市で検討中の方向けに解説します。</t>
        </is>
      </c>
      <c r="Q8" s="5" t="inlineStr">
        <is>
          <t>雨漏り修理</t>
        </is>
      </c>
      <c r="R8" s="5" t="inlineStr">
        <is>
          <t>松山市、雨漏り、雨漏り修理</t>
        </is>
      </c>
      <c r="S8" s="5" t="inlineStr">
        <is>
          <t>雨漏り無料点検・無料見積り</t>
        </is>
      </c>
      <c r="T8" s="5" t="inlineStr">
        <is>
          <t>雨漏り無料点検CTA</t>
        </is>
      </c>
      <c r="U8" s="5" t="inlineStr">
        <is>
          <t>松山市で雨漏りが気になる方は、まずは無料点検・無料見積りをご利用ください。原因を確認し、必要な工事だけをご提案します。</t>
        </is>
      </c>
      <c r="V8" s="5" t="inlineStr">
        <is>
          <t>ベランダ雨漏り</t>
        </is>
      </c>
      <c r="W8" s="5" t="inlineStr">
        <is>
          <t>雨漏り前に防水状態をチェック</t>
        </is>
      </c>
      <c r="X8" s="5" t="inlineStr">
        <is>
          <t>費用・耐用年数を解説</t>
        </is>
      </c>
      <c r="Y8" s="5" t="inlineStr">
        <is>
          <t>ベランダ床・防水層・排水口</t>
        </is>
      </c>
      <c r="Z8" s="5" t="inlineStr">
        <is>
          <t>点検する職人</t>
        </is>
      </c>
      <c r="AA8" s="5" t="inlineStr">
        <is>
          <t>松山市版</t>
        </is>
      </c>
      <c r="AB8" s="5" t="inlineStr">
        <is>
          <t>防水訴求</t>
        </is>
      </c>
      <c r="AC8" s="5" t="inlineStr">
        <is>
          <t>未着手</t>
        </is>
      </c>
      <c r="AD8" s="5" t="inlineStr">
        <is>
          <t>画像確認済み</t>
        </is>
      </c>
      <c r="AE8" s="5" t="inlineStr">
        <is>
          <t>未反映</t>
        </is>
      </c>
      <c r="AF8" s="5" t="inlineStr">
        <is>
          <t>posted</t>
        </is>
      </c>
      <c r="AG8" s="5" t="inlineStr">
        <is>
          <t>post/create_only</t>
        </is>
      </c>
      <c r="AH8" s="5" t="n">
        <v>21935</v>
      </c>
      <c r="AI8" s="5" t="inlineStr">
        <is>
          <t>https://www.sunadatosou.com/?p=21935</t>
        </is>
      </c>
      <c r="AJ8" s="29" t="inlineStr">
        <is>
          <t>2026-06-27 17:05:38</t>
        </is>
      </c>
      <c r="AK8" s="29" t="n"/>
      <c r="AL8" s="5" t="n">
        <v>4009</v>
      </c>
      <c r="AM8" s="5" t="inlineStr">
        <is>
          <t>不足(目安4,500〜6,500字)</t>
        </is>
      </c>
      <c r="AN8" s="5" t="n"/>
      <c r="AO8" s="5" t="inlineStr">
        <is>
          <t>中心記事「松山市の雨漏り修理」へリンク。関連：雨漏り費用・調査・屋根雨漏り。</t>
        </is>
      </c>
      <c r="AP8" s="5" t="inlineStr">
        <is>
          <t>H1なし／この記事でわかること／地域事情／事例／原因・費用／CTA／FAQ</t>
        </is>
      </c>
      <c r="AQ8" s="5" t="n"/>
    </row>
    <row r="9" ht="42.75" customHeight="1" s="24">
      <c r="A9" s="5" t="n">
        <v>8</v>
      </c>
      <c r="B9" s="5" t="inlineStr">
        <is>
          <t>松山市 サッシ雨漏り</t>
        </is>
      </c>
      <c r="C9" s="5" t="inlineStr">
        <is>
          <t>松山市 サッシ雨漏り</t>
        </is>
      </c>
      <c r="D9" s="5" t="inlineStr">
        <is>
          <t>松山市のサッシ雨漏りの原因とは？窓まわりの補修方法を解説</t>
        </is>
      </c>
      <c r="E9" s="5" t="inlineStr">
        <is>
          <t>雨漏り</t>
        </is>
      </c>
      <c r="F9" s="5" t="inlineStr">
        <is>
          <t>地域サービス型</t>
        </is>
      </c>
      <c r="G9" s="5" t="inlineStr">
        <is>
          <t>地域サービス型</t>
        </is>
      </c>
      <c r="H9" s="5" t="inlineStr">
        <is>
          <t>4,500〜6,500字</t>
        </is>
      </c>
      <c r="I9" s="5" t="n">
        <v>4500</v>
      </c>
      <c r="J9" s="5" t="n">
        <v>6500</v>
      </c>
      <c r="K9" s="5" t="inlineStr">
        <is>
          <t>高</t>
        </is>
      </c>
      <c r="L9" s="5" t="inlineStr">
        <is>
          <t>第1ロット：雨漏り系</t>
        </is>
      </c>
      <c r="M9" s="5" t="inlineStr">
        <is>
          <t>008.md</t>
        </is>
      </c>
      <c r="N9" s="5" t="inlineStr">
        <is>
          <t>008.webp</t>
        </is>
      </c>
      <c r="O9" s="5" t="inlineStr">
        <is>
          <t>matsuyama-sash-leak</t>
        </is>
      </c>
      <c r="P9" s="5" t="inlineStr">
        <is>
          <t>松山市 サッシ雨漏りについて、主な原因、放置リスク、修理方法、業者選びのポイントを松山市で検討中の方向けに解説します。</t>
        </is>
      </c>
      <c r="Q9" s="5" t="inlineStr">
        <is>
          <t>雨漏り修理</t>
        </is>
      </c>
      <c r="R9" s="5" t="inlineStr">
        <is>
          <t>松山市、雨漏り、雨漏り修理</t>
        </is>
      </c>
      <c r="S9" s="5" t="inlineStr">
        <is>
          <t>雨漏り無料点検・無料見積り</t>
        </is>
      </c>
      <c r="T9" s="5" t="inlineStr">
        <is>
          <t>雨漏り無料点検CTA</t>
        </is>
      </c>
      <c r="U9" s="5" t="inlineStr">
        <is>
          <t>松山市で雨漏りが気になる方は、まずは無料点検・無料見積りをご利用ください。原因を確認し、必要な工事だけをご提案します。</t>
        </is>
      </c>
      <c r="V9" s="5" t="inlineStr">
        <is>
          <t>サッシ雨漏り</t>
        </is>
      </c>
      <c r="W9" s="5" t="inlineStr">
        <is>
          <t>症状・費用・注意点を解説</t>
        </is>
      </c>
      <c r="X9" s="5" t="inlineStr">
        <is>
          <t>プロが分かりやすく解説</t>
        </is>
      </c>
      <c r="Y9" s="5" t="inlineStr">
        <is>
          <t>住宅外観・劣化箇所</t>
        </is>
      </c>
      <c r="Z9" s="5" t="inlineStr">
        <is>
          <t>職人</t>
        </is>
      </c>
      <c r="AA9" s="5" t="inlineStr">
        <is>
          <t>松山市版</t>
        </is>
      </c>
      <c r="AB9" s="5" t="inlineStr">
        <is>
          <t>汎用外装訴求</t>
        </is>
      </c>
      <c r="AC9" s="5" t="inlineStr">
        <is>
          <t>未着手</t>
        </is>
      </c>
      <c r="AD9" s="5" t="inlineStr">
        <is>
          <t>画像確認済み</t>
        </is>
      </c>
      <c r="AE9" s="5" t="inlineStr">
        <is>
          <t>未反映</t>
        </is>
      </c>
      <c r="AF9" s="5" t="inlineStr">
        <is>
          <t>posted</t>
        </is>
      </c>
      <c r="AG9" s="5" t="inlineStr">
        <is>
          <t>post/create_only</t>
        </is>
      </c>
      <c r="AH9" s="5" t="n">
        <v>21937</v>
      </c>
      <c r="AI9" s="5" t="inlineStr">
        <is>
          <t>https://www.sunadatosou.com/?p=21937</t>
        </is>
      </c>
      <c r="AJ9" s="29" t="inlineStr">
        <is>
          <t>2026-06-27 17:05:45</t>
        </is>
      </c>
      <c r="AK9" s="29" t="n"/>
      <c r="AL9" s="5" t="n">
        <v>3998</v>
      </c>
      <c r="AM9" s="5" t="inlineStr">
        <is>
          <t>不足(目安4,500〜6,500字)</t>
        </is>
      </c>
      <c r="AN9" s="5" t="n"/>
      <c r="AO9" s="5" t="inlineStr">
        <is>
          <t>中心記事「松山市の雨漏り修理」へリンク。関連：雨漏り費用・調査・屋根雨漏り。</t>
        </is>
      </c>
      <c r="AP9" s="5" t="inlineStr">
        <is>
          <t>H1なし／この記事でわかること／地域事情／事例／原因・費用／CTA／FAQ</t>
        </is>
      </c>
      <c r="AQ9" s="5" t="n"/>
    </row>
    <row r="10" ht="42.75" customHeight="1" s="24">
      <c r="A10" s="5" t="n">
        <v>9</v>
      </c>
      <c r="B10" s="5" t="inlineStr">
        <is>
          <t>松山市 外壁雨漏り</t>
        </is>
      </c>
      <c r="C10" s="5" t="inlineStr">
        <is>
          <t>松山市 外壁雨漏り</t>
        </is>
      </c>
      <c r="D10" s="5" t="inlineStr">
        <is>
          <t>松山市の外壁雨漏りの原因と対策｜ひび割れ・シーリング劣化に注意</t>
        </is>
      </c>
      <c r="E10" s="5" t="inlineStr">
        <is>
          <t>雨漏り</t>
        </is>
      </c>
      <c r="F10" s="5" t="inlineStr">
        <is>
          <t>地域サービス型</t>
        </is>
      </c>
      <c r="G10" s="5" t="inlineStr">
        <is>
          <t>地域サービス型</t>
        </is>
      </c>
      <c r="H10" s="5" t="inlineStr">
        <is>
          <t>4,500〜6,500字</t>
        </is>
      </c>
      <c r="I10" s="5" t="n">
        <v>4500</v>
      </c>
      <c r="J10" s="5" t="n">
        <v>6500</v>
      </c>
      <c r="K10" s="5" t="inlineStr">
        <is>
          <t>高</t>
        </is>
      </c>
      <c r="L10" s="5" t="inlineStr">
        <is>
          <t>第1ロット：雨漏り系</t>
        </is>
      </c>
      <c r="M10" s="5" t="inlineStr">
        <is>
          <t>009.md</t>
        </is>
      </c>
      <c r="N10" s="5" t="inlineStr">
        <is>
          <t>009.webp</t>
        </is>
      </c>
      <c r="O10" s="5" t="inlineStr">
        <is>
          <t>matsuyama-exterior-wall-leak</t>
        </is>
      </c>
      <c r="P10" s="5" t="inlineStr">
        <is>
          <t>松山市 外壁雨漏りについて、主な原因、放置リスク、修理方法、業者選びのポイントを松山市で検討中の方向けに解説します。</t>
        </is>
      </c>
      <c r="Q10" s="5" t="inlineStr">
        <is>
          <t>雨漏り修理</t>
        </is>
      </c>
      <c r="R10" s="5" t="inlineStr">
        <is>
          <t>松山市、雨漏り、雨漏り修理</t>
        </is>
      </c>
      <c r="S10" s="5" t="inlineStr">
        <is>
          <t>雨漏り無料点検・無料見積り</t>
        </is>
      </c>
      <c r="T10" s="5" t="inlineStr">
        <is>
          <t>雨漏り無料点検CTA</t>
        </is>
      </c>
      <c r="U10" s="5" t="inlineStr">
        <is>
          <t>松山市で雨漏りが気になる方は、まずは無料点検・無料見積りをご利用ください。原因を確認し、必要な工事だけをご提案します。</t>
        </is>
      </c>
      <c r="V10" s="5" t="inlineStr">
        <is>
          <t>外壁雨漏り</t>
        </is>
      </c>
      <c r="W10" s="5" t="inlineStr">
        <is>
          <t>症状・費用・注意点を解説</t>
        </is>
      </c>
      <c r="X10" s="5" t="inlineStr">
        <is>
          <t>プロが分かりやすく解説</t>
        </is>
      </c>
      <c r="Y10" s="5" t="inlineStr">
        <is>
          <t>住宅外観・劣化箇所</t>
        </is>
      </c>
      <c r="Z10" s="5" t="inlineStr">
        <is>
          <t>職人</t>
        </is>
      </c>
      <c r="AA10" s="5" t="inlineStr">
        <is>
          <t>松山市版</t>
        </is>
      </c>
      <c r="AB10" s="5" t="inlineStr">
        <is>
          <t>汎用外装訴求</t>
        </is>
      </c>
      <c r="AC10" s="5" t="inlineStr">
        <is>
          <t>未着手</t>
        </is>
      </c>
      <c r="AD10" s="5" t="inlineStr">
        <is>
          <t>画像確認済み</t>
        </is>
      </c>
      <c r="AE10" s="5" t="inlineStr">
        <is>
          <t>未反映</t>
        </is>
      </c>
      <c r="AF10" s="5" t="inlineStr">
        <is>
          <t>posted</t>
        </is>
      </c>
      <c r="AG10" s="5" t="inlineStr">
        <is>
          <t>post/create_only</t>
        </is>
      </c>
      <c r="AH10" s="5" t="n">
        <v>21939</v>
      </c>
      <c r="AI10" s="5" t="inlineStr">
        <is>
          <t>https://www.sunadatosou.com/?p=21939</t>
        </is>
      </c>
      <c r="AJ10" s="29" t="inlineStr">
        <is>
          <t>2026-06-27 17:05:53</t>
        </is>
      </c>
      <c r="AK10" s="29" t="n"/>
      <c r="AL10" s="5" t="n">
        <v>3981</v>
      </c>
      <c r="AM10" s="5" t="inlineStr">
        <is>
          <t>不足(目安4,500〜6,500字)</t>
        </is>
      </c>
      <c r="AN10" s="5" t="n"/>
      <c r="AO10" s="5" t="inlineStr">
        <is>
          <t>中心記事「松山市の雨漏り修理」へリンク。関連：雨漏り費用・調査・屋根雨漏り。</t>
        </is>
      </c>
      <c r="AP10" s="5" t="inlineStr">
        <is>
          <t>H1なし／この記事でわかること／地域事情／事例／原因・費用／CTA／FAQ</t>
        </is>
      </c>
      <c r="AQ10" s="5" t="n"/>
    </row>
    <row r="11" ht="42.75" customHeight="1" s="24">
      <c r="A11" s="5" t="n">
        <v>10</v>
      </c>
      <c r="B11" s="5" t="inlineStr">
        <is>
          <t>松山市 屋根雨漏り</t>
        </is>
      </c>
      <c r="C11" s="5" t="inlineStr">
        <is>
          <t>松山市 屋根雨漏り</t>
        </is>
      </c>
      <c r="D11" s="5" t="inlineStr">
        <is>
          <t>松山市の屋根雨漏りは早めの修理が重要｜原因・費用・業者選び</t>
        </is>
      </c>
      <c r="E11" s="5" t="inlineStr">
        <is>
          <t>雨漏り</t>
        </is>
      </c>
      <c r="F11" s="5" t="inlineStr">
        <is>
          <t>地域サービス型</t>
        </is>
      </c>
      <c r="G11" s="5" t="inlineStr">
        <is>
          <t>地域サービス型</t>
        </is>
      </c>
      <c r="H11" s="5" t="inlineStr">
        <is>
          <t>4,500〜6,500字</t>
        </is>
      </c>
      <c r="I11" s="5" t="n">
        <v>4500</v>
      </c>
      <c r="J11" s="5" t="n">
        <v>6500</v>
      </c>
      <c r="K11" s="5" t="inlineStr">
        <is>
          <t>高</t>
        </is>
      </c>
      <c r="L11" s="5" t="inlineStr">
        <is>
          <t>第1ロット：雨漏り系</t>
        </is>
      </c>
      <c r="M11" s="5" t="inlineStr">
        <is>
          <t>010.md</t>
        </is>
      </c>
      <c r="N11" s="5" t="inlineStr">
        <is>
          <t>010.webp</t>
        </is>
      </c>
      <c r="O11" s="5" t="inlineStr">
        <is>
          <t>matsuyama-roof-leak</t>
        </is>
      </c>
      <c r="P11" s="5" t="inlineStr">
        <is>
          <t>松山市 屋根雨漏りについて、主な原因、放置リスク、修理方法、業者選びのポイントを松山市で検討中の方向けに解説します。</t>
        </is>
      </c>
      <c r="Q11" s="5" t="inlineStr">
        <is>
          <t>雨漏り修理</t>
        </is>
      </c>
      <c r="R11" s="5" t="inlineStr">
        <is>
          <t>松山市、雨漏り、雨漏り修理</t>
        </is>
      </c>
      <c r="S11" s="5" t="inlineStr">
        <is>
          <t>雨漏り無料点検・無料見積り</t>
        </is>
      </c>
      <c r="T11" s="5" t="inlineStr">
        <is>
          <t>雨漏り無料点検CTA</t>
        </is>
      </c>
      <c r="U11" s="5" t="inlineStr">
        <is>
          <t>松山市で雨漏りが気になる方は、まずは無料点検・無料見積りをご利用ください。原因を確認し、必要な工事だけをご提案します。</t>
        </is>
      </c>
      <c r="V11" s="5" t="inlineStr">
        <is>
          <t>屋根雨漏り</t>
        </is>
      </c>
      <c r="W11" s="5" t="inlineStr">
        <is>
          <t>雨漏り前に劣化を確認</t>
        </is>
      </c>
      <c r="X11" s="5" t="inlineStr">
        <is>
          <t>屋根点検・修理方法を解説</t>
        </is>
      </c>
      <c r="Y11" s="5" t="inlineStr">
        <is>
          <t>屋根材・瓦・板金・雨空</t>
        </is>
      </c>
      <c r="Z11" s="5" t="inlineStr">
        <is>
          <t>屋根を点検する職人</t>
        </is>
      </c>
      <c r="AA11" s="5" t="inlineStr">
        <is>
          <t>松山市版</t>
        </is>
      </c>
      <c r="AB11" s="5" t="inlineStr">
        <is>
          <t>屋根修理訴求</t>
        </is>
      </c>
      <c r="AC11" s="5" t="inlineStr">
        <is>
          <t>未着手</t>
        </is>
      </c>
      <c r="AD11" s="5" t="inlineStr">
        <is>
          <t>画像確認済み</t>
        </is>
      </c>
      <c r="AE11" s="5" t="inlineStr">
        <is>
          <t>未反映</t>
        </is>
      </c>
      <c r="AF11" s="5" t="inlineStr">
        <is>
          <t>posted</t>
        </is>
      </c>
      <c r="AG11" s="5" t="inlineStr">
        <is>
          <t>post/create_only</t>
        </is>
      </c>
      <c r="AH11" s="5" t="n">
        <v>21941</v>
      </c>
      <c r="AI11" s="5" t="inlineStr">
        <is>
          <t>https://www.sunadatosou.com/?p=21941</t>
        </is>
      </c>
      <c r="AJ11" s="29" t="inlineStr">
        <is>
          <t>2026-06-27 17:06:01</t>
        </is>
      </c>
      <c r="AK11" s="29" t="n"/>
      <c r="AL11" s="5" t="n">
        <v>3914</v>
      </c>
      <c r="AM11" s="5" t="inlineStr">
        <is>
          <t>不足(目安4,500〜6,500字)</t>
        </is>
      </c>
      <c r="AN11" s="5" t="n"/>
      <c r="AO11" s="5" t="inlineStr">
        <is>
          <t>中心記事「松山市の雨漏り修理」へリンク。関連：雨漏り費用・調査・屋根雨漏り。</t>
        </is>
      </c>
      <c r="AP11" s="5" t="inlineStr">
        <is>
          <t>H1なし／この記事でわかること／地域事情／事例／原因・費用／CTA／FAQ</t>
        </is>
      </c>
      <c r="AQ11" s="5" t="n"/>
    </row>
    <row r="12" ht="42.75" customHeight="1" s="24">
      <c r="A12" s="5" t="n">
        <v>11</v>
      </c>
      <c r="B12" s="5" t="inlineStr">
        <is>
          <t>松山市 屋根修理</t>
        </is>
      </c>
      <c r="C12" s="5" t="inlineStr">
        <is>
          <t>松山市 屋根修理</t>
        </is>
      </c>
      <c r="D12" s="5" t="inlineStr">
        <is>
          <t>松山市の屋根修理はどこに頼む？症状別の対処法と費用目安</t>
        </is>
      </c>
      <c r="E12" s="5" t="inlineStr">
        <is>
          <t>屋根修理・屋根材</t>
        </is>
      </c>
      <c r="F12" s="5" t="inlineStr">
        <is>
          <t>地域サービス型</t>
        </is>
      </c>
      <c r="G12" s="5" t="inlineStr">
        <is>
          <t>地域サービス型</t>
        </is>
      </c>
      <c r="H12" s="5" t="inlineStr">
        <is>
          <t>5,000〜7,000字</t>
        </is>
      </c>
      <c r="I12" s="5" t="n">
        <v>5000</v>
      </c>
      <c r="J12" s="5" t="n">
        <v>7000</v>
      </c>
      <c r="K12" s="5" t="inlineStr">
        <is>
          <t>高</t>
        </is>
      </c>
      <c r="L12" s="5" t="inlineStr">
        <is>
          <t>第2ロット：屋根修理・屋根材系</t>
        </is>
      </c>
      <c r="M12" s="5" t="inlineStr">
        <is>
          <t>011.md</t>
        </is>
      </c>
      <c r="N12" s="5" t="inlineStr">
        <is>
          <t>011.webp</t>
        </is>
      </c>
      <c r="O12" s="5" t="inlineStr">
        <is>
          <t>matsuyama-roof-repair</t>
        </is>
      </c>
      <c r="P12" s="5" t="inlineStr">
        <is>
          <t>松山市 屋根修理について、劣化症状、修理方法、費用目安、依頼前に確認したいポイントをわかりやすく解説します。</t>
        </is>
      </c>
      <c r="Q12" s="5" t="inlineStr">
        <is>
          <t>屋根修理</t>
        </is>
      </c>
      <c r="R12" s="5" t="inlineStr">
        <is>
          <t>松山市、屋根修理</t>
        </is>
      </c>
      <c r="S12" s="5" t="inlineStr">
        <is>
          <t>屋根無料点検・屋根修理</t>
        </is>
      </c>
      <c r="T12" s="5" t="inlineStr">
        <is>
          <t>屋根点検CTA</t>
        </is>
      </c>
      <c r="U12" s="5" t="inlineStr">
        <is>
          <t>屋根材・板金・瓦の状態を点検し、雨漏りリスクや修理方法を職人目線で確認します。</t>
        </is>
      </c>
      <c r="V12" s="5" t="inlineStr">
        <is>
          <t>屋根修理</t>
        </is>
      </c>
      <c r="W12" s="5" t="inlineStr">
        <is>
          <t>雨漏り前に劣化を確認</t>
        </is>
      </c>
      <c r="X12" s="5" t="inlineStr">
        <is>
          <t>屋根点検・修理方法を解説</t>
        </is>
      </c>
      <c r="Y12" s="5" t="inlineStr">
        <is>
          <t>屋根材・瓦・板金・雨空</t>
        </is>
      </c>
      <c r="Z12" s="5" t="inlineStr">
        <is>
          <t>屋根を点検する職人</t>
        </is>
      </c>
      <c r="AA12" s="5" t="inlineStr">
        <is>
          <t>松山市版</t>
        </is>
      </c>
      <c r="AB12" s="5" t="inlineStr">
        <is>
          <t>屋根修理訴求</t>
        </is>
      </c>
      <c r="AC12" s="5" t="inlineStr">
        <is>
          <t>未着手</t>
        </is>
      </c>
      <c r="AD12" s="5" t="inlineStr">
        <is>
          <t>画像確認済み</t>
        </is>
      </c>
      <c r="AE12" s="5" t="inlineStr">
        <is>
          <t>未反映</t>
        </is>
      </c>
      <c r="AF12" s="5" t="inlineStr">
        <is>
          <t>posted</t>
        </is>
      </c>
      <c r="AG12" s="5" t="inlineStr">
        <is>
          <t>post/create_only</t>
        </is>
      </c>
      <c r="AH12" s="5" t="n">
        <v>21943</v>
      </c>
      <c r="AI12" s="5" t="inlineStr">
        <is>
          <t>https://www.sunadatosou.com/?p=21943</t>
        </is>
      </c>
      <c r="AJ12" s="29" t="inlineStr">
        <is>
          <t>2026-06-27 17:09:57</t>
        </is>
      </c>
      <c r="AK12" s="29" t="n"/>
      <c r="AL12" s="5" t="n">
        <v>4306</v>
      </c>
      <c r="AM12" s="5" t="inlineStr">
        <is>
          <t>不足(目安5,000〜7,000字)</t>
        </is>
      </c>
      <c r="AN12" s="5" t="n"/>
      <c r="AO12" s="5" t="inlineStr">
        <is>
          <t>中心記事「松山市の屋根修理」へリンク。関連：屋根カバー・屋根材注意記事。</t>
        </is>
      </c>
      <c r="AP12" s="5" t="inlineStr">
        <is>
          <t>H1なし／この記事でわかること／地域事情／事例／原因・費用／CTA／FAQ</t>
        </is>
      </c>
      <c r="AQ12" s="5" t="n"/>
    </row>
    <row r="13" ht="42.75" customHeight="1" s="24">
      <c r="A13" s="5" t="n">
        <v>12</v>
      </c>
      <c r="B13" s="5" t="inlineStr">
        <is>
          <t>松山市 棟板金修理</t>
        </is>
      </c>
      <c r="C13" s="5" t="inlineStr">
        <is>
          <t>松山市 棟板金修理</t>
        </is>
      </c>
      <c r="D13" s="5" t="inlineStr">
        <is>
          <t>松山市の棟板金修理とは？浮き・釘抜け・雨漏りリスクを解説</t>
        </is>
      </c>
      <c r="E13" s="5" t="inlineStr">
        <is>
          <t>屋根修理・屋根材</t>
        </is>
      </c>
      <c r="F13" s="5" t="inlineStr">
        <is>
          <t>地域サービス型</t>
        </is>
      </c>
      <c r="G13" s="5" t="inlineStr">
        <is>
          <t>地域サービス型</t>
        </is>
      </c>
      <c r="H13" s="5" t="inlineStr">
        <is>
          <t>5,000〜7,000字</t>
        </is>
      </c>
      <c r="I13" s="5" t="n">
        <v>5000</v>
      </c>
      <c r="J13" s="5" t="n">
        <v>7000</v>
      </c>
      <c r="K13" s="5" t="inlineStr">
        <is>
          <t>高</t>
        </is>
      </c>
      <c r="L13" s="5" t="inlineStr">
        <is>
          <t>第2ロット：屋根修理・屋根材系</t>
        </is>
      </c>
      <c r="M13" s="5" t="inlineStr">
        <is>
          <t>012.md</t>
        </is>
      </c>
      <c r="N13" s="5" t="inlineStr">
        <is>
          <t>012.webp</t>
        </is>
      </c>
      <c r="O13" s="5" t="inlineStr">
        <is>
          <t>matsuyama-ridge-flashing-repair</t>
        </is>
      </c>
      <c r="P13" s="5" t="inlineStr">
        <is>
          <t>松山市 棟板金修理について、劣化症状、修理方法、費用目安、依頼前に確認したいポイントをわかりやすく解説します。</t>
        </is>
      </c>
      <c r="Q13" s="5" t="inlineStr">
        <is>
          <t>屋根修理</t>
        </is>
      </c>
      <c r="R13" s="5" t="inlineStr">
        <is>
          <t>松山市、屋根修理</t>
        </is>
      </c>
      <c r="S13" s="5" t="inlineStr">
        <is>
          <t>屋根無料点検・屋根修理</t>
        </is>
      </c>
      <c r="T13" s="5" t="inlineStr">
        <is>
          <t>屋根点検CTA</t>
        </is>
      </c>
      <c r="U13" s="5" t="inlineStr">
        <is>
          <t>屋根材・板金・瓦の状態を点検し、雨漏りリスクや修理方法を職人目線で確認します。</t>
        </is>
      </c>
      <c r="V13" s="5" t="inlineStr">
        <is>
          <t>棟板金修理</t>
        </is>
      </c>
      <c r="W13" s="5" t="inlineStr">
        <is>
          <t>雨漏り前に劣化を確認</t>
        </is>
      </c>
      <c r="X13" s="5" t="inlineStr">
        <is>
          <t>屋根点検・修理方法を解説</t>
        </is>
      </c>
      <c r="Y13" s="5" t="inlineStr">
        <is>
          <t>屋根材・瓦・板金・雨空</t>
        </is>
      </c>
      <c r="Z13" s="5" t="inlineStr">
        <is>
          <t>屋根を点検する職人</t>
        </is>
      </c>
      <c r="AA13" s="5" t="inlineStr">
        <is>
          <t>松山市版</t>
        </is>
      </c>
      <c r="AB13" s="5" t="inlineStr">
        <is>
          <t>屋根修理訴求</t>
        </is>
      </c>
      <c r="AC13" s="5" t="inlineStr">
        <is>
          <t>未着手</t>
        </is>
      </c>
      <c r="AD13" s="5" t="inlineStr">
        <is>
          <t>画像確認済み</t>
        </is>
      </c>
      <c r="AE13" s="5" t="inlineStr">
        <is>
          <t>未反映</t>
        </is>
      </c>
      <c r="AF13" s="5" t="inlineStr">
        <is>
          <t>posted</t>
        </is>
      </c>
      <c r="AG13" s="5" t="inlineStr">
        <is>
          <t>post/create_only</t>
        </is>
      </c>
      <c r="AH13" s="5" t="n">
        <v>21945</v>
      </c>
      <c r="AI13" s="5" t="inlineStr">
        <is>
          <t>https://www.sunadatosou.com/?p=21945</t>
        </is>
      </c>
      <c r="AJ13" s="29" t="inlineStr">
        <is>
          <t>2026-06-27 17:10:08</t>
        </is>
      </c>
      <c r="AK13" s="29" t="n"/>
      <c r="AL13" s="5" t="n">
        <v>4302</v>
      </c>
      <c r="AM13" s="5" t="inlineStr">
        <is>
          <t>不足(目安5,000〜7,000字)</t>
        </is>
      </c>
      <c r="AN13" s="5" t="n"/>
      <c r="AO13" s="5" t="inlineStr">
        <is>
          <t>中心記事「松山市の屋根修理」へリンク。関連：屋根カバー・屋根材注意記事。</t>
        </is>
      </c>
      <c r="AP13" s="5" t="inlineStr">
        <is>
          <t>H1なし／この記事でわかること／地域事情／事例／原因・費用／CTA／FAQ</t>
        </is>
      </c>
      <c r="AQ13" s="5" t="n"/>
    </row>
    <row r="14" ht="42.75" customHeight="1" s="24">
      <c r="A14" s="5" t="n">
        <v>13</v>
      </c>
      <c r="B14" s="5" t="inlineStr">
        <is>
          <t>松山市 谷板金修理</t>
        </is>
      </c>
      <c r="C14" s="5" t="inlineStr">
        <is>
          <t>松山市 谷板金修理</t>
        </is>
      </c>
      <c r="D14" s="5" t="inlineStr">
        <is>
          <t>松山市の谷板金修理が必要な症状｜雨漏り原因と費用目安</t>
        </is>
      </c>
      <c r="E14" s="5" t="inlineStr">
        <is>
          <t>屋根修理・屋根材</t>
        </is>
      </c>
      <c r="F14" s="5" t="inlineStr">
        <is>
          <t>地域サービス型</t>
        </is>
      </c>
      <c r="G14" s="5" t="inlineStr">
        <is>
          <t>地域サービス型</t>
        </is>
      </c>
      <c r="H14" s="5" t="inlineStr">
        <is>
          <t>5,000〜7,000字</t>
        </is>
      </c>
      <c r="I14" s="5" t="n">
        <v>5000</v>
      </c>
      <c r="J14" s="5" t="n">
        <v>7000</v>
      </c>
      <c r="K14" s="5" t="inlineStr">
        <is>
          <t>高</t>
        </is>
      </c>
      <c r="L14" s="5" t="inlineStr">
        <is>
          <t>第2ロット：屋根修理・屋根材系</t>
        </is>
      </c>
      <c r="M14" s="5" t="inlineStr">
        <is>
          <t>013.md</t>
        </is>
      </c>
      <c r="N14" s="5" t="inlineStr">
        <is>
          <t>013.webp</t>
        </is>
      </c>
      <c r="O14" s="5" t="inlineStr">
        <is>
          <t>matsuyama-valley-flashing-repair</t>
        </is>
      </c>
      <c r="P14" s="5" t="inlineStr">
        <is>
          <t>松山市 谷板金修理について、劣化症状、修理方法、費用目安、依頼前に確認したいポイントをわかりやすく解説します。</t>
        </is>
      </c>
      <c r="Q14" s="5" t="inlineStr">
        <is>
          <t>屋根修理</t>
        </is>
      </c>
      <c r="R14" s="5" t="inlineStr">
        <is>
          <t>松山市、屋根修理</t>
        </is>
      </c>
      <c r="S14" s="5" t="inlineStr">
        <is>
          <t>屋根無料点検・屋根修理</t>
        </is>
      </c>
      <c r="T14" s="5" t="inlineStr">
        <is>
          <t>屋根点検CTA</t>
        </is>
      </c>
      <c r="U14" s="5" t="inlineStr">
        <is>
          <t>屋根材・板金・瓦の状態を点検し、雨漏りリスクや修理方法を職人目線で確認します。</t>
        </is>
      </c>
      <c r="V14" s="5" t="inlineStr">
        <is>
          <t>谷板金修理</t>
        </is>
      </c>
      <c r="W14" s="5" t="inlineStr">
        <is>
          <t>雨漏り前に劣化を確認</t>
        </is>
      </c>
      <c r="X14" s="5" t="inlineStr">
        <is>
          <t>屋根点検・修理方法を解説</t>
        </is>
      </c>
      <c r="Y14" s="5" t="inlineStr">
        <is>
          <t>屋根材・瓦・板金・雨空</t>
        </is>
      </c>
      <c r="Z14" s="5" t="inlineStr">
        <is>
          <t>屋根を点検する職人</t>
        </is>
      </c>
      <c r="AA14" s="5" t="inlineStr">
        <is>
          <t>松山市版</t>
        </is>
      </c>
      <c r="AB14" s="5" t="inlineStr">
        <is>
          <t>屋根修理訴求</t>
        </is>
      </c>
      <c r="AC14" s="5" t="inlineStr">
        <is>
          <t>未着手</t>
        </is>
      </c>
      <c r="AD14" s="5" t="inlineStr">
        <is>
          <t>画像確認済み</t>
        </is>
      </c>
      <c r="AE14" s="5" t="inlineStr">
        <is>
          <t>未反映</t>
        </is>
      </c>
      <c r="AF14" s="5" t="inlineStr">
        <is>
          <t>posted</t>
        </is>
      </c>
      <c r="AG14" s="5" t="inlineStr">
        <is>
          <t>post/create_only</t>
        </is>
      </c>
      <c r="AH14" s="5" t="n">
        <v>21947</v>
      </c>
      <c r="AI14" s="5" t="inlineStr">
        <is>
          <t>https://www.sunadatosou.com/?p=21947</t>
        </is>
      </c>
      <c r="AJ14" s="29" t="inlineStr">
        <is>
          <t>2026-06-27 17:10:16</t>
        </is>
      </c>
      <c r="AK14" s="29" t="n"/>
      <c r="AL14" s="5" t="n">
        <v>4340</v>
      </c>
      <c r="AM14" s="5" t="inlineStr">
        <is>
          <t>不足(目安5,000〜7,000字)</t>
        </is>
      </c>
      <c r="AN14" s="5" t="n"/>
      <c r="AO14" s="5" t="inlineStr">
        <is>
          <t>中心記事「松山市の屋根修理」へリンク。関連：屋根カバー・屋根材注意記事。</t>
        </is>
      </c>
      <c r="AP14" s="5" t="inlineStr">
        <is>
          <t>H1なし／この記事でわかること／地域事情／事例／原因・費用／CTA／FAQ</t>
        </is>
      </c>
      <c r="AQ14" s="5" t="n"/>
    </row>
    <row r="15" ht="42.75" customHeight="1" s="24">
      <c r="A15" s="5" t="n">
        <v>14</v>
      </c>
      <c r="B15" s="5" t="inlineStr">
        <is>
          <t>松山市 瓦修理</t>
        </is>
      </c>
      <c r="C15" s="5" t="inlineStr">
        <is>
          <t>松山市 瓦修理</t>
        </is>
      </c>
      <c r="D15" s="5" t="inlineStr">
        <is>
          <t>松山市の瓦修理はいつ必要？割れ・ズレ・雨漏りの対処法</t>
        </is>
      </c>
      <c r="E15" s="5" t="inlineStr">
        <is>
          <t>屋根修理・屋根材</t>
        </is>
      </c>
      <c r="F15" s="5" t="inlineStr">
        <is>
          <t>地域サービス型</t>
        </is>
      </c>
      <c r="G15" s="5" t="inlineStr">
        <is>
          <t>地域サービス型</t>
        </is>
      </c>
      <c r="H15" s="5" t="inlineStr">
        <is>
          <t>5,000〜7,000字</t>
        </is>
      </c>
      <c r="I15" s="5" t="n">
        <v>5000</v>
      </c>
      <c r="J15" s="5" t="n">
        <v>7000</v>
      </c>
      <c r="K15" s="5" t="inlineStr">
        <is>
          <t>高</t>
        </is>
      </c>
      <c r="L15" s="5" t="inlineStr">
        <is>
          <t>第2ロット：屋根修理・屋根材系</t>
        </is>
      </c>
      <c r="M15" s="5" t="inlineStr">
        <is>
          <t>014.md</t>
        </is>
      </c>
      <c r="N15" s="5" t="inlineStr">
        <is>
          <t>014.webp</t>
        </is>
      </c>
      <c r="O15" s="5" t="inlineStr">
        <is>
          <t>matsuyama-tile-roof-repair</t>
        </is>
      </c>
      <c r="P15" s="5" t="inlineStr">
        <is>
          <t>松山市 瓦修理について、劣化症状、修理方法、費用目安、依頼前に確認したいポイントをわかりやすく解説します。</t>
        </is>
      </c>
      <c r="Q15" s="5" t="inlineStr">
        <is>
          <t>屋根修理</t>
        </is>
      </c>
      <c r="R15" s="5" t="inlineStr">
        <is>
          <t>松山市、屋根修理</t>
        </is>
      </c>
      <c r="S15" s="5" t="inlineStr">
        <is>
          <t>屋根無料点検・屋根修理</t>
        </is>
      </c>
      <c r="T15" s="5" t="inlineStr">
        <is>
          <t>屋根点検CTA</t>
        </is>
      </c>
      <c r="U15" s="5" t="inlineStr">
        <is>
          <t>屋根材・板金・瓦の状態を点検し、雨漏りリスクや修理方法を職人目線で確認します。</t>
        </is>
      </c>
      <c r="V15" s="5" t="inlineStr">
        <is>
          <t>瓦修理</t>
        </is>
      </c>
      <c r="W15" s="5" t="inlineStr">
        <is>
          <t>雨漏り前に劣化を確認</t>
        </is>
      </c>
      <c r="X15" s="5" t="inlineStr">
        <is>
          <t>屋根点検・修理方法を解説</t>
        </is>
      </c>
      <c r="Y15" s="5" t="inlineStr">
        <is>
          <t>屋根材・瓦・板金・雨空</t>
        </is>
      </c>
      <c r="Z15" s="5" t="inlineStr">
        <is>
          <t>屋根を点検する職人</t>
        </is>
      </c>
      <c r="AA15" s="5" t="inlineStr">
        <is>
          <t>松山市版</t>
        </is>
      </c>
      <c r="AB15" s="5" t="inlineStr">
        <is>
          <t>屋根修理訴求</t>
        </is>
      </c>
      <c r="AC15" s="5" t="inlineStr">
        <is>
          <t>未着手</t>
        </is>
      </c>
      <c r="AD15" s="5" t="inlineStr">
        <is>
          <t>画像確認済み</t>
        </is>
      </c>
      <c r="AE15" s="5" t="inlineStr">
        <is>
          <t>未反映</t>
        </is>
      </c>
      <c r="AF15" s="5" t="inlineStr">
        <is>
          <t>posted</t>
        </is>
      </c>
      <c r="AG15" s="5" t="inlineStr">
        <is>
          <t>post/create_only</t>
        </is>
      </c>
      <c r="AH15" s="5" t="n">
        <v>21949</v>
      </c>
      <c r="AI15" s="5" t="inlineStr">
        <is>
          <t>https://www.sunadatosou.com/?p=21949</t>
        </is>
      </c>
      <c r="AJ15" s="29" t="inlineStr">
        <is>
          <t>2026-06-27 17:10:24</t>
        </is>
      </c>
      <c r="AK15" s="29" t="n"/>
      <c r="AL15" s="5" t="n">
        <v>4318</v>
      </c>
      <c r="AM15" s="5" t="inlineStr">
        <is>
          <t>不足(目安5,000〜7,000字)</t>
        </is>
      </c>
      <c r="AN15" s="5" t="n"/>
      <c r="AO15" s="5" t="inlineStr">
        <is>
          <t>中心記事「松山市の屋根修理」へリンク。関連：屋根カバー・屋根材注意記事。</t>
        </is>
      </c>
      <c r="AP15" s="5" t="inlineStr">
        <is>
          <t>H1なし／この記事でわかること／地域事情／事例／原因・費用／CTA／FAQ</t>
        </is>
      </c>
      <c r="AQ15" s="5" t="n"/>
    </row>
    <row r="16" ht="42.75" customHeight="1" s="24">
      <c r="A16" s="5" t="n">
        <v>15</v>
      </c>
      <c r="B16" s="5" t="inlineStr">
        <is>
          <t>松山市 漆喰補修</t>
        </is>
      </c>
      <c r="C16" s="5" t="inlineStr">
        <is>
          <t>松山市 漆喰補修</t>
        </is>
      </c>
      <c r="D16" s="5" t="inlineStr">
        <is>
          <t>松山市の漆喰補修とは？劣化症状・費用・雨漏り予防を解説</t>
        </is>
      </c>
      <c r="E16" s="5" t="inlineStr">
        <is>
          <t>屋根修理・屋根材</t>
        </is>
      </c>
      <c r="F16" s="5" t="inlineStr">
        <is>
          <t>地域サービス型</t>
        </is>
      </c>
      <c r="G16" s="5" t="inlineStr">
        <is>
          <t>地域サービス型</t>
        </is>
      </c>
      <c r="H16" s="5" t="inlineStr">
        <is>
          <t>5,000〜7,000字</t>
        </is>
      </c>
      <c r="I16" s="5" t="n">
        <v>5000</v>
      </c>
      <c r="J16" s="5" t="n">
        <v>7000</v>
      </c>
      <c r="K16" s="5" t="inlineStr">
        <is>
          <t>高</t>
        </is>
      </c>
      <c r="L16" s="5" t="inlineStr">
        <is>
          <t>第2ロット：屋根修理・屋根材系</t>
        </is>
      </c>
      <c r="M16" s="5" t="inlineStr">
        <is>
          <t>015.md</t>
        </is>
      </c>
      <c r="N16" s="5" t="inlineStr">
        <is>
          <t>015.webp</t>
        </is>
      </c>
      <c r="O16" s="5" t="inlineStr">
        <is>
          <t>matsuyama-plaster-repair</t>
        </is>
      </c>
      <c r="P16" s="5" t="inlineStr">
        <is>
          <t>松山市 漆喰補修について、劣化症状、修理方法、費用目安、依頼前に確認したいポイントをわかりやすく解説します。</t>
        </is>
      </c>
      <c r="Q16" s="5" t="inlineStr">
        <is>
          <t>屋根修理</t>
        </is>
      </c>
      <c r="R16" s="5" t="inlineStr">
        <is>
          <t>松山市、屋根修理</t>
        </is>
      </c>
      <c r="S16" s="5" t="inlineStr">
        <is>
          <t>屋根無料点検・屋根修理</t>
        </is>
      </c>
      <c r="T16" s="5" t="inlineStr">
        <is>
          <t>屋根点検CTA</t>
        </is>
      </c>
      <c r="U16" s="5" t="inlineStr">
        <is>
          <t>屋根材・板金・瓦の状態を点検し、雨漏りリスクや修理方法を職人目線で確認します。</t>
        </is>
      </c>
      <c r="V16" s="5" t="inlineStr">
        <is>
          <t>漆喰補修</t>
        </is>
      </c>
      <c r="W16" s="5" t="inlineStr">
        <is>
          <t>雨漏り前に劣化を確認</t>
        </is>
      </c>
      <c r="X16" s="5" t="inlineStr">
        <is>
          <t>屋根点検・修理方法を解説</t>
        </is>
      </c>
      <c r="Y16" s="5" t="inlineStr">
        <is>
          <t>屋根材・瓦・板金・雨空</t>
        </is>
      </c>
      <c r="Z16" s="5" t="inlineStr">
        <is>
          <t>屋根を点検する職人</t>
        </is>
      </c>
      <c r="AA16" s="5" t="inlineStr">
        <is>
          <t>松山市版</t>
        </is>
      </c>
      <c r="AB16" s="5" t="inlineStr">
        <is>
          <t>屋根修理訴求</t>
        </is>
      </c>
      <c r="AC16" s="5" t="inlineStr">
        <is>
          <t>未着手</t>
        </is>
      </c>
      <c r="AD16" s="5" t="inlineStr">
        <is>
          <t>画像確認済み</t>
        </is>
      </c>
      <c r="AE16" s="5" t="inlineStr">
        <is>
          <t>未反映</t>
        </is>
      </c>
      <c r="AF16" s="5" t="inlineStr">
        <is>
          <t>posted</t>
        </is>
      </c>
      <c r="AG16" s="5" t="inlineStr">
        <is>
          <t>post/create_only</t>
        </is>
      </c>
      <c r="AH16" s="5" t="n">
        <v>21951</v>
      </c>
      <c r="AI16" s="5" t="inlineStr">
        <is>
          <t>https://www.sunadatosou.com/?p=21951</t>
        </is>
      </c>
      <c r="AJ16" s="29" t="inlineStr">
        <is>
          <t>2026-06-27 17:10:31</t>
        </is>
      </c>
      <c r="AK16" s="29" t="n"/>
      <c r="AL16" s="5" t="n">
        <v>4289</v>
      </c>
      <c r="AM16" s="5" t="inlineStr">
        <is>
          <t>不足(目安5,000〜7,000字)</t>
        </is>
      </c>
      <c r="AN16" s="5" t="n"/>
      <c r="AO16" s="5" t="inlineStr">
        <is>
          <t>中心記事「松山市の屋根修理」へリンク。関連：屋根カバー・屋根材注意記事。</t>
        </is>
      </c>
      <c r="AP16" s="5" t="inlineStr">
        <is>
          <t>H1なし／この記事でわかること／地域事情／事例／原因・費用／CTA／FAQ</t>
        </is>
      </c>
      <c r="AQ16" s="5" t="n"/>
    </row>
    <row r="17" ht="42.75" customHeight="1" s="24">
      <c r="A17" s="5" t="n">
        <v>16</v>
      </c>
      <c r="B17" s="5" t="inlineStr">
        <is>
          <t>松山市 屋根リフォーム</t>
        </is>
      </c>
      <c r="C17" s="5" t="inlineStr">
        <is>
          <t>松山市 屋根リフォーム</t>
        </is>
      </c>
      <c r="D17" s="5" t="inlineStr">
        <is>
          <t>松山市の屋根リフォーム方法｜カバー工法・葺き替え・修理の違い</t>
        </is>
      </c>
      <c r="E17" s="5" t="inlineStr">
        <is>
          <t>屋根修理・屋根材</t>
        </is>
      </c>
      <c r="F17" s="5" t="inlineStr">
        <is>
          <t>地域サービス型</t>
        </is>
      </c>
      <c r="G17" s="5" t="inlineStr">
        <is>
          <t>地域サービス型</t>
        </is>
      </c>
      <c r="H17" s="5" t="inlineStr">
        <is>
          <t>5,000〜7,000字</t>
        </is>
      </c>
      <c r="I17" s="5" t="n">
        <v>5000</v>
      </c>
      <c r="J17" s="5" t="n">
        <v>7000</v>
      </c>
      <c r="K17" s="5" t="inlineStr">
        <is>
          <t>高</t>
        </is>
      </c>
      <c r="L17" s="5" t="inlineStr">
        <is>
          <t>第2ロット：屋根修理・屋根材系</t>
        </is>
      </c>
      <c r="M17" s="5" t="inlineStr">
        <is>
          <t>016.md</t>
        </is>
      </c>
      <c r="N17" s="5" t="inlineStr">
        <is>
          <t>016.webp</t>
        </is>
      </c>
      <c r="O17" s="5" t="inlineStr">
        <is>
          <t>matsuyama-roof-remodel</t>
        </is>
      </c>
      <c r="P17" s="5" t="inlineStr">
        <is>
          <t>松山市 屋根リフォームについて、劣化症状、修理方法、費用目安、依頼前に確認したいポイントをわかりやすく解説します。</t>
        </is>
      </c>
      <c r="Q17" s="5" t="inlineStr">
        <is>
          <t>屋根修理</t>
        </is>
      </c>
      <c r="R17" s="5" t="inlineStr">
        <is>
          <t>松山市、屋根修理</t>
        </is>
      </c>
      <c r="S17" s="5" t="inlineStr">
        <is>
          <t>屋根無料点検・屋根修理</t>
        </is>
      </c>
      <c r="T17" s="5" t="inlineStr">
        <is>
          <t>屋根点検CTA</t>
        </is>
      </c>
      <c r="U17" s="5" t="inlineStr">
        <is>
          <t>屋根材・板金・瓦の状態を点検し、雨漏りリスクや修理方法を職人目線で確認します。</t>
        </is>
      </c>
      <c r="V17" s="5" t="inlineStr">
        <is>
          <t>屋根リフォーム</t>
        </is>
      </c>
      <c r="W17" s="5" t="inlineStr">
        <is>
          <t>雨漏り前に劣化を確認</t>
        </is>
      </c>
      <c r="X17" s="5" t="inlineStr">
        <is>
          <t>屋根点検・修理方法を解説</t>
        </is>
      </c>
      <c r="Y17" s="5" t="inlineStr">
        <is>
          <t>屋根材・瓦・板金・雨空</t>
        </is>
      </c>
      <c r="Z17" s="5" t="inlineStr">
        <is>
          <t>屋根を点検する職人</t>
        </is>
      </c>
      <c r="AA17" s="5" t="inlineStr">
        <is>
          <t>松山市版</t>
        </is>
      </c>
      <c r="AB17" s="5" t="inlineStr">
        <is>
          <t>屋根修理訴求</t>
        </is>
      </c>
      <c r="AC17" s="5" t="inlineStr">
        <is>
          <t>未着手</t>
        </is>
      </c>
      <c r="AD17" s="5" t="inlineStr">
        <is>
          <t>画像確認済み</t>
        </is>
      </c>
      <c r="AE17" s="5" t="inlineStr">
        <is>
          <t>未反映</t>
        </is>
      </c>
      <c r="AF17" s="5" t="inlineStr">
        <is>
          <t>posted</t>
        </is>
      </c>
      <c r="AG17" s="5" t="inlineStr">
        <is>
          <t>post/create_only</t>
        </is>
      </c>
      <c r="AH17" s="5" t="n">
        <v>21953</v>
      </c>
      <c r="AI17" s="5" t="inlineStr">
        <is>
          <t>https://www.sunadatosou.com/?p=21953</t>
        </is>
      </c>
      <c r="AJ17" s="29" t="inlineStr">
        <is>
          <t>2026-06-27 17:10:40</t>
        </is>
      </c>
      <c r="AK17" s="29" t="n"/>
      <c r="AL17" s="5" t="n">
        <v>4369</v>
      </c>
      <c r="AM17" s="5" t="inlineStr">
        <is>
          <t>不足(目安5,000〜7,000字)</t>
        </is>
      </c>
      <c r="AN17" s="5" t="n"/>
      <c r="AO17" s="5" t="inlineStr">
        <is>
          <t>中心記事「松山市の屋根修理」へリンク。関連：屋根カバー・屋根材注意記事。</t>
        </is>
      </c>
      <c r="AP17" s="5" t="inlineStr">
        <is>
          <t>H1なし／この記事でわかること／地域事情／事例／原因・費用／CTA／FAQ</t>
        </is>
      </c>
      <c r="AQ17" s="5" t="n"/>
    </row>
    <row r="18" ht="42.75" customHeight="1" s="24">
      <c r="A18" s="5" t="n">
        <v>17</v>
      </c>
      <c r="B18" s="5" t="inlineStr">
        <is>
          <t>松山市 ガルテクト</t>
        </is>
      </c>
      <c r="C18" s="5" t="inlineStr">
        <is>
          <t>松山市 ガルテクト</t>
        </is>
      </c>
      <c r="D18" s="5" t="inlineStr">
        <is>
          <t>松山市でガルテクトを使う屋根工事｜特徴・費用・注意点</t>
        </is>
      </c>
      <c r="E18" s="5" t="inlineStr">
        <is>
          <t>屋根修理・屋根材</t>
        </is>
      </c>
      <c r="F18" s="5" t="inlineStr">
        <is>
          <t>屋根材注意型</t>
        </is>
      </c>
      <c r="G18" s="5" t="inlineStr">
        <is>
          <t>建材・屋根材注意喚起型</t>
        </is>
      </c>
      <c r="H18" s="5" t="inlineStr">
        <is>
          <t>5,000〜7,000字</t>
        </is>
      </c>
      <c r="I18" s="5" t="n">
        <v>5000</v>
      </c>
      <c r="J18" s="5" t="n">
        <v>7000</v>
      </c>
      <c r="K18" s="5" t="inlineStr">
        <is>
          <t>高</t>
        </is>
      </c>
      <c r="L18" s="5" t="inlineStr">
        <is>
          <t>第2ロット：屋根修理・屋根材系</t>
        </is>
      </c>
      <c r="M18" s="5" t="inlineStr">
        <is>
          <t>017.md</t>
        </is>
      </c>
      <c r="N18" s="5" t="inlineStr">
        <is>
          <t>017.webp</t>
        </is>
      </c>
      <c r="O18" s="5" t="inlineStr">
        <is>
          <t>matsuyama-galtect</t>
        </is>
      </c>
      <c r="P18" s="5" t="inlineStr">
        <is>
          <t>松山市 ガルテクトについて、劣化症状、修理方法、費用目安、依頼前に確認したいポイントをわかりやすく解説します。</t>
        </is>
      </c>
      <c r="Q18" s="5" t="inlineStr">
        <is>
          <t>屋根修理</t>
        </is>
      </c>
      <c r="R18" s="5" t="inlineStr">
        <is>
          <t>松山市、屋根修理</t>
        </is>
      </c>
      <c r="S18" s="5" t="inlineStr">
        <is>
          <t>屋根無料点検・屋根修理</t>
        </is>
      </c>
      <c r="T18" s="5" t="inlineStr">
        <is>
          <t>屋根点検CTA</t>
        </is>
      </c>
      <c r="U18" s="5" t="inlineStr">
        <is>
          <t>屋根材・板金・瓦の状態を点検し、雨漏りリスクや修理方法を職人目線で確認します。</t>
        </is>
      </c>
      <c r="V18" s="5" t="inlineStr">
        <is>
          <t>ガルテクト</t>
        </is>
      </c>
      <c r="W18" s="5" t="inlineStr">
        <is>
          <t>雨漏り前に劣化を確認</t>
        </is>
      </c>
      <c r="X18" s="5" t="inlineStr">
        <is>
          <t>屋根点検・修理方法を解説</t>
        </is>
      </c>
      <c r="Y18" s="5" t="inlineStr">
        <is>
          <t>屋根材・瓦・板金・雨空</t>
        </is>
      </c>
      <c r="Z18" s="5" t="inlineStr">
        <is>
          <t>屋根を点検する職人</t>
        </is>
      </c>
      <c r="AA18" s="5" t="inlineStr">
        <is>
          <t>松山市版</t>
        </is>
      </c>
      <c r="AB18" s="5" t="inlineStr">
        <is>
          <t>屋根修理訴求</t>
        </is>
      </c>
      <c r="AC18" s="5" t="inlineStr">
        <is>
          <t>未着手</t>
        </is>
      </c>
      <c r="AD18" s="5" t="inlineStr">
        <is>
          <t>画像確認済み</t>
        </is>
      </c>
      <c r="AE18" s="5" t="inlineStr">
        <is>
          <t>未反映</t>
        </is>
      </c>
      <c r="AF18" s="5" t="inlineStr">
        <is>
          <t>posted</t>
        </is>
      </c>
      <c r="AG18" s="5" t="inlineStr">
        <is>
          <t>post/create_only</t>
        </is>
      </c>
      <c r="AH18" s="5" t="n">
        <v>21955</v>
      </c>
      <c r="AI18" s="5" t="inlineStr">
        <is>
          <t>https://www.sunadatosou.com/?p=21955</t>
        </is>
      </c>
      <c r="AJ18" s="29" t="inlineStr">
        <is>
          <t>2026-06-27 17:10:50</t>
        </is>
      </c>
      <c r="AK18" s="29" t="n"/>
      <c r="AL18" s="5" t="n">
        <v>4311</v>
      </c>
      <c r="AM18" s="5" t="inlineStr">
        <is>
          <t>不足(目安5,000〜7,000字)</t>
        </is>
      </c>
      <c r="AN18" s="5" t="n"/>
      <c r="AO18" s="5" t="inlineStr">
        <is>
          <t>中心記事「松山市の屋根修理」へリンク。関連：屋根カバー・屋根材注意記事。</t>
        </is>
      </c>
      <c r="AP18" s="5" t="inlineStr">
        <is>
          <t>H1なし／この記事でわかること／地域事情／事例／原因・費用／CTA／FAQ</t>
        </is>
      </c>
      <c r="AQ18" s="5" t="n"/>
    </row>
    <row r="19" ht="42.75" customHeight="1" s="24">
      <c r="A19" s="5" t="n">
        <v>18</v>
      </c>
      <c r="B19" s="5" t="inlineStr">
        <is>
          <t>松山市 ヴェルウッド</t>
        </is>
      </c>
      <c r="C19" s="5" t="inlineStr">
        <is>
          <t>松山市 ヴェルウッド</t>
        </is>
      </c>
      <c r="D19" s="5" t="inlineStr">
        <is>
          <t>松山市でヴェルウッドを使う屋根工事｜特徴・注意点を解説</t>
        </is>
      </c>
      <c r="E19" s="5" t="inlineStr">
        <is>
          <t>屋根修理・屋根材</t>
        </is>
      </c>
      <c r="F19" s="5" t="inlineStr">
        <is>
          <t>屋根材注意型</t>
        </is>
      </c>
      <c r="G19" s="5" t="inlineStr">
        <is>
          <t>地域サービス型</t>
        </is>
      </c>
      <c r="H19" s="5" t="inlineStr">
        <is>
          <t>5,000〜7,000字</t>
        </is>
      </c>
      <c r="I19" s="5" t="n">
        <v>5000</v>
      </c>
      <c r="J19" s="5" t="n">
        <v>7000</v>
      </c>
      <c r="K19" s="5" t="inlineStr">
        <is>
          <t>高</t>
        </is>
      </c>
      <c r="L19" s="5" t="inlineStr">
        <is>
          <t>第2ロット：屋根修理・屋根材系</t>
        </is>
      </c>
      <c r="M19" s="5" t="inlineStr">
        <is>
          <t>018.md</t>
        </is>
      </c>
      <c r="N19" s="5" t="inlineStr">
        <is>
          <t>018.webp</t>
        </is>
      </c>
      <c r="O19" s="5" t="inlineStr">
        <is>
          <t>matsuyama-velwood</t>
        </is>
      </c>
      <c r="P19" s="5" t="inlineStr">
        <is>
          <t>松山市 ヴェルウッドについて、劣化症状、修理方法、費用目安、依頼前に確認したいポイントをわかりやすく解説します。</t>
        </is>
      </c>
      <c r="Q19" s="5" t="inlineStr">
        <is>
          <t>屋根修理</t>
        </is>
      </c>
      <c r="R19" s="5" t="inlineStr">
        <is>
          <t>松山市、屋根修理</t>
        </is>
      </c>
      <c r="S19" s="5" t="inlineStr">
        <is>
          <t>屋根無料点検・屋根修理</t>
        </is>
      </c>
      <c r="T19" s="5" t="inlineStr">
        <is>
          <t>屋根点検CTA</t>
        </is>
      </c>
      <c r="U19" s="5" t="inlineStr">
        <is>
          <t>屋根材・板金・瓦の状態を点検し、雨漏りリスクや修理方法を職人目線で確認します。</t>
        </is>
      </c>
      <c r="V19" s="5" t="inlineStr">
        <is>
          <t>ヴェルウッド</t>
        </is>
      </c>
      <c r="W19" s="5" t="inlineStr">
        <is>
          <t>雨漏り前に劣化を確認</t>
        </is>
      </c>
      <c r="X19" s="5" t="inlineStr">
        <is>
          <t>屋根点検・修理方法を解説</t>
        </is>
      </c>
      <c r="Y19" s="5" t="inlineStr">
        <is>
          <t>屋根材・瓦・板金・雨空</t>
        </is>
      </c>
      <c r="Z19" s="5" t="inlineStr">
        <is>
          <t>屋根を点検する職人</t>
        </is>
      </c>
      <c r="AA19" s="5" t="inlineStr">
        <is>
          <t>松山市版</t>
        </is>
      </c>
      <c r="AB19" s="5" t="inlineStr">
        <is>
          <t>屋根修理訴求</t>
        </is>
      </c>
      <c r="AC19" s="5" t="inlineStr">
        <is>
          <t>未着手</t>
        </is>
      </c>
      <c r="AD19" s="5" t="inlineStr">
        <is>
          <t>画像確認済み</t>
        </is>
      </c>
      <c r="AE19" s="5" t="inlineStr">
        <is>
          <t>未反映</t>
        </is>
      </c>
      <c r="AF19" s="5" t="inlineStr">
        <is>
          <t>posted</t>
        </is>
      </c>
      <c r="AG19" s="5" t="inlineStr">
        <is>
          <t>post/create_only</t>
        </is>
      </c>
      <c r="AH19" s="5" t="n">
        <v>21957</v>
      </c>
      <c r="AI19" s="5" t="inlineStr">
        <is>
          <t>https://www.sunadatosou.com/?p=21957</t>
        </is>
      </c>
      <c r="AJ19" s="29" t="inlineStr">
        <is>
          <t>2026-06-27 17:10:58</t>
        </is>
      </c>
      <c r="AK19" s="29" t="n"/>
      <c r="AL19" s="5" t="n">
        <v>4240</v>
      </c>
      <c r="AM19" s="5" t="inlineStr">
        <is>
          <t>不足(目安5,000〜7,000字)</t>
        </is>
      </c>
      <c r="AN19" s="5" t="n"/>
      <c r="AO19" s="5" t="inlineStr">
        <is>
          <t>中心記事「松山市の屋根修理」へリンク。関連：屋根カバー・屋根材注意記事。</t>
        </is>
      </c>
      <c r="AP19" s="5" t="inlineStr">
        <is>
          <t>H1なし／この記事でわかること／地域事情／事例／原因・費用／CTA／FAQ</t>
        </is>
      </c>
      <c r="AQ19" s="5" t="n"/>
    </row>
    <row r="20" ht="42.75" customHeight="1" s="24">
      <c r="A20" s="5" t="n">
        <v>19</v>
      </c>
      <c r="B20" s="5" t="inlineStr">
        <is>
          <t>松山市 パミール屋根</t>
        </is>
      </c>
      <c r="C20" s="5" t="inlineStr">
        <is>
          <t>松山市 パミール屋根</t>
        </is>
      </c>
      <c r="D20" s="5" t="inlineStr">
        <is>
          <t>松山市のパミール屋根は塗装できる？劣化症状と対策を解説</t>
        </is>
      </c>
      <c r="E20" s="5" t="inlineStr">
        <is>
          <t>屋根修理・屋根材</t>
        </is>
      </c>
      <c r="F20" s="5" t="inlineStr">
        <is>
          <t>屋根材注意型</t>
        </is>
      </c>
      <c r="G20" s="5" t="inlineStr">
        <is>
          <t>建材・屋根材注意喚起型</t>
        </is>
      </c>
      <c r="H20" s="5" t="inlineStr">
        <is>
          <t>5,000〜7,000字</t>
        </is>
      </c>
      <c r="I20" s="5" t="n">
        <v>5000</v>
      </c>
      <c r="J20" s="5" t="n">
        <v>7000</v>
      </c>
      <c r="K20" s="5" t="inlineStr">
        <is>
          <t>高</t>
        </is>
      </c>
      <c r="L20" s="5" t="inlineStr">
        <is>
          <t>第2ロット：屋根修理・屋根材系</t>
        </is>
      </c>
      <c r="M20" s="5" t="inlineStr">
        <is>
          <t>019.md</t>
        </is>
      </c>
      <c r="N20" s="5" t="inlineStr">
        <is>
          <t>019.webp</t>
        </is>
      </c>
      <c r="O20" s="5" t="inlineStr">
        <is>
          <t>matsuyama-pamir-roof</t>
        </is>
      </c>
      <c r="P20" s="5" t="inlineStr">
        <is>
          <t>松山市 パミール屋根について、劣化症状、修理方法、費用目安、依頼前に確認したいポイントをわかりやすく解説します。</t>
        </is>
      </c>
      <c r="Q20" s="5" t="inlineStr">
        <is>
          <t>屋根修理</t>
        </is>
      </c>
      <c r="R20" s="5" t="inlineStr">
        <is>
          <t>松山市、屋根修理</t>
        </is>
      </c>
      <c r="S20" s="5" t="inlineStr">
        <is>
          <t>屋根無料点検・屋根修理</t>
        </is>
      </c>
      <c r="T20" s="5" t="inlineStr">
        <is>
          <t>屋根点検CTA</t>
        </is>
      </c>
      <c r="U20" s="5" t="inlineStr">
        <is>
          <t>屋根材・板金・瓦の状態を点検し、雨漏りリスクや修理方法を職人目線で確認します。</t>
        </is>
      </c>
      <c r="V20" s="5" t="inlineStr">
        <is>
          <t>パミール屋根</t>
        </is>
      </c>
      <c r="W20" s="5" t="inlineStr">
        <is>
          <t>雨漏り前に劣化を確認</t>
        </is>
      </c>
      <c r="X20" s="5" t="inlineStr">
        <is>
          <t>屋根点検・修理方法を解説</t>
        </is>
      </c>
      <c r="Y20" s="5" t="inlineStr">
        <is>
          <t>屋根材・瓦・板金・雨空</t>
        </is>
      </c>
      <c r="Z20" s="5" t="inlineStr">
        <is>
          <t>屋根を点検する職人</t>
        </is>
      </c>
      <c r="AA20" s="5" t="inlineStr">
        <is>
          <t>松山市版</t>
        </is>
      </c>
      <c r="AB20" s="5" t="inlineStr">
        <is>
          <t>屋根修理訴求</t>
        </is>
      </c>
      <c r="AC20" s="5" t="inlineStr">
        <is>
          <t>未着手</t>
        </is>
      </c>
      <c r="AD20" s="5" t="inlineStr">
        <is>
          <t>画像確認済み</t>
        </is>
      </c>
      <c r="AE20" s="5" t="inlineStr">
        <is>
          <t>未反映</t>
        </is>
      </c>
      <c r="AF20" s="5" t="inlineStr">
        <is>
          <t>posted</t>
        </is>
      </c>
      <c r="AG20" s="5" t="inlineStr">
        <is>
          <t>post/create_only</t>
        </is>
      </c>
      <c r="AH20" s="5" t="n">
        <v>21959</v>
      </c>
      <c r="AI20" s="5" t="inlineStr">
        <is>
          <t>https://www.sunadatosou.com/?p=21959</t>
        </is>
      </c>
      <c r="AJ20" s="29" t="inlineStr">
        <is>
          <t>2026-06-27 17:11:09</t>
        </is>
      </c>
      <c r="AK20" s="29" t="n"/>
      <c r="AL20" s="5" t="n">
        <v>4275</v>
      </c>
      <c r="AM20" s="5" t="inlineStr">
        <is>
          <t>不足(目安5,000〜7,000字)</t>
        </is>
      </c>
      <c r="AN20" s="5" t="n"/>
      <c r="AO20" s="5" t="inlineStr">
        <is>
          <t>中心記事「松山市の屋根修理」へリンク。関連：屋根カバー・屋根材注意記事。</t>
        </is>
      </c>
      <c r="AP20" s="5" t="inlineStr">
        <is>
          <t>H1なし／この記事でわかること／地域事情／事例／原因・費用／CTA／FAQ</t>
        </is>
      </c>
      <c r="AQ20" s="5" t="n"/>
    </row>
    <row r="21" ht="57" customHeight="1" s="24">
      <c r="A21" s="5" t="n">
        <v>20</v>
      </c>
      <c r="B21" s="5" t="inlineStr">
        <is>
          <t>パナソニックホームズ 外壁塗装 松山市</t>
        </is>
      </c>
      <c r="C21" s="5" t="inlineStr">
        <is>
          <t>パナソニックホームズ 外壁塗装 松山市</t>
        </is>
      </c>
      <c r="D21" s="5" t="inlineStr">
        <is>
          <t>パナソニックホームズの外壁塗装を松山市で行う際の注意点を解説</t>
        </is>
      </c>
      <c r="E21" s="5" t="inlineStr">
        <is>
          <t>ハウスメーカー外壁塗装</t>
        </is>
      </c>
      <c r="F21" s="5" t="inlineStr">
        <is>
          <t>ハウスメーカー型</t>
        </is>
      </c>
      <c r="G21" s="5" t="inlineStr">
        <is>
          <t>ハウスメーカー住宅型</t>
        </is>
      </c>
      <c r="H21" s="5" t="inlineStr">
        <is>
          <t>4,500〜6,000字</t>
        </is>
      </c>
      <c r="I21" s="5" t="n">
        <v>4500</v>
      </c>
      <c r="J21" s="5" t="n">
        <v>6000</v>
      </c>
      <c r="K21" s="5" t="inlineStr">
        <is>
          <t>中</t>
        </is>
      </c>
      <c r="L21" s="5" t="inlineStr">
        <is>
          <t>第3ロット：外壁塗装・防水系</t>
        </is>
      </c>
      <c r="M21" s="5" t="inlineStr">
        <is>
          <t>020.md</t>
        </is>
      </c>
      <c r="N21" s="5" t="inlineStr">
        <is>
          <t>020.webp</t>
        </is>
      </c>
      <c r="O21" s="5" t="inlineStr">
        <is>
          <t>panasonic-homes-exterior-paint-matsuyama</t>
        </is>
      </c>
      <c r="P21" s="5" t="inlineStr">
        <is>
          <t>パナソニックホームズ 外壁塗装 松山市について、特徴、注意点、費用目安、業者選びのポイントを初心者にもわかりやすく解説します。</t>
        </is>
      </c>
      <c r="Q21" s="5" t="inlineStr">
        <is>
          <t>外壁塗装</t>
        </is>
      </c>
      <c r="R21" s="5" t="inlineStr">
        <is>
          <t>松山市、外壁塗装</t>
        </is>
      </c>
      <c r="S21" s="5" t="inlineStr">
        <is>
          <t>外装劣化診断・外壁塗装無料見積り</t>
        </is>
      </c>
      <c r="T21" s="5" t="inlineStr">
        <is>
          <t>無料見積りCTA</t>
        </is>
      </c>
      <c r="U21" s="5" t="inlineStr">
        <is>
          <t>費用は原因箇所や補修範囲で変わります。現地調査で状態を確認し、見積もりの根拠を写真付きでご説明します。</t>
        </is>
      </c>
      <c r="V21" s="5" t="inlineStr">
        <is>
          <t>パナソニックホームズ 外壁塗装 松山市</t>
        </is>
      </c>
      <c r="W21" s="5" t="inlineStr">
        <is>
          <t>放置リスクと判断基準を解説</t>
        </is>
      </c>
      <c r="X21" s="5" t="inlineStr">
        <is>
          <t>無料診断で状態確認</t>
        </is>
      </c>
      <c r="Y21" s="5" t="inlineStr">
        <is>
          <t>外壁ひび割れ・チョーキング・住宅外観</t>
        </is>
      </c>
      <c r="Z21" s="5" t="inlineStr">
        <is>
          <t>職人＋困った住人</t>
        </is>
      </c>
      <c r="AA21" s="5" t="inlineStr">
        <is>
          <t>松山市版</t>
        </is>
      </c>
      <c r="AB21" s="5" t="inlineStr">
        <is>
          <t>外壁塗装訴求</t>
        </is>
      </c>
      <c r="AC21" s="5" t="inlineStr">
        <is>
          <t>未着手</t>
        </is>
      </c>
      <c r="AD21" s="5" t="inlineStr">
        <is>
          <t>画像確認済み</t>
        </is>
      </c>
      <c r="AE21" s="5" t="inlineStr">
        <is>
          <t>未反映</t>
        </is>
      </c>
      <c r="AF21" s="5" t="inlineStr">
        <is>
          <t>posted</t>
        </is>
      </c>
      <c r="AG21" s="5" t="inlineStr">
        <is>
          <t>post/create_only</t>
        </is>
      </c>
      <c r="AH21" s="5" t="n">
        <v>21961</v>
      </c>
      <c r="AI21" s="5" t="inlineStr">
        <is>
          <t>https://www.sunadatosou.com/?p=21961</t>
        </is>
      </c>
      <c r="AJ21" s="29" t="inlineStr">
        <is>
          <t>2026-06-27 17:11:18</t>
        </is>
      </c>
      <c r="AK21" s="29" t="n"/>
      <c r="AL21" s="5" t="n">
        <v>3315</v>
      </c>
      <c r="AM21" s="5" t="inlineStr">
        <is>
          <t>不足(目安4,500〜6,000字)</t>
        </is>
      </c>
      <c r="AN21" s="5" t="n"/>
      <c r="AO21" s="5" t="inlineStr">
        <is>
          <t>関連：外壁塗装工期、足場代、防水工事、屋根カバーへリンク。</t>
        </is>
      </c>
      <c r="AP21" s="5" t="inlineStr">
        <is>
          <t>H1なし／この記事でわかること／地域事情／事例／原因・費用／CTA／FAQ</t>
        </is>
      </c>
      <c r="AQ21" s="5" t="n"/>
    </row>
    <row r="22" ht="42.75" customHeight="1" s="24">
      <c r="A22" s="5" t="n">
        <v>21</v>
      </c>
      <c r="B22" s="5" t="inlineStr">
        <is>
          <t>レオハウス 外壁塗装 松山市</t>
        </is>
      </c>
      <c r="C22" s="5" t="inlineStr">
        <is>
          <t>レオハウス 外壁塗装 松山市</t>
        </is>
      </c>
      <c r="D22" s="5" t="inlineStr">
        <is>
          <t>レオハウスの外壁塗装を松山市で行う際の注意点を解説</t>
        </is>
      </c>
      <c r="E22" s="5" t="inlineStr">
        <is>
          <t>ハウスメーカー外壁塗装</t>
        </is>
      </c>
      <c r="F22" s="5" t="inlineStr">
        <is>
          <t>ハウスメーカー型</t>
        </is>
      </c>
      <c r="G22" s="5" t="inlineStr">
        <is>
          <t>ハウスメーカー住宅型</t>
        </is>
      </c>
      <c r="H22" s="5" t="inlineStr">
        <is>
          <t>4,500〜6,000字</t>
        </is>
      </c>
      <c r="I22" s="5" t="n">
        <v>4500</v>
      </c>
      <c r="J22" s="5" t="n">
        <v>6000</v>
      </c>
      <c r="K22" s="5" t="inlineStr">
        <is>
          <t>中</t>
        </is>
      </c>
      <c r="L22" s="5" t="inlineStr">
        <is>
          <t>第3ロット：外壁塗装・防水系</t>
        </is>
      </c>
      <c r="M22" s="5" t="inlineStr">
        <is>
          <t>021.md</t>
        </is>
      </c>
      <c r="N22" s="5" t="inlineStr">
        <is>
          <t>021.webp</t>
        </is>
      </c>
      <c r="O22" s="5" t="inlineStr">
        <is>
          <t>leo-house-exterior-paint-matsuyama</t>
        </is>
      </c>
      <c r="P22" s="5" t="inlineStr">
        <is>
          <t>レオハウス 外壁塗装 松山市について、特徴、注意点、費用目安、業者選びのポイントを初心者にもわかりやすく解説します。</t>
        </is>
      </c>
      <c r="Q22" s="5" t="inlineStr">
        <is>
          <t>外壁塗装</t>
        </is>
      </c>
      <c r="R22" s="5" t="inlineStr">
        <is>
          <t>松山市、外壁塗装</t>
        </is>
      </c>
      <c r="S22" s="5" t="inlineStr">
        <is>
          <t>外装劣化診断・外壁塗装無料見積り</t>
        </is>
      </c>
      <c r="T22" s="5" t="inlineStr">
        <is>
          <t>無料見積りCTA</t>
        </is>
      </c>
      <c r="U22" s="5" t="inlineStr">
        <is>
          <t>費用は原因箇所や補修範囲で変わります。現地調査で状態を確認し、見積もりの根拠を写真付きでご説明します。</t>
        </is>
      </c>
      <c r="V22" s="5" t="inlineStr">
        <is>
          <t>レオハウス 外壁塗装 松山市</t>
        </is>
      </c>
      <c r="W22" s="5" t="inlineStr">
        <is>
          <t>放置リスクと判断基準を解説</t>
        </is>
      </c>
      <c r="X22" s="5" t="inlineStr">
        <is>
          <t>無料診断で状態確認</t>
        </is>
      </c>
      <c r="Y22" s="5" t="inlineStr">
        <is>
          <t>外壁ひび割れ・チョーキング・住宅外観</t>
        </is>
      </c>
      <c r="Z22" s="5" t="inlineStr">
        <is>
          <t>職人＋困った住人</t>
        </is>
      </c>
      <c r="AA22" s="5" t="inlineStr">
        <is>
          <t>松山市版</t>
        </is>
      </c>
      <c r="AB22" s="5" t="inlineStr">
        <is>
          <t>外壁塗装訴求</t>
        </is>
      </c>
      <c r="AC22" s="5" t="inlineStr">
        <is>
          <t>未着手</t>
        </is>
      </c>
      <c r="AD22" s="5" t="inlineStr">
        <is>
          <t>画像確認済み</t>
        </is>
      </c>
      <c r="AE22" s="5" t="inlineStr">
        <is>
          <t>未反映</t>
        </is>
      </c>
      <c r="AF22" s="5" t="inlineStr">
        <is>
          <t>posted</t>
        </is>
      </c>
      <c r="AG22" s="5" t="inlineStr">
        <is>
          <t>post/create_only</t>
        </is>
      </c>
      <c r="AH22" s="5" t="n">
        <v>21963</v>
      </c>
      <c r="AI22" s="5" t="inlineStr">
        <is>
          <t>https://www.sunadatosou.com/?p=21963</t>
        </is>
      </c>
      <c r="AJ22" s="29" t="inlineStr">
        <is>
          <t>2026-06-27 17:11:25</t>
        </is>
      </c>
      <c r="AK22" s="29" t="n"/>
      <c r="AL22" s="5" t="n">
        <v>3256</v>
      </c>
      <c r="AM22" s="5" t="inlineStr">
        <is>
          <t>不足(目安4,500〜6,000字)</t>
        </is>
      </c>
      <c r="AN22" s="5" t="n"/>
      <c r="AO22" s="5" t="inlineStr">
        <is>
          <t>関連：外壁塗装工期、足場代、防水工事、屋根カバーへリンク。</t>
        </is>
      </c>
      <c r="AP22" s="5" t="inlineStr">
        <is>
          <t>H1なし／この記事でわかること／地域事情／事例／原因・費用／CTA／FAQ</t>
        </is>
      </c>
      <c r="AQ22" s="5" t="n"/>
    </row>
    <row r="23" ht="42.75" customHeight="1" s="24">
      <c r="A23" s="5" t="n">
        <v>22</v>
      </c>
      <c r="B23" s="5" t="inlineStr">
        <is>
          <t>アットハウジング 外壁塗装 松山市</t>
        </is>
      </c>
      <c r="C23" s="5" t="inlineStr">
        <is>
          <t>アットハウジング 外壁塗装 松山市</t>
        </is>
      </c>
      <c r="D23" s="5" t="inlineStr">
        <is>
          <t>アットハウジングの外壁塗装を松山市で行う際の注意点を解説</t>
        </is>
      </c>
      <c r="E23" s="5" t="inlineStr">
        <is>
          <t>ハウスメーカー外壁塗装</t>
        </is>
      </c>
      <c r="F23" s="5" t="inlineStr">
        <is>
          <t>ハウスメーカー型</t>
        </is>
      </c>
      <c r="G23" s="5" t="inlineStr">
        <is>
          <t>ハウスメーカー住宅型</t>
        </is>
      </c>
      <c r="H23" s="5" t="inlineStr">
        <is>
          <t>4,500〜6,000字</t>
        </is>
      </c>
      <c r="I23" s="5" t="n">
        <v>4500</v>
      </c>
      <c r="J23" s="5" t="n">
        <v>6000</v>
      </c>
      <c r="K23" s="5" t="inlineStr">
        <is>
          <t>中</t>
        </is>
      </c>
      <c r="L23" s="5" t="inlineStr">
        <is>
          <t>第3ロット：外壁塗装・防水系</t>
        </is>
      </c>
      <c r="M23" s="5" t="inlineStr">
        <is>
          <t>022.md</t>
        </is>
      </c>
      <c r="N23" s="5" t="inlineStr">
        <is>
          <t>022.webp</t>
        </is>
      </c>
      <c r="O23" s="5" t="inlineStr">
        <is>
          <t>at-housing-exterior-paint-matsuyama</t>
        </is>
      </c>
      <c r="P23" s="5" t="inlineStr">
        <is>
          <t>アットハウジング 外壁塗装 松山市について、特徴、注意点、費用目安、業者選びのポイントを初心者にもわかりやすく解説します。</t>
        </is>
      </c>
      <c r="Q23" s="5" t="inlineStr">
        <is>
          <t>外壁塗装</t>
        </is>
      </c>
      <c r="R23" s="5" t="inlineStr">
        <is>
          <t>松山市、外壁塗装</t>
        </is>
      </c>
      <c r="S23" s="5" t="inlineStr">
        <is>
          <t>外装劣化診断・外壁塗装無料見積り</t>
        </is>
      </c>
      <c r="T23" s="5" t="inlineStr">
        <is>
          <t>無料見積りCTA</t>
        </is>
      </c>
      <c r="U23" s="5" t="inlineStr">
        <is>
          <t>費用は原因箇所や補修範囲で変わります。現地調査で状態を確認し、見積もりの根拠を写真付きでご説明します。</t>
        </is>
      </c>
      <c r="V23" s="5" t="inlineStr">
        <is>
          <t>アットハウジング 外壁塗装 松山市</t>
        </is>
      </c>
      <c r="W23" s="5" t="inlineStr">
        <is>
          <t>放置リスクと判断基準を解説</t>
        </is>
      </c>
      <c r="X23" s="5" t="inlineStr">
        <is>
          <t>無料診断で状態確認</t>
        </is>
      </c>
      <c r="Y23" s="5" t="inlineStr">
        <is>
          <t>外壁ひび割れ・チョーキング・住宅外観</t>
        </is>
      </c>
      <c r="Z23" s="5" t="inlineStr">
        <is>
          <t>職人＋困った住人</t>
        </is>
      </c>
      <c r="AA23" s="5" t="inlineStr">
        <is>
          <t>松山市版</t>
        </is>
      </c>
      <c r="AB23" s="5" t="inlineStr">
        <is>
          <t>外壁塗装訴求</t>
        </is>
      </c>
      <c r="AC23" s="5" t="inlineStr">
        <is>
          <t>未着手</t>
        </is>
      </c>
      <c r="AD23" s="5" t="inlineStr">
        <is>
          <t>画像確認済み</t>
        </is>
      </c>
      <c r="AE23" s="5" t="inlineStr">
        <is>
          <t>未反映</t>
        </is>
      </c>
      <c r="AF23" s="5" t="inlineStr">
        <is>
          <t>posted</t>
        </is>
      </c>
      <c r="AG23" s="5" t="inlineStr">
        <is>
          <t>post/create_only</t>
        </is>
      </c>
      <c r="AH23" s="5" t="n">
        <v>21965</v>
      </c>
      <c r="AI23" s="5" t="inlineStr">
        <is>
          <t>https://www.sunadatosou.com/?p=21965</t>
        </is>
      </c>
      <c r="AJ23" s="29" t="inlineStr">
        <is>
          <t>2026-06-27 17:11:33</t>
        </is>
      </c>
      <c r="AK23" s="29" t="n"/>
      <c r="AL23" s="5" t="n">
        <v>3284</v>
      </c>
      <c r="AM23" s="5" t="inlineStr">
        <is>
          <t>不足(目安4,500〜6,000字)</t>
        </is>
      </c>
      <c r="AN23" s="5" t="n"/>
      <c r="AO23" s="5" t="inlineStr">
        <is>
          <t>関連：外壁塗装工期、足場代、防水工事、屋根カバーへリンク。</t>
        </is>
      </c>
      <c r="AP23" s="5" t="inlineStr">
        <is>
          <t>H1なし／この記事でわかること／地域事情／事例／原因・費用／CTA／FAQ</t>
        </is>
      </c>
      <c r="AQ23" s="5" t="n"/>
    </row>
    <row r="24" ht="42.75" customHeight="1" s="24">
      <c r="A24" s="5" t="n">
        <v>23</v>
      </c>
      <c r="B24" s="5" t="inlineStr">
        <is>
          <t>日本ハウスHD 外壁塗装 松山市</t>
        </is>
      </c>
      <c r="C24" s="5" t="inlineStr">
        <is>
          <t>日本ハウスHD 外壁塗装 松山市</t>
        </is>
      </c>
      <c r="D24" s="5" t="inlineStr">
        <is>
          <t>日本ハウスHDの外壁塗装を松山市で行う際の注意点を解説</t>
        </is>
      </c>
      <c r="E24" s="5" t="inlineStr">
        <is>
          <t>ハウスメーカー外壁塗装</t>
        </is>
      </c>
      <c r="F24" s="5" t="inlineStr">
        <is>
          <t>ハウスメーカー型</t>
        </is>
      </c>
      <c r="G24" s="5" t="inlineStr">
        <is>
          <t>ハウスメーカー住宅型</t>
        </is>
      </c>
      <c r="H24" s="5" t="inlineStr">
        <is>
          <t>4,500〜6,000字</t>
        </is>
      </c>
      <c r="I24" s="5" t="n">
        <v>4500</v>
      </c>
      <c r="J24" s="5" t="n">
        <v>6000</v>
      </c>
      <c r="K24" s="5" t="inlineStr">
        <is>
          <t>中</t>
        </is>
      </c>
      <c r="L24" s="5" t="inlineStr">
        <is>
          <t>第3ロット：外壁塗装・防水系</t>
        </is>
      </c>
      <c r="M24" s="5" t="inlineStr">
        <is>
          <t>023.md</t>
        </is>
      </c>
      <c r="N24" s="5" t="inlineStr">
        <is>
          <t>023.webp</t>
        </is>
      </c>
      <c r="O24" s="5" t="inlineStr">
        <is>
          <t>nihon-house-hd-exterior-paint-matsuyama</t>
        </is>
      </c>
      <c r="P24" s="5" t="inlineStr">
        <is>
          <t>日本ハウスHD 外壁塗装 松山市について、特徴、注意点、費用目安、業者選びのポイントを初心者にもわかりやすく解説します。</t>
        </is>
      </c>
      <c r="Q24" s="5" t="inlineStr">
        <is>
          <t>外壁塗装</t>
        </is>
      </c>
      <c r="R24" s="5" t="inlineStr">
        <is>
          <t>松山市、外壁塗装</t>
        </is>
      </c>
      <c r="S24" s="5" t="inlineStr">
        <is>
          <t>外装劣化診断・外壁塗装無料見積り</t>
        </is>
      </c>
      <c r="T24" s="5" t="inlineStr">
        <is>
          <t>無料見積りCTA</t>
        </is>
      </c>
      <c r="U24" s="5" t="inlineStr">
        <is>
          <t>費用は原因箇所や補修範囲で変わります。現地調査で状態を確認し、見積もりの根拠を写真付きでご説明します。</t>
        </is>
      </c>
      <c r="V24" s="5" t="inlineStr">
        <is>
          <t>日本ハウスHD 外壁塗装 松山市</t>
        </is>
      </c>
      <c r="W24" s="5" t="inlineStr">
        <is>
          <t>放置リスクと判断基準を解説</t>
        </is>
      </c>
      <c r="X24" s="5" t="inlineStr">
        <is>
          <t>無料診断で状態確認</t>
        </is>
      </c>
      <c r="Y24" s="5" t="inlineStr">
        <is>
          <t>外壁ひび割れ・チョーキング・住宅外観</t>
        </is>
      </c>
      <c r="Z24" s="5" t="inlineStr">
        <is>
          <t>職人＋困った住人</t>
        </is>
      </c>
      <c r="AA24" s="5" t="inlineStr">
        <is>
          <t>松山市版</t>
        </is>
      </c>
      <c r="AB24" s="5" t="inlineStr">
        <is>
          <t>外壁塗装訴求</t>
        </is>
      </c>
      <c r="AC24" s="5" t="inlineStr">
        <is>
          <t>未着手</t>
        </is>
      </c>
      <c r="AD24" s="5" t="inlineStr">
        <is>
          <t>画像確認済み</t>
        </is>
      </c>
      <c r="AE24" s="5" t="inlineStr">
        <is>
          <t>未反映</t>
        </is>
      </c>
      <c r="AF24" s="5" t="inlineStr">
        <is>
          <t>posted</t>
        </is>
      </c>
      <c r="AG24" s="5" t="inlineStr">
        <is>
          <t>post/create_only</t>
        </is>
      </c>
      <c r="AH24" s="5" t="n">
        <v>21967</v>
      </c>
      <c r="AI24" s="5" t="inlineStr">
        <is>
          <t>https://www.sunadatosou.com/?p=21967</t>
        </is>
      </c>
      <c r="AJ24" s="29" t="inlineStr">
        <is>
          <t>2026-06-27 17:11:41</t>
        </is>
      </c>
      <c r="AK24" s="29" t="n"/>
      <c r="AL24" s="5" t="n">
        <v>3276</v>
      </c>
      <c r="AM24" s="5" t="inlineStr">
        <is>
          <t>不足(目安4,500〜6,000字)</t>
        </is>
      </c>
      <c r="AN24" s="5" t="n"/>
      <c r="AO24" s="5" t="inlineStr">
        <is>
          <t>関連：外壁塗装工期、足場代、防水工事、屋根カバーへリンク。</t>
        </is>
      </c>
      <c r="AP24" s="5" t="inlineStr">
        <is>
          <t>H1なし／この記事でわかること／地域事情／事例／原因・費用／CTA／FAQ</t>
        </is>
      </c>
      <c r="AQ24" s="5" t="n"/>
    </row>
    <row r="25" ht="42.75" customHeight="1" s="24">
      <c r="A25" s="5" t="n">
        <v>24</v>
      </c>
      <c r="B25" s="5" t="inlineStr">
        <is>
          <t>アイフルホーム 外壁塗装 松山市</t>
        </is>
      </c>
      <c r="C25" s="5" t="inlineStr">
        <is>
          <t>アイフルホーム 外壁塗装 松山市</t>
        </is>
      </c>
      <c r="D25" s="5" t="inlineStr">
        <is>
          <t>アイフルホームの外壁塗装を松山市で行う際の注意点を解説</t>
        </is>
      </c>
      <c r="E25" s="5" t="inlineStr">
        <is>
          <t>ハウスメーカー外壁塗装</t>
        </is>
      </c>
      <c r="F25" s="5" t="inlineStr">
        <is>
          <t>ハウスメーカー型</t>
        </is>
      </c>
      <c r="G25" s="5" t="inlineStr">
        <is>
          <t>ハウスメーカー住宅型</t>
        </is>
      </c>
      <c r="H25" s="5" t="inlineStr">
        <is>
          <t>4,500〜6,000字</t>
        </is>
      </c>
      <c r="I25" s="5" t="n">
        <v>4500</v>
      </c>
      <c r="J25" s="5" t="n">
        <v>6000</v>
      </c>
      <c r="K25" s="5" t="inlineStr">
        <is>
          <t>中</t>
        </is>
      </c>
      <c r="L25" s="5" t="inlineStr">
        <is>
          <t>第3ロット：外壁塗装・防水系</t>
        </is>
      </c>
      <c r="M25" s="5" t="inlineStr">
        <is>
          <t>024.md</t>
        </is>
      </c>
      <c r="N25" s="5" t="inlineStr">
        <is>
          <t>024.webp</t>
        </is>
      </c>
      <c r="O25" s="5" t="inlineStr">
        <is>
          <t>eyeful-home-exterior-paint-matsuyama</t>
        </is>
      </c>
      <c r="P25" s="5" t="inlineStr">
        <is>
          <t>アイフルホーム 外壁塗装 松山市について、特徴、注意点、費用目安、業者選びのポイントを初心者にもわかりやすく解説します。</t>
        </is>
      </c>
      <c r="Q25" s="5" t="inlineStr">
        <is>
          <t>外壁塗装</t>
        </is>
      </c>
      <c r="R25" s="5" t="inlineStr">
        <is>
          <t>松山市、外壁塗装</t>
        </is>
      </c>
      <c r="S25" s="5" t="inlineStr">
        <is>
          <t>外装劣化診断・外壁塗装無料見積り</t>
        </is>
      </c>
      <c r="T25" s="5" t="inlineStr">
        <is>
          <t>無料見積りCTA</t>
        </is>
      </c>
      <c r="U25" s="5" t="inlineStr">
        <is>
          <t>費用は原因箇所や補修範囲で変わります。現地調査で状態を確認し、見積もりの根拠を写真付きでご説明します。</t>
        </is>
      </c>
      <c r="V25" s="5" t="inlineStr">
        <is>
          <t>アイフルホーム 外壁塗装 松山市</t>
        </is>
      </c>
      <c r="W25" s="5" t="inlineStr">
        <is>
          <t>放置リスクと判断基準を解説</t>
        </is>
      </c>
      <c r="X25" s="5" t="inlineStr">
        <is>
          <t>無料診断で状態確認</t>
        </is>
      </c>
      <c r="Y25" s="5" t="inlineStr">
        <is>
          <t>外壁ひび割れ・チョーキング・住宅外観</t>
        </is>
      </c>
      <c r="Z25" s="5" t="inlineStr">
        <is>
          <t>職人＋困った住人</t>
        </is>
      </c>
      <c r="AA25" s="5" t="inlineStr">
        <is>
          <t>松山市版</t>
        </is>
      </c>
      <c r="AB25" s="5" t="inlineStr">
        <is>
          <t>外壁塗装訴求</t>
        </is>
      </c>
      <c r="AC25" s="5" t="inlineStr">
        <is>
          <t>未着手</t>
        </is>
      </c>
      <c r="AD25" s="5" t="inlineStr">
        <is>
          <t>画像確認済み</t>
        </is>
      </c>
      <c r="AE25" s="5" t="inlineStr">
        <is>
          <t>未反映</t>
        </is>
      </c>
      <c r="AF25" s="5" t="inlineStr">
        <is>
          <t>posted</t>
        </is>
      </c>
      <c r="AG25" s="5" t="inlineStr">
        <is>
          <t>post/create_only</t>
        </is>
      </c>
      <c r="AH25" s="5" t="n">
        <v>21969</v>
      </c>
      <c r="AI25" s="5" t="inlineStr">
        <is>
          <t>https://www.sunadatosou.com/?p=21969</t>
        </is>
      </c>
      <c r="AJ25" s="29" t="inlineStr">
        <is>
          <t>2026-06-27 17:11:49</t>
        </is>
      </c>
      <c r="AK25" s="29" t="n"/>
      <c r="AL25" s="5" t="n">
        <v>3267</v>
      </c>
      <c r="AM25" s="5" t="inlineStr">
        <is>
          <t>不足(目安4,500〜6,000字)</t>
        </is>
      </c>
      <c r="AN25" s="5" t="n"/>
      <c r="AO25" s="5" t="inlineStr">
        <is>
          <t>関連：外壁塗装工期、足場代、防水工事、屋根カバーへリンク。</t>
        </is>
      </c>
      <c r="AP25" s="5" t="inlineStr">
        <is>
          <t>H1なし／この記事でわかること／地域事情／事例／原因・費用／CTA／FAQ</t>
        </is>
      </c>
      <c r="AQ25" s="5" t="n"/>
    </row>
    <row r="26" ht="57" customHeight="1" s="24">
      <c r="A26" s="5" t="n">
        <v>25</v>
      </c>
      <c r="B26" s="5" t="inlineStr">
        <is>
          <t>外壁から雨漏りする原因</t>
        </is>
      </c>
      <c r="C26" s="5" t="inlineStr">
        <is>
          <t>外壁から雨漏りする原因</t>
        </is>
      </c>
      <c r="D26" s="5" t="inlineStr">
        <is>
          <t>外壁から雨漏りする原因とは？ひび割れ・コーキング劣化の対策</t>
        </is>
      </c>
      <c r="E26" s="5" t="inlineStr">
        <is>
          <t>雨漏り</t>
        </is>
      </c>
      <c r="F26" s="5" t="inlineStr">
        <is>
          <t>原因・症状型</t>
        </is>
      </c>
      <c r="G26" s="5" t="inlineStr">
        <is>
          <t>原因・症状解説型</t>
        </is>
      </c>
      <c r="H26" s="5" t="inlineStr">
        <is>
          <t>4,500〜6,500字</t>
        </is>
      </c>
      <c r="I26" s="5" t="n">
        <v>4500</v>
      </c>
      <c r="J26" s="5" t="n">
        <v>6500</v>
      </c>
      <c r="K26" s="5" t="inlineStr">
        <is>
          <t>高</t>
        </is>
      </c>
      <c r="L26" s="5" t="inlineStr">
        <is>
          <t>第1ロット：雨漏り系</t>
        </is>
      </c>
      <c r="M26" s="5" t="inlineStr">
        <is>
          <t>025.md</t>
        </is>
      </c>
      <c r="N26" s="5" t="inlineStr">
        <is>
          <t>025.webp</t>
        </is>
      </c>
      <c r="O26" s="5" t="inlineStr">
        <is>
          <t>exterior-wall-leak-cause</t>
        </is>
      </c>
      <c r="P26" s="5" t="inlineStr">
        <is>
          <t>外壁から雨漏りする原因について、主な原因、放置リスク、修理方法、業者選びのポイントを松山市で検討中の方向けに解説します。</t>
        </is>
      </c>
      <c r="Q26" s="5" t="inlineStr">
        <is>
          <t>雨漏り修理</t>
        </is>
      </c>
      <c r="R26" s="5" t="inlineStr">
        <is>
          <t>雨漏り、雨漏り修理</t>
        </is>
      </c>
      <c r="S26" s="5" t="inlineStr">
        <is>
          <t>雨漏り無料点検・無料見積り</t>
        </is>
      </c>
      <c r="T26" s="5" t="inlineStr">
        <is>
          <t>雨漏り無料点検CTA</t>
        </is>
      </c>
      <c r="U26" s="5" t="inlineStr">
        <is>
          <t>松山市で雨漏りが気になる方は、まずは無料点検・無料見積りをご利用ください。原因を確認し、必要な工事だけをご提案します。</t>
        </is>
      </c>
      <c r="V26" s="5" t="inlineStr">
        <is>
          <t>外壁から雨漏りする原因の原因は？</t>
        </is>
      </c>
      <c r="W26" s="5" t="inlineStr">
        <is>
          <t>放置リスクと対処法を解説</t>
        </is>
      </c>
      <c r="X26" s="5" t="inlineStr">
        <is>
          <t>早めの確認が大切</t>
        </is>
      </c>
      <c r="Y26" s="5" t="inlineStr">
        <is>
          <t>劣化箇所の拡大・雨染み・ひび割れ</t>
        </is>
      </c>
      <c r="Z26" s="5" t="inlineStr">
        <is>
          <t>職人</t>
        </is>
      </c>
      <c r="AA26" s="5" t="inlineStr">
        <is>
          <t>松山市版</t>
        </is>
      </c>
      <c r="AB26" s="5" t="inlineStr">
        <is>
          <t>原因解説訴求</t>
        </is>
      </c>
      <c r="AC26" s="5" t="inlineStr">
        <is>
          <t>未着手</t>
        </is>
      </c>
      <c r="AD26" s="5" t="inlineStr">
        <is>
          <t>画像確認済み</t>
        </is>
      </c>
      <c r="AE26" s="5" t="inlineStr">
        <is>
          <t>未反映</t>
        </is>
      </c>
      <c r="AF26" s="5" t="inlineStr">
        <is>
          <t>posted</t>
        </is>
      </c>
      <c r="AG26" s="5" t="inlineStr">
        <is>
          <t>post/create_only</t>
        </is>
      </c>
      <c r="AH26" s="5" t="n">
        <v>21971</v>
      </c>
      <c r="AI26" s="5" t="inlineStr">
        <is>
          <t>https://www.sunadatosou.com/?p=21971</t>
        </is>
      </c>
      <c r="AJ26" s="29" t="inlineStr">
        <is>
          <t>2026-06-27 17:11:58</t>
        </is>
      </c>
      <c r="AK26" s="29" t="n"/>
      <c r="AL26" s="5" t="n">
        <v>3186</v>
      </c>
      <c r="AM26" s="5" t="inlineStr">
        <is>
          <t>不足(目安4,500〜6,500字)</t>
        </is>
      </c>
      <c r="AN26" s="5" t="n"/>
      <c r="AO26" s="5" t="inlineStr">
        <is>
          <t>中心記事「松山市の雨漏り修理」へリンク。関連：雨漏り費用・調査・屋根雨漏り。</t>
        </is>
      </c>
      <c r="AP26" s="5" t="inlineStr">
        <is>
          <t>H1なし／この記事でわかること／地域事情／事例／原因・費用／CTA／FAQ</t>
        </is>
      </c>
      <c r="AQ26" s="5" t="n"/>
    </row>
    <row r="27" ht="57" customHeight="1" s="24">
      <c r="A27" s="5" t="n">
        <v>26</v>
      </c>
      <c r="B27" s="5" t="inlineStr">
        <is>
          <t>窓枠から雨漏りする原因</t>
        </is>
      </c>
      <c r="C27" s="5" t="inlineStr">
        <is>
          <t>窓枠から雨漏りする原因</t>
        </is>
      </c>
      <c r="D27" s="5" t="inlineStr">
        <is>
          <t>窓枠から雨漏りする原因とは？サッシまわりの劣化と修理方法</t>
        </is>
      </c>
      <c r="E27" s="5" t="inlineStr">
        <is>
          <t>雨漏り</t>
        </is>
      </c>
      <c r="F27" s="5" t="inlineStr">
        <is>
          <t>原因・症状型</t>
        </is>
      </c>
      <c r="G27" s="5" t="inlineStr">
        <is>
          <t>原因・症状解説型</t>
        </is>
      </c>
      <c r="H27" s="5" t="inlineStr">
        <is>
          <t>4,500〜6,500字</t>
        </is>
      </c>
      <c r="I27" s="5" t="n">
        <v>4500</v>
      </c>
      <c r="J27" s="5" t="n">
        <v>6500</v>
      </c>
      <c r="K27" s="5" t="inlineStr">
        <is>
          <t>高</t>
        </is>
      </c>
      <c r="L27" s="5" t="inlineStr">
        <is>
          <t>第1ロット：雨漏り系</t>
        </is>
      </c>
      <c r="M27" s="5" t="inlineStr">
        <is>
          <t>026.md</t>
        </is>
      </c>
      <c r="N27" s="5" t="inlineStr">
        <is>
          <t>026.webp</t>
        </is>
      </c>
      <c r="O27" s="5" t="inlineStr">
        <is>
          <t>window-frame-leak-cause</t>
        </is>
      </c>
      <c r="P27" s="5" t="inlineStr">
        <is>
          <t>窓枠から雨漏りする原因について、主な原因、放置リスク、修理方法、業者選びのポイントを松山市で検討中の方向けに解説します。</t>
        </is>
      </c>
      <c r="Q27" s="5" t="inlineStr">
        <is>
          <t>雨漏り修理</t>
        </is>
      </c>
      <c r="R27" s="5" t="inlineStr">
        <is>
          <t>雨漏り、雨漏り修理</t>
        </is>
      </c>
      <c r="S27" s="5" t="inlineStr">
        <is>
          <t>雨漏り無料点検・無料見積り</t>
        </is>
      </c>
      <c r="T27" s="5" t="inlineStr">
        <is>
          <t>雨漏り無料点検CTA</t>
        </is>
      </c>
      <c r="U27" s="5" t="inlineStr">
        <is>
          <t>松山市で雨漏りが気になる方は、まずは無料点検・無料見積りをご利用ください。原因を確認し、必要な工事だけをご提案します。</t>
        </is>
      </c>
      <c r="V27" s="5" t="inlineStr">
        <is>
          <t>窓枠から雨漏りする原因の原因は？</t>
        </is>
      </c>
      <c r="W27" s="5" t="inlineStr">
        <is>
          <t>放置リスクと対処法を解説</t>
        </is>
      </c>
      <c r="X27" s="5" t="inlineStr">
        <is>
          <t>早めの確認が大切</t>
        </is>
      </c>
      <c r="Y27" s="5" t="inlineStr">
        <is>
          <t>劣化箇所の拡大・雨染み・ひび割れ</t>
        </is>
      </c>
      <c r="Z27" s="5" t="inlineStr">
        <is>
          <t>職人</t>
        </is>
      </c>
      <c r="AA27" s="5" t="inlineStr">
        <is>
          <t>松山市版</t>
        </is>
      </c>
      <c r="AB27" s="5" t="inlineStr">
        <is>
          <t>原因解説訴求</t>
        </is>
      </c>
      <c r="AC27" s="5" t="inlineStr">
        <is>
          <t>未着手</t>
        </is>
      </c>
      <c r="AD27" s="5" t="inlineStr">
        <is>
          <t>画像確認済み</t>
        </is>
      </c>
      <c r="AE27" s="5" t="inlineStr">
        <is>
          <t>未反映</t>
        </is>
      </c>
      <c r="AF27" s="5" t="inlineStr">
        <is>
          <t>posted</t>
        </is>
      </c>
      <c r="AG27" s="5" t="inlineStr">
        <is>
          <t>post/create_only</t>
        </is>
      </c>
      <c r="AH27" s="5" t="n">
        <v>21973</v>
      </c>
      <c r="AI27" s="5" t="inlineStr">
        <is>
          <t>https://www.sunadatosou.com/?p=21973</t>
        </is>
      </c>
      <c r="AJ27" s="29" t="inlineStr">
        <is>
          <t>2026-06-27 17:12:06</t>
        </is>
      </c>
      <c r="AK27" s="29" t="n"/>
      <c r="AL27" s="5" t="n">
        <v>3177</v>
      </c>
      <c r="AM27" s="5" t="inlineStr">
        <is>
          <t>不足(目安4,500〜6,500字)</t>
        </is>
      </c>
      <c r="AN27" s="5" t="n"/>
      <c r="AO27" s="5" t="inlineStr">
        <is>
          <t>中心記事「松山市の雨漏り修理」へリンク。関連：雨漏り費用・調査・屋根雨漏り。</t>
        </is>
      </c>
      <c r="AP27" s="5" t="inlineStr">
        <is>
          <t>H1なし／この記事でわかること／地域事情／事例／原因・費用／CTA／FAQ</t>
        </is>
      </c>
      <c r="AQ27" s="5" t="n"/>
    </row>
    <row r="28" ht="42.75" customHeight="1" s="24">
      <c r="A28" s="5" t="n">
        <v>27</v>
      </c>
      <c r="B28" s="5" t="inlineStr">
        <is>
          <t>天窓雨漏り修理</t>
        </is>
      </c>
      <c r="C28" s="5" t="inlineStr">
        <is>
          <t>天窓雨漏り修理</t>
        </is>
      </c>
      <c r="D28" s="5" t="inlineStr">
        <is>
          <t>天窓の雨漏り修理はどうする？原因・費用・放置リスクを解説</t>
        </is>
      </c>
      <c r="E28" s="5" t="inlineStr">
        <is>
          <t>雨漏り</t>
        </is>
      </c>
      <c r="F28" s="5" t="inlineStr">
        <is>
          <t>原因・症状型</t>
        </is>
      </c>
      <c r="G28" s="5" t="inlineStr">
        <is>
          <t>地域サービス型</t>
        </is>
      </c>
      <c r="H28" s="5" t="inlineStr">
        <is>
          <t>4,500〜6,500字</t>
        </is>
      </c>
      <c r="I28" s="5" t="n">
        <v>4500</v>
      </c>
      <c r="J28" s="5" t="n">
        <v>6500</v>
      </c>
      <c r="K28" s="5" t="inlineStr">
        <is>
          <t>高</t>
        </is>
      </c>
      <c r="L28" s="5" t="inlineStr">
        <is>
          <t>第1ロット：雨漏り系</t>
        </is>
      </c>
      <c r="M28" s="5" t="inlineStr">
        <is>
          <t>027.md</t>
        </is>
      </c>
      <c r="N28" s="5" t="inlineStr">
        <is>
          <t>027.webp</t>
        </is>
      </c>
      <c r="O28" s="5" t="inlineStr">
        <is>
          <t>skylight-leak-repair</t>
        </is>
      </c>
      <c r="P28" s="5" t="inlineStr">
        <is>
          <t>天窓雨漏り修理について、主な原因、放置リスク、修理方法、業者選びのポイントを松山市で検討中の方向けに解説します。</t>
        </is>
      </c>
      <c r="Q28" s="5" t="inlineStr">
        <is>
          <t>雨漏り修理</t>
        </is>
      </c>
      <c r="R28" s="5" t="inlineStr">
        <is>
          <t>雨漏り、雨漏り修理</t>
        </is>
      </c>
      <c r="S28" s="5" t="inlineStr">
        <is>
          <t>雨漏り無料点検・無料見積り</t>
        </is>
      </c>
      <c r="T28" s="5" t="inlineStr">
        <is>
          <t>雨漏り無料点検CTA</t>
        </is>
      </c>
      <c r="U28" s="5" t="inlineStr">
        <is>
          <t>松山市で雨漏りが気になる方は、まずは無料点検・無料見積りをご利用ください。原因を確認し、必要な工事だけをご提案します。</t>
        </is>
      </c>
      <c r="V28" s="5" t="inlineStr">
        <is>
          <t>松山市の雨漏り修理</t>
        </is>
      </c>
      <c r="W28" s="5" t="inlineStr">
        <is>
          <t>原因・費用・業者選びをプロが解説</t>
        </is>
      </c>
      <c r="X28" s="5" t="inlineStr">
        <is>
          <t>無料点検受付中</t>
        </is>
      </c>
      <c r="Y28" s="5" t="inlineStr">
        <is>
          <t>天井シミ・雨だれ・屋根点検</t>
        </is>
      </c>
      <c r="Z28" s="5" t="inlineStr">
        <is>
          <t>ヘルメットの職人</t>
        </is>
      </c>
      <c r="AA28" s="5" t="inlineStr">
        <is>
          <t>松山市版</t>
        </is>
      </c>
      <c r="AB28" s="5" t="inlineStr">
        <is>
          <t>強めサムネ・雨漏り訴求</t>
        </is>
      </c>
      <c r="AC28" s="5" t="inlineStr">
        <is>
          <t>未着手</t>
        </is>
      </c>
      <c r="AD28" s="5" t="inlineStr">
        <is>
          <t>画像確認済み</t>
        </is>
      </c>
      <c r="AE28" s="5" t="inlineStr">
        <is>
          <t>未反映</t>
        </is>
      </c>
      <c r="AF28" s="5" t="inlineStr">
        <is>
          <t>posted</t>
        </is>
      </c>
      <c r="AG28" s="5" t="inlineStr">
        <is>
          <t>post/create_only</t>
        </is>
      </c>
      <c r="AH28" s="5" t="n">
        <v>21975</v>
      </c>
      <c r="AI28" s="5" t="inlineStr">
        <is>
          <t>https://www.sunadatosou.com/?p=21975</t>
        </is>
      </c>
      <c r="AJ28" s="29" t="inlineStr">
        <is>
          <t>2026-06-27 17:12:13</t>
        </is>
      </c>
      <c r="AK28" s="29" t="n"/>
      <c r="AL28" s="5" t="n">
        <v>3121</v>
      </c>
      <c r="AM28" s="5" t="inlineStr">
        <is>
          <t>不足(目安4,500〜6,500字)</t>
        </is>
      </c>
      <c r="AN28" s="5" t="n"/>
      <c r="AO28" s="5" t="inlineStr">
        <is>
          <t>中心記事「松山市の雨漏り修理」へリンク。関連：雨漏り費用・調査・屋根雨漏り。</t>
        </is>
      </c>
      <c r="AP28" s="5" t="inlineStr">
        <is>
          <t>H1なし／この記事でわかること／地域事情／事例／原因・費用／CTA／FAQ</t>
        </is>
      </c>
      <c r="AQ28" s="5" t="n"/>
    </row>
    <row r="29" ht="42.75" customHeight="1" s="24">
      <c r="A29" s="5" t="n">
        <v>28</v>
      </c>
      <c r="B29" s="5" t="inlineStr">
        <is>
          <t>笠木雨漏り</t>
        </is>
      </c>
      <c r="C29" s="5" t="inlineStr">
        <is>
          <t>笠木雨漏り</t>
        </is>
      </c>
      <c r="D29" s="5" t="inlineStr">
        <is>
          <t>笠木雨漏りの原因とは？ベランダ・外壁まわりの防水対策</t>
        </is>
      </c>
      <c r="E29" s="5" t="inlineStr">
        <is>
          <t>雨漏り</t>
        </is>
      </c>
      <c r="F29" s="5" t="inlineStr">
        <is>
          <t>原因・症状型</t>
        </is>
      </c>
      <c r="G29" s="5" t="inlineStr">
        <is>
          <t>地域サービス型</t>
        </is>
      </c>
      <c r="H29" s="5" t="inlineStr">
        <is>
          <t>4,500〜6,500字</t>
        </is>
      </c>
      <c r="I29" s="5" t="n">
        <v>4500</v>
      </c>
      <c r="J29" s="5" t="n">
        <v>6500</v>
      </c>
      <c r="K29" s="5" t="inlineStr">
        <is>
          <t>高</t>
        </is>
      </c>
      <c r="L29" s="5" t="inlineStr">
        <is>
          <t>第1ロット：雨漏り系</t>
        </is>
      </c>
      <c r="M29" s="5" t="inlineStr">
        <is>
          <t>028.md</t>
        </is>
      </c>
      <c r="N29" s="5" t="inlineStr">
        <is>
          <t>028.webp</t>
        </is>
      </c>
      <c r="O29" s="5" t="inlineStr">
        <is>
          <t>coping-leak</t>
        </is>
      </c>
      <c r="P29" s="5" t="inlineStr">
        <is>
          <t>笠木雨漏りについて、主な原因、放置リスク、修理方法、業者選びのポイントを松山市で検討中の方向けに解説します。</t>
        </is>
      </c>
      <c r="Q29" s="5" t="inlineStr">
        <is>
          <t>雨漏り修理</t>
        </is>
      </c>
      <c r="R29" s="5" t="inlineStr">
        <is>
          <t>雨漏り、雨漏り修理</t>
        </is>
      </c>
      <c r="S29" s="5" t="inlineStr">
        <is>
          <t>雨漏り無料点検・無料見積り</t>
        </is>
      </c>
      <c r="T29" s="5" t="inlineStr">
        <is>
          <t>雨漏り無料点検CTA</t>
        </is>
      </c>
      <c r="U29" s="5" t="inlineStr">
        <is>
          <t>松山市で雨漏りが気になる方は、まずは無料点検・無料見積りをご利用ください。原因を確認し、必要な工事だけをご提案します。</t>
        </is>
      </c>
      <c r="V29" s="5" t="inlineStr">
        <is>
          <t>笠木雨漏り</t>
        </is>
      </c>
      <c r="W29" s="5" t="inlineStr">
        <is>
          <t>症状・費用・注意点を解説</t>
        </is>
      </c>
      <c r="X29" s="5" t="inlineStr">
        <is>
          <t>プロが分かりやすく解説</t>
        </is>
      </c>
      <c r="Y29" s="5" t="inlineStr">
        <is>
          <t>住宅外観・劣化箇所</t>
        </is>
      </c>
      <c r="Z29" s="5" t="inlineStr">
        <is>
          <t>職人</t>
        </is>
      </c>
      <c r="AA29" s="5" t="inlineStr">
        <is>
          <t>松山市版</t>
        </is>
      </c>
      <c r="AB29" s="5" t="inlineStr">
        <is>
          <t>汎用外装訴求</t>
        </is>
      </c>
      <c r="AC29" s="5" t="inlineStr">
        <is>
          <t>未着手</t>
        </is>
      </c>
      <c r="AD29" s="5" t="inlineStr">
        <is>
          <t>画像確認済み</t>
        </is>
      </c>
      <c r="AE29" s="5" t="inlineStr">
        <is>
          <t>未反映</t>
        </is>
      </c>
      <c r="AF29" s="5" t="inlineStr">
        <is>
          <t>posted</t>
        </is>
      </c>
      <c r="AG29" s="5" t="inlineStr">
        <is>
          <t>post/create_only</t>
        </is>
      </c>
      <c r="AH29" s="5" t="n">
        <v>21977</v>
      </c>
      <c r="AI29" s="5" t="inlineStr">
        <is>
          <t>https://www.sunadatosou.com/?p=21977</t>
        </is>
      </c>
      <c r="AJ29" s="29" t="inlineStr">
        <is>
          <t>2026-06-27 17:12:21</t>
        </is>
      </c>
      <c r="AK29" s="29" t="n"/>
      <c r="AL29" s="5" t="n">
        <v>3125</v>
      </c>
      <c r="AM29" s="5" t="inlineStr">
        <is>
          <t>不足(目安4,500〜6,500字)</t>
        </is>
      </c>
      <c r="AN29" s="5" t="n"/>
      <c r="AO29" s="5" t="inlineStr">
        <is>
          <t>中心記事「松山市の雨漏り修理」へリンク。関連：雨漏り費用・調査・屋根雨漏り。</t>
        </is>
      </c>
      <c r="AP29" s="5" t="inlineStr">
        <is>
          <t>H1なし／この記事でわかること／地域事情／事例／原因・費用／CTA／FAQ</t>
        </is>
      </c>
      <c r="AQ29" s="5" t="n"/>
    </row>
    <row r="30" ht="42.75" customHeight="1" s="24">
      <c r="A30" s="5" t="n">
        <v>29</v>
      </c>
      <c r="B30" s="5" t="inlineStr">
        <is>
          <t>幕板雨漏り</t>
        </is>
      </c>
      <c r="C30" s="5" t="inlineStr">
        <is>
          <t>幕板雨漏り</t>
        </is>
      </c>
      <c r="D30" s="5" t="inlineStr">
        <is>
          <t>幕板から雨漏りする原因とは？劣化症状と補修方法を解説</t>
        </is>
      </c>
      <c r="E30" s="5" t="inlineStr">
        <is>
          <t>雨漏り</t>
        </is>
      </c>
      <c r="F30" s="5" t="inlineStr">
        <is>
          <t>原因・症状型</t>
        </is>
      </c>
      <c r="G30" s="5" t="inlineStr">
        <is>
          <t>地域サービス型</t>
        </is>
      </c>
      <c r="H30" s="5" t="inlineStr">
        <is>
          <t>4,500〜6,500字</t>
        </is>
      </c>
      <c r="I30" s="5" t="n">
        <v>4500</v>
      </c>
      <c r="J30" s="5" t="n">
        <v>6500</v>
      </c>
      <c r="K30" s="5" t="inlineStr">
        <is>
          <t>高</t>
        </is>
      </c>
      <c r="L30" s="5" t="inlineStr">
        <is>
          <t>第1ロット：雨漏り系</t>
        </is>
      </c>
      <c r="M30" s="5" t="inlineStr">
        <is>
          <t>029.md</t>
        </is>
      </c>
      <c r="N30" s="5" t="inlineStr">
        <is>
          <t>029.webp</t>
        </is>
      </c>
      <c r="O30" s="5" t="inlineStr">
        <is>
          <t>decorative-trim-leak</t>
        </is>
      </c>
      <c r="P30" s="5" t="inlineStr">
        <is>
          <t>幕板雨漏りについて、主な原因、放置リスク、修理方法、業者選びのポイントを松山市で検討中の方向けに解説します。</t>
        </is>
      </c>
      <c r="Q30" s="5" t="inlineStr">
        <is>
          <t>雨漏り修理</t>
        </is>
      </c>
      <c r="R30" s="5" t="inlineStr">
        <is>
          <t>雨漏り、雨漏り修理</t>
        </is>
      </c>
      <c r="S30" s="5" t="inlineStr">
        <is>
          <t>雨漏り無料点検・無料見積り</t>
        </is>
      </c>
      <c r="T30" s="5" t="inlineStr">
        <is>
          <t>雨漏り無料点検CTA</t>
        </is>
      </c>
      <c r="U30" s="5" t="inlineStr">
        <is>
          <t>松山市で雨漏りが気になる方は、まずは無料点検・無料見積りをご利用ください。原因を確認し、必要な工事だけをご提案します。</t>
        </is>
      </c>
      <c r="V30" s="5" t="inlineStr">
        <is>
          <t>幕板雨漏り</t>
        </is>
      </c>
      <c r="W30" s="5" t="inlineStr">
        <is>
          <t>症状・費用・注意点を解説</t>
        </is>
      </c>
      <c r="X30" s="5" t="inlineStr">
        <is>
          <t>プロが分かりやすく解説</t>
        </is>
      </c>
      <c r="Y30" s="5" t="inlineStr">
        <is>
          <t>住宅外観・劣化箇所</t>
        </is>
      </c>
      <c r="Z30" s="5" t="inlineStr">
        <is>
          <t>職人</t>
        </is>
      </c>
      <c r="AA30" s="5" t="inlineStr">
        <is>
          <t>松山市版</t>
        </is>
      </c>
      <c r="AB30" s="5" t="inlineStr">
        <is>
          <t>汎用外装訴求</t>
        </is>
      </c>
      <c r="AC30" s="5" t="inlineStr">
        <is>
          <t>未着手</t>
        </is>
      </c>
      <c r="AD30" s="5" t="inlineStr">
        <is>
          <t>画像確認済み</t>
        </is>
      </c>
      <c r="AE30" s="5" t="inlineStr">
        <is>
          <t>未反映</t>
        </is>
      </c>
      <c r="AF30" s="5" t="inlineStr">
        <is>
          <t>posted</t>
        </is>
      </c>
      <c r="AG30" s="5" t="inlineStr">
        <is>
          <t>post/create_only</t>
        </is>
      </c>
      <c r="AH30" s="5" t="n">
        <v>21979</v>
      </c>
      <c r="AI30" s="5" t="inlineStr">
        <is>
          <t>https://www.sunadatosou.com/?p=21979</t>
        </is>
      </c>
      <c r="AJ30" s="29" t="inlineStr">
        <is>
          <t>2026-06-27 17:12:29</t>
        </is>
      </c>
      <c r="AK30" s="29" t="n"/>
      <c r="AL30" s="5" t="n">
        <v>3135</v>
      </c>
      <c r="AM30" s="5" t="inlineStr">
        <is>
          <t>不足(目安4,500〜6,500字)</t>
        </is>
      </c>
      <c r="AN30" s="5" t="n"/>
      <c r="AO30" s="5" t="inlineStr">
        <is>
          <t>中心記事「松山市の雨漏り修理」へリンク。関連：雨漏り費用・調査・屋根雨漏り。</t>
        </is>
      </c>
      <c r="AP30" s="5" t="inlineStr">
        <is>
          <t>H1なし／この記事でわかること／地域事情／事例／原因・費用／CTA／FAQ</t>
        </is>
      </c>
      <c r="AQ30" s="5" t="n"/>
    </row>
    <row r="31" ht="42.75" customHeight="1" s="24">
      <c r="A31" s="5" t="n">
        <v>30</v>
      </c>
      <c r="B31" s="5" t="inlineStr">
        <is>
          <t>バルコニー雨漏り</t>
        </is>
      </c>
      <c r="C31" s="5" t="inlineStr">
        <is>
          <t>バルコニー雨漏り</t>
        </is>
      </c>
      <c r="D31" s="5" t="inlineStr">
        <is>
          <t>バルコニー雨漏りの原因と修理方法｜防水工事の費用目安も解説</t>
        </is>
      </c>
      <c r="E31" s="5" t="inlineStr">
        <is>
          <t>雨漏り</t>
        </is>
      </c>
      <c r="F31" s="5" t="inlineStr">
        <is>
          <t>原因・症状型</t>
        </is>
      </c>
      <c r="G31" s="5" t="inlineStr">
        <is>
          <t>地域サービス型</t>
        </is>
      </c>
      <c r="H31" s="5" t="inlineStr">
        <is>
          <t>4,500〜6,500字</t>
        </is>
      </c>
      <c r="I31" s="5" t="n">
        <v>4500</v>
      </c>
      <c r="J31" s="5" t="n">
        <v>6500</v>
      </c>
      <c r="K31" s="5" t="inlineStr">
        <is>
          <t>高</t>
        </is>
      </c>
      <c r="L31" s="5" t="inlineStr">
        <is>
          <t>第1ロット：雨漏り系</t>
        </is>
      </c>
      <c r="M31" s="5" t="inlineStr">
        <is>
          <t>030.md</t>
        </is>
      </c>
      <c r="N31" s="5" t="inlineStr">
        <is>
          <t>030.webp</t>
        </is>
      </c>
      <c r="O31" s="5" t="inlineStr">
        <is>
          <t>balcony-leak</t>
        </is>
      </c>
      <c r="P31" s="5" t="inlineStr">
        <is>
          <t>バルコニー雨漏りについて、主な原因、放置リスク、修理方法、業者選びのポイントを松山市で検討中の方向けに解説します。</t>
        </is>
      </c>
      <c r="Q31" s="5" t="inlineStr">
        <is>
          <t>雨漏り修理</t>
        </is>
      </c>
      <c r="R31" s="5" t="inlineStr">
        <is>
          <t>雨漏り、雨漏り修理</t>
        </is>
      </c>
      <c r="S31" s="5" t="inlineStr">
        <is>
          <t>雨漏り無料点検・無料見積り</t>
        </is>
      </c>
      <c r="T31" s="5" t="inlineStr">
        <is>
          <t>雨漏り無料点検CTA</t>
        </is>
      </c>
      <c r="U31" s="5" t="inlineStr">
        <is>
          <t>松山市で雨漏りが気になる方は、まずは無料点検・無料見積りをご利用ください。原因を確認し、必要な工事だけをご提案します。</t>
        </is>
      </c>
      <c r="V31" s="5" t="inlineStr">
        <is>
          <t>バルコニー雨漏り</t>
        </is>
      </c>
      <c r="W31" s="5" t="inlineStr">
        <is>
          <t>症状・費用・注意点を解説</t>
        </is>
      </c>
      <c r="X31" s="5" t="inlineStr">
        <is>
          <t>プロが分かりやすく解説</t>
        </is>
      </c>
      <c r="Y31" s="5" t="inlineStr">
        <is>
          <t>住宅外観・劣化箇所</t>
        </is>
      </c>
      <c r="Z31" s="5" t="inlineStr">
        <is>
          <t>職人</t>
        </is>
      </c>
      <c r="AA31" s="5" t="inlineStr">
        <is>
          <t>松山市版</t>
        </is>
      </c>
      <c r="AB31" s="5" t="inlineStr">
        <is>
          <t>汎用外装訴求</t>
        </is>
      </c>
      <c r="AC31" s="5" t="inlineStr">
        <is>
          <t>未着手</t>
        </is>
      </c>
      <c r="AD31" s="5" t="inlineStr">
        <is>
          <t>画像確認済み</t>
        </is>
      </c>
      <c r="AE31" s="5" t="inlineStr">
        <is>
          <t>未反映</t>
        </is>
      </c>
      <c r="AF31" s="5" t="inlineStr">
        <is>
          <t>posted</t>
        </is>
      </c>
      <c r="AG31" s="5" t="inlineStr">
        <is>
          <t>post/create_only</t>
        </is>
      </c>
      <c r="AH31" s="5" t="n">
        <v>21981</v>
      </c>
      <c r="AI31" s="5" t="inlineStr">
        <is>
          <t>https://www.sunadatosou.com/?p=21981</t>
        </is>
      </c>
      <c r="AJ31" s="29" t="inlineStr">
        <is>
          <t>2026-06-27 17:12:37</t>
        </is>
      </c>
      <c r="AK31" s="29" t="n"/>
      <c r="AL31" s="5" t="n">
        <v>3161</v>
      </c>
      <c r="AM31" s="5" t="inlineStr">
        <is>
          <t>不足(目安4,500〜6,500字)</t>
        </is>
      </c>
      <c r="AN31" s="5" t="n"/>
      <c r="AO31" s="5" t="inlineStr">
        <is>
          <t>中心記事「松山市の雨漏り修理」へリンク。関連：雨漏り費用・調査・屋根雨漏り。</t>
        </is>
      </c>
      <c r="AP31" s="5" t="inlineStr">
        <is>
          <t>H1なし／この記事でわかること／地域事情／事例／原因・費用／CTA／FAQ</t>
        </is>
      </c>
      <c r="AQ31" s="5" t="n"/>
    </row>
    <row r="32" ht="42.75" customHeight="1" s="24">
      <c r="A32" s="5" t="n">
        <v>31</v>
      </c>
      <c r="B32" s="5" t="inlineStr">
        <is>
          <t>軒天雨漏り</t>
        </is>
      </c>
      <c r="C32" s="5" t="inlineStr">
        <is>
          <t>軒天雨漏り</t>
        </is>
      </c>
      <c r="D32" s="5" t="inlineStr">
        <is>
          <t>軒天の雨漏りは危険？シミ・剥がれの原因と補修方法</t>
        </is>
      </c>
      <c r="E32" s="5" t="inlineStr">
        <is>
          <t>雨漏り</t>
        </is>
      </c>
      <c r="F32" s="5" t="inlineStr">
        <is>
          <t>原因・症状型</t>
        </is>
      </c>
      <c r="G32" s="5" t="inlineStr">
        <is>
          <t>地域サービス型</t>
        </is>
      </c>
      <c r="H32" s="5" t="inlineStr">
        <is>
          <t>4,500〜6,500字</t>
        </is>
      </c>
      <c r="I32" s="5" t="n">
        <v>4500</v>
      </c>
      <c r="J32" s="5" t="n">
        <v>6500</v>
      </c>
      <c r="K32" s="5" t="inlineStr">
        <is>
          <t>高</t>
        </is>
      </c>
      <c r="L32" s="5" t="inlineStr">
        <is>
          <t>第1ロット：雨漏り系</t>
        </is>
      </c>
      <c r="M32" s="5" t="inlineStr">
        <is>
          <t>031.md</t>
        </is>
      </c>
      <c r="N32" s="5" t="inlineStr">
        <is>
          <t>031.webp</t>
        </is>
      </c>
      <c r="O32" s="5" t="inlineStr">
        <is>
          <t>soffit-leak</t>
        </is>
      </c>
      <c r="P32" s="5" t="inlineStr">
        <is>
          <t>軒天雨漏りについて、主な原因、放置リスク、修理方法、業者選びのポイントを松山市で検討中の方向けに解説します。</t>
        </is>
      </c>
      <c r="Q32" s="5" t="inlineStr">
        <is>
          <t>雨漏り修理</t>
        </is>
      </c>
      <c r="R32" s="5" t="inlineStr">
        <is>
          <t>雨漏り、軒天、雨漏り修理</t>
        </is>
      </c>
      <c r="S32" s="5" t="inlineStr">
        <is>
          <t>雨漏り無料点検・無料見積り</t>
        </is>
      </c>
      <c r="T32" s="5" t="inlineStr">
        <is>
          <t>雨漏り無料点検CTA</t>
        </is>
      </c>
      <c r="U32" s="5" t="inlineStr">
        <is>
          <t>松山市で雨漏りが気になる方は、まずは無料点検・無料見積りをご利用ください。原因を確認し、必要な工事だけをご提案します。</t>
        </is>
      </c>
      <c r="V32" s="5" t="inlineStr">
        <is>
          <t>軒天雨漏り</t>
        </is>
      </c>
      <c r="W32" s="5" t="inlineStr">
        <is>
          <t>シミ・黒ずみ・剥がれは要注意</t>
        </is>
      </c>
      <c r="X32" s="5" t="inlineStr">
        <is>
          <t>補修と塗装の判断ポイント</t>
        </is>
      </c>
      <c r="Y32" s="5" t="inlineStr">
        <is>
          <t>軒天シミ・黒ずみ・住宅軒下</t>
        </is>
      </c>
      <c r="Z32" s="5" t="inlineStr">
        <is>
          <t>見上げる住人＋職人</t>
        </is>
      </c>
      <c r="AA32" s="5" t="inlineStr">
        <is>
          <t>松山市版</t>
        </is>
      </c>
      <c r="AB32" s="5" t="inlineStr">
        <is>
          <t>軒天訴求</t>
        </is>
      </c>
      <c r="AC32" s="5" t="inlineStr">
        <is>
          <t>未着手</t>
        </is>
      </c>
      <c r="AD32" s="5" t="inlineStr">
        <is>
          <t>画像確認済み</t>
        </is>
      </c>
      <c r="AE32" s="5" t="inlineStr">
        <is>
          <t>未反映</t>
        </is>
      </c>
      <c r="AF32" s="5" t="inlineStr">
        <is>
          <t>posted</t>
        </is>
      </c>
      <c r="AG32" s="5" t="inlineStr">
        <is>
          <t>post/create_only</t>
        </is>
      </c>
      <c r="AH32" s="5" t="n">
        <v>21983</v>
      </c>
      <c r="AI32" s="5" t="inlineStr">
        <is>
          <t>https://www.sunadatosou.com/?p=21983</t>
        </is>
      </c>
      <c r="AJ32" s="29" t="inlineStr">
        <is>
          <t>2026-06-27 17:12:46</t>
        </is>
      </c>
      <c r="AK32" s="29" t="n"/>
      <c r="AL32" s="5" t="n">
        <v>3834</v>
      </c>
      <c r="AM32" s="5" t="inlineStr">
        <is>
          <t>不足(目安4,500〜6,500字)</t>
        </is>
      </c>
      <c r="AN32" s="5" t="n"/>
      <c r="AO32" s="5" t="inlineStr">
        <is>
          <t>中心記事「松山市の雨漏り修理」へリンク。関連：雨漏り費用・調査・屋根雨漏り。</t>
        </is>
      </c>
      <c r="AP32" s="5" t="inlineStr">
        <is>
          <t>H1なし／この記事でわかること／地域事情／事例／原因・費用／CTA／FAQ</t>
        </is>
      </c>
      <c r="AQ32" s="5" t="n"/>
    </row>
    <row r="33" ht="42.75" customHeight="1" s="24">
      <c r="A33" s="5" t="n">
        <v>32</v>
      </c>
      <c r="B33" s="5" t="inlineStr">
        <is>
          <t>雨漏り火災保険</t>
        </is>
      </c>
      <c r="C33" s="5" t="inlineStr">
        <is>
          <t>雨漏り火災保険</t>
        </is>
      </c>
      <c r="D33" s="5" t="inlineStr">
        <is>
          <t>雨漏り修理に火災保険は使える？対象条件と申請前の注意点</t>
        </is>
      </c>
      <c r="E33" s="5" t="inlineStr">
        <is>
          <t>雨漏り</t>
        </is>
      </c>
      <c r="F33" s="5" t="inlineStr">
        <is>
          <t>原因・症状型</t>
        </is>
      </c>
      <c r="G33" s="5" t="inlineStr">
        <is>
          <t>地域サービス型</t>
        </is>
      </c>
      <c r="H33" s="5" t="inlineStr">
        <is>
          <t>5,000〜7,000字</t>
        </is>
      </c>
      <c r="I33" s="5" t="n">
        <v>5000</v>
      </c>
      <c r="J33" s="5" t="n">
        <v>7000</v>
      </c>
      <c r="K33" s="5" t="inlineStr">
        <is>
          <t>高</t>
        </is>
      </c>
      <c r="L33" s="5" t="inlineStr">
        <is>
          <t>第1ロット：雨漏り系</t>
        </is>
      </c>
      <c r="M33" s="5" t="inlineStr">
        <is>
          <t>032.md</t>
        </is>
      </c>
      <c r="N33" s="5" t="inlineStr">
        <is>
          <t>032.webp</t>
        </is>
      </c>
      <c r="O33" s="5" t="inlineStr">
        <is>
          <t>leak-fire-insurance</t>
        </is>
      </c>
      <c r="P33" s="5" t="inlineStr">
        <is>
          <t>雨漏り火災保険について、主な原因、放置リスク、修理方法、業者選びのポイントを松山市で検討中の方向けに解説します。</t>
        </is>
      </c>
      <c r="Q33" s="5" t="inlineStr">
        <is>
          <t>雨漏り修理</t>
        </is>
      </c>
      <c r="R33" s="5" t="inlineStr">
        <is>
          <t>雨漏り、雨漏り修理</t>
        </is>
      </c>
      <c r="S33" s="5" t="inlineStr">
        <is>
          <t>雨漏り無料点検・無料見積り</t>
        </is>
      </c>
      <c r="T33" s="5" t="inlineStr">
        <is>
          <t>雨漏り無料点検CTA</t>
        </is>
      </c>
      <c r="U33" s="5" t="inlineStr">
        <is>
          <t>松山市で雨漏りが気になる方は、まずは無料点検・無料見積りをご利用ください。原因を確認し、必要な工事だけをご提案します。</t>
        </is>
      </c>
      <c r="V33" s="5" t="inlineStr">
        <is>
          <t>雨漏り火災保険</t>
        </is>
      </c>
      <c r="W33" s="5" t="inlineStr">
        <is>
          <t>症状・費用・注意点を解説</t>
        </is>
      </c>
      <c r="X33" s="5" t="inlineStr">
        <is>
          <t>プロが分かりやすく解説</t>
        </is>
      </c>
      <c r="Y33" s="5" t="inlineStr">
        <is>
          <t>住宅外観・劣化箇所</t>
        </is>
      </c>
      <c r="Z33" s="5" t="inlineStr">
        <is>
          <t>職人</t>
        </is>
      </c>
      <c r="AA33" s="5" t="inlineStr">
        <is>
          <t>松山市版</t>
        </is>
      </c>
      <c r="AB33" s="5" t="inlineStr">
        <is>
          <t>汎用外装訴求</t>
        </is>
      </c>
      <c r="AC33" s="5" t="inlineStr">
        <is>
          <t>未着手</t>
        </is>
      </c>
      <c r="AD33" s="5" t="inlineStr">
        <is>
          <t>画像確認済み</t>
        </is>
      </c>
      <c r="AE33" s="5" t="inlineStr">
        <is>
          <t>未反映</t>
        </is>
      </c>
      <c r="AF33" s="5" t="inlineStr">
        <is>
          <t>posted</t>
        </is>
      </c>
      <c r="AG33" s="5" t="inlineStr">
        <is>
          <t>post/create_only</t>
        </is>
      </c>
      <c r="AH33" s="5" t="n">
        <v>21985</v>
      </c>
      <c r="AI33" s="5" t="inlineStr">
        <is>
          <t>https://www.sunadatosou.com/?p=21985</t>
        </is>
      </c>
      <c r="AJ33" s="29" t="inlineStr">
        <is>
          <t>2026-06-27 17:12:57</t>
        </is>
      </c>
      <c r="AK33" s="29" t="n"/>
      <c r="AL33" s="5" t="n">
        <v>4285</v>
      </c>
      <c r="AM33" s="5" t="inlineStr">
        <is>
          <t>不足(目安5,000〜7,000字)</t>
        </is>
      </c>
      <c r="AN33" s="5" t="n"/>
      <c r="AO33" s="5" t="inlineStr">
        <is>
          <t>中心記事「松山市の雨漏り修理」へリンク。関連：雨漏り費用・調査・屋根雨漏り。</t>
        </is>
      </c>
      <c r="AP33" s="5" t="inlineStr">
        <is>
          <t>H1なし／この記事でわかること／地域事情／事例／原因・費用／CTA／FAQ</t>
        </is>
      </c>
      <c r="AQ33" s="5" t="n"/>
    </row>
    <row r="34" ht="42.75" customHeight="1" s="24">
      <c r="A34" s="5" t="n">
        <v>33</v>
      </c>
      <c r="B34" s="5" t="inlineStr">
        <is>
          <t>コーキング劣化 雨漏り</t>
        </is>
      </c>
      <c r="C34" s="5" t="inlineStr">
        <is>
          <t>コーキング劣化 雨漏り</t>
        </is>
      </c>
      <c r="D34" s="5" t="inlineStr">
        <is>
          <t>コーキング劣化で雨漏りする原因とは？補修時期と費用を解説</t>
        </is>
      </c>
      <c r="E34" s="5" t="inlineStr">
        <is>
          <t>防水・シーリング</t>
        </is>
      </c>
      <c r="F34" s="5" t="inlineStr">
        <is>
          <t>防水・シーリング型</t>
        </is>
      </c>
      <c r="G34" s="5" t="inlineStr">
        <is>
          <t>地域サービス型</t>
        </is>
      </c>
      <c r="H34" s="5" t="inlineStr">
        <is>
          <t>4,500〜6,000字</t>
        </is>
      </c>
      <c r="I34" s="5" t="n">
        <v>4500</v>
      </c>
      <c r="J34" s="5" t="n">
        <v>6000</v>
      </c>
      <c r="K34" s="5" t="inlineStr">
        <is>
          <t>中</t>
        </is>
      </c>
      <c r="L34" s="5" t="inlineStr">
        <is>
          <t>第3ロット：外壁塗装・防水系</t>
        </is>
      </c>
      <c r="M34" s="5" t="inlineStr">
        <is>
          <t>033.md</t>
        </is>
      </c>
      <c r="N34" s="5" t="inlineStr">
        <is>
          <t>033.webp</t>
        </is>
      </c>
      <c r="O34" s="5" t="inlineStr">
        <is>
          <t>caulking-deterioration-leak</t>
        </is>
      </c>
      <c r="P34" s="5" t="inlineStr">
        <is>
          <t>コーキング劣化 雨漏りについて、工事内容、耐用年数、費用目安、雨漏りを防ぐための注意点をわかりやすく解説します。</t>
        </is>
      </c>
      <c r="Q34" s="5" t="inlineStr">
        <is>
          <t>防水・シーリング</t>
        </is>
      </c>
      <c r="R34" s="5" t="inlineStr">
        <is>
          <t>雨漏り、防水・シーリング</t>
        </is>
      </c>
      <c r="S34" s="5" t="inlineStr">
        <is>
          <t>雨漏り無料点検・無料見積り</t>
        </is>
      </c>
      <c r="T34" s="5" t="inlineStr">
        <is>
          <t>雨漏り無料点検CTA</t>
        </is>
      </c>
      <c r="U34" s="5" t="inlineStr">
        <is>
          <t>松山市で雨漏りが気になる方は、まずは無料点検・無料見積りをご利用ください。原因を確認し、必要な工事だけをご提案します。</t>
        </is>
      </c>
      <c r="V34" s="5" t="inlineStr">
        <is>
          <t>コーキング劣化 雨漏り</t>
        </is>
      </c>
      <c r="W34" s="5" t="inlineStr">
        <is>
          <t>雨漏り前に防水状態をチェック</t>
        </is>
      </c>
      <c r="X34" s="5" t="inlineStr">
        <is>
          <t>費用・耐用年数を解説</t>
        </is>
      </c>
      <c r="Y34" s="5" t="inlineStr">
        <is>
          <t>ベランダ床・防水層・排水口</t>
        </is>
      </c>
      <c r="Z34" s="5" t="inlineStr">
        <is>
          <t>点検する職人</t>
        </is>
      </c>
      <c r="AA34" s="5" t="inlineStr">
        <is>
          <t>松山市版</t>
        </is>
      </c>
      <c r="AB34" s="5" t="inlineStr">
        <is>
          <t>防水訴求</t>
        </is>
      </c>
      <c r="AC34" s="5" t="inlineStr">
        <is>
          <t>未着手</t>
        </is>
      </c>
      <c r="AD34" s="5" t="inlineStr">
        <is>
          <t>画像確認済み</t>
        </is>
      </c>
      <c r="AE34" s="5" t="inlineStr">
        <is>
          <t>未反映</t>
        </is>
      </c>
      <c r="AF34" s="5" t="inlineStr">
        <is>
          <t>posted</t>
        </is>
      </c>
      <c r="AG34" s="5" t="inlineStr">
        <is>
          <t>post/create_only</t>
        </is>
      </c>
      <c r="AH34" s="5" t="n">
        <v>21987</v>
      </c>
      <c r="AI34" s="5" t="inlineStr">
        <is>
          <t>https://www.sunadatosou.com/?p=21987</t>
        </is>
      </c>
      <c r="AJ34" s="29" t="inlineStr">
        <is>
          <t>2026-06-27 17:13:05</t>
        </is>
      </c>
      <c r="AK34" s="29" t="n"/>
      <c r="AL34" s="5" t="n">
        <v>3842</v>
      </c>
      <c r="AM34" s="5" t="inlineStr">
        <is>
          <t>不足(目安4,500〜6,000字)</t>
        </is>
      </c>
      <c r="AN34" s="5" t="n"/>
      <c r="AO34" s="5" t="inlineStr">
        <is>
          <t>関連：ベランダ防水費用、シーリング打ち替え費用、外壁雨漏りへリンク。</t>
        </is>
      </c>
      <c r="AP34" s="5" t="inlineStr">
        <is>
          <t>H1なし／この記事でわかること／地域事情／事例／原因・費用／CTA／FAQ</t>
        </is>
      </c>
      <c r="AQ34" s="5" t="n"/>
    </row>
    <row r="35" ht="42.75" customHeight="1" s="24">
      <c r="A35" s="5" t="n">
        <v>34</v>
      </c>
      <c r="B35" s="5" t="inlineStr">
        <is>
          <t>外壁ひび割れ 雨漏り</t>
        </is>
      </c>
      <c r="C35" s="5" t="inlineStr">
        <is>
          <t>外壁ひび割れ 雨漏り</t>
        </is>
      </c>
      <c r="D35" s="5" t="inlineStr">
        <is>
          <t>外壁ひび割れで雨漏りする？危険な症状と補修方法を解説</t>
        </is>
      </c>
      <c r="E35" s="5" t="inlineStr">
        <is>
          <t>防水・シーリング</t>
        </is>
      </c>
      <c r="F35" s="5" t="inlineStr">
        <is>
          <t>防水・シーリング型</t>
        </is>
      </c>
      <c r="G35" s="5" t="inlineStr">
        <is>
          <t>地域サービス型</t>
        </is>
      </c>
      <c r="H35" s="5" t="inlineStr">
        <is>
          <t>4,500〜6,000字</t>
        </is>
      </c>
      <c r="I35" s="5" t="n">
        <v>4500</v>
      </c>
      <c r="J35" s="5" t="n">
        <v>6000</v>
      </c>
      <c r="K35" s="5" t="inlineStr">
        <is>
          <t>中</t>
        </is>
      </c>
      <c r="L35" s="5" t="inlineStr">
        <is>
          <t>第3ロット：外壁塗装・防水系</t>
        </is>
      </c>
      <c r="M35" s="5" t="inlineStr">
        <is>
          <t>034.md</t>
        </is>
      </c>
      <c r="N35" s="5" t="inlineStr">
        <is>
          <t>034.webp</t>
        </is>
      </c>
      <c r="O35" s="5" t="inlineStr">
        <is>
          <t>exterior-wall-crack-leak</t>
        </is>
      </c>
      <c r="P35" s="5" t="inlineStr">
        <is>
          <t>外壁ひび割れ 雨漏りについて、工事内容、耐用年数、費用目安、雨漏りを防ぐための注意点をわかりやすく解説します。</t>
        </is>
      </c>
      <c r="Q35" s="5" t="inlineStr">
        <is>
          <t>防水・シーリング</t>
        </is>
      </c>
      <c r="R35" s="5" t="inlineStr">
        <is>
          <t>雨漏り、防水・シーリング</t>
        </is>
      </c>
      <c r="S35" s="5" t="inlineStr">
        <is>
          <t>雨漏り無料点検・無料見積り</t>
        </is>
      </c>
      <c r="T35" s="5" t="inlineStr">
        <is>
          <t>雨漏り無料点検CTA</t>
        </is>
      </c>
      <c r="U35" s="5" t="inlineStr">
        <is>
          <t>松山市で雨漏りが気になる方は、まずは無料点検・無料見積りをご利用ください。原因を確認し、必要な工事だけをご提案します。</t>
        </is>
      </c>
      <c r="V35" s="5" t="inlineStr">
        <is>
          <t>外壁ひび割れ 雨漏り</t>
        </is>
      </c>
      <c r="W35" s="5" t="inlineStr">
        <is>
          <t>雨漏り前に防水状態をチェック</t>
        </is>
      </c>
      <c r="X35" s="5" t="inlineStr">
        <is>
          <t>費用・耐用年数を解説</t>
        </is>
      </c>
      <c r="Y35" s="5" t="inlineStr">
        <is>
          <t>ベランダ床・防水層・排水口</t>
        </is>
      </c>
      <c r="Z35" s="5" t="inlineStr">
        <is>
          <t>点検する職人</t>
        </is>
      </c>
      <c r="AA35" s="5" t="inlineStr">
        <is>
          <t>松山市版</t>
        </is>
      </c>
      <c r="AB35" s="5" t="inlineStr">
        <is>
          <t>防水訴求</t>
        </is>
      </c>
      <c r="AC35" s="5" t="inlineStr">
        <is>
          <t>未着手</t>
        </is>
      </c>
      <c r="AD35" s="5" t="inlineStr">
        <is>
          <t>画像確認済み</t>
        </is>
      </c>
      <c r="AE35" s="5" t="inlineStr">
        <is>
          <t>未反映</t>
        </is>
      </c>
      <c r="AF35" s="5" t="inlineStr">
        <is>
          <t>posted</t>
        </is>
      </c>
      <c r="AG35" s="5" t="inlineStr">
        <is>
          <t>post/create_only</t>
        </is>
      </c>
      <c r="AH35" s="5" t="n">
        <v>21989</v>
      </c>
      <c r="AI35" s="5" t="inlineStr">
        <is>
          <t>https://www.sunadatosou.com/?p=21989</t>
        </is>
      </c>
      <c r="AJ35" s="29" t="inlineStr">
        <is>
          <t>2026-06-27 17:13:13</t>
        </is>
      </c>
      <c r="AK35" s="29" t="n"/>
      <c r="AL35" s="5" t="n">
        <v>3840</v>
      </c>
      <c r="AM35" s="5" t="inlineStr">
        <is>
          <t>不足(目安4,500〜6,000字)</t>
        </is>
      </c>
      <c r="AN35" s="5" t="n"/>
      <c r="AO35" s="5" t="inlineStr">
        <is>
          <t>関連：ベランダ防水費用、シーリング打ち替え費用、外壁雨漏りへリンク。</t>
        </is>
      </c>
      <c r="AP35" s="5" t="inlineStr">
        <is>
          <t>H1なし／この記事でわかること／地域事情／事例／原因・費用／CTA／FAQ</t>
        </is>
      </c>
      <c r="AQ35" s="5" t="n"/>
    </row>
    <row r="36" ht="42.75" customHeight="1" s="24">
      <c r="A36" s="5" t="n">
        <v>35</v>
      </c>
      <c r="B36" s="5" t="inlineStr">
        <is>
          <t>シーリング打ち替え 費用</t>
        </is>
      </c>
      <c r="C36" s="5" t="inlineStr">
        <is>
          <t>シーリング打ち替え 費用</t>
        </is>
      </c>
      <c r="D36" s="5" t="inlineStr">
        <is>
          <t>シーリング打ち替え費用はいくら？相場・内訳・注意点を解説</t>
        </is>
      </c>
      <c r="E36" s="5" t="inlineStr">
        <is>
          <t>防水・シーリング</t>
        </is>
      </c>
      <c r="F36" s="5" t="inlineStr">
        <is>
          <t>費用・相場型</t>
        </is>
      </c>
      <c r="G36" s="5" t="inlineStr">
        <is>
          <t>費用・相場型</t>
        </is>
      </c>
      <c r="H36" s="5" t="inlineStr">
        <is>
          <t>5,000〜7,000字</t>
        </is>
      </c>
      <c r="I36" s="5" t="n">
        <v>5000</v>
      </c>
      <c r="J36" s="5" t="n">
        <v>7000</v>
      </c>
      <c r="K36" s="5" t="inlineStr">
        <is>
          <t>中</t>
        </is>
      </c>
      <c r="L36" s="5" t="inlineStr">
        <is>
          <t>第3ロット：外壁塗装・防水系</t>
        </is>
      </c>
      <c r="M36" s="5" t="inlineStr">
        <is>
          <t>035.md</t>
        </is>
      </c>
      <c r="N36" s="5" t="inlineStr">
        <is>
          <t>035.webp</t>
        </is>
      </c>
      <c r="O36" s="5" t="inlineStr">
        <is>
          <t>sealing-replacement-cost</t>
        </is>
      </c>
      <c r="P36" s="5" t="inlineStr">
        <is>
          <t>シーリング打ち替え 費用について、費用相場、内訳、金額が変わる要因、見積もり時の注意点をわかりやすく解説します。</t>
        </is>
      </c>
      <c r="Q36" s="5" t="inlineStr">
        <is>
          <t>防水・シーリング</t>
        </is>
      </c>
      <c r="R36" s="5" t="inlineStr">
        <is>
          <t>シーリング、費用、防水・シーリング</t>
        </is>
      </c>
      <c r="S36" s="5" t="inlineStr">
        <is>
          <t>無料見積り・費用根拠の見える化</t>
        </is>
      </c>
      <c r="T36" s="5" t="inlineStr">
        <is>
          <t>無料見積りCTA</t>
        </is>
      </c>
      <c r="U36" s="5" t="inlineStr">
        <is>
          <t>費用は原因箇所や補修範囲で変わります。現地調査で状態を確認し、見積もりの根拠を写真付きでご説明します。</t>
        </is>
      </c>
      <c r="V36" s="5" t="inlineStr">
        <is>
          <t>シーリング打ち替え 費用</t>
        </is>
      </c>
      <c r="W36" s="5" t="inlineStr">
        <is>
          <t>雨漏り前に防水状態をチェック</t>
        </is>
      </c>
      <c r="X36" s="5" t="inlineStr">
        <is>
          <t>費用・耐用年数を解説</t>
        </is>
      </c>
      <c r="Y36" s="5" t="inlineStr">
        <is>
          <t>ベランダ床・防水層・排水口</t>
        </is>
      </c>
      <c r="Z36" s="5" t="inlineStr">
        <is>
          <t>点検する職人</t>
        </is>
      </c>
      <c r="AA36" s="5" t="inlineStr">
        <is>
          <t>松山市版</t>
        </is>
      </c>
      <c r="AB36" s="5" t="inlineStr">
        <is>
          <t>防水訴求</t>
        </is>
      </c>
      <c r="AC36" s="5" t="inlineStr">
        <is>
          <t>未着手</t>
        </is>
      </c>
      <c r="AD36" s="5" t="inlineStr">
        <is>
          <t>画像確認済み</t>
        </is>
      </c>
      <c r="AE36" s="5" t="inlineStr">
        <is>
          <t>未反映</t>
        </is>
      </c>
      <c r="AF36" s="5" t="inlineStr">
        <is>
          <t>posted</t>
        </is>
      </c>
      <c r="AG36" s="5" t="inlineStr">
        <is>
          <t>post/create_only</t>
        </is>
      </c>
      <c r="AH36" s="5" t="n">
        <v>21991</v>
      </c>
      <c r="AI36" s="5" t="inlineStr">
        <is>
          <t>https://www.sunadatosou.com/?p=21991</t>
        </is>
      </c>
      <c r="AJ36" s="29" t="inlineStr">
        <is>
          <t>2026-06-27 17:13:25</t>
        </is>
      </c>
      <c r="AK36" s="29" t="n"/>
      <c r="AL36" s="5" t="n">
        <v>4185</v>
      </c>
      <c r="AM36" s="5" t="inlineStr">
        <is>
          <t>不足(目安5,000〜7,000字)</t>
        </is>
      </c>
      <c r="AN36" s="5" t="n"/>
      <c r="AO36" s="5" t="inlineStr">
        <is>
          <t>関連：ベランダ防水費用、シーリング打ち替え費用、外壁雨漏りへリンク。</t>
        </is>
      </c>
      <c r="AP36" s="5" t="inlineStr">
        <is>
          <t>H1なし／この記事でわかること／地域事情／事例／原因・費用／CTA／FAQ</t>
        </is>
      </c>
      <c r="AQ36" s="5" t="n"/>
    </row>
    <row r="37" ht="42.75" customHeight="1" s="24">
      <c r="A37" s="5" t="n">
        <v>36</v>
      </c>
      <c r="B37" s="5" t="inlineStr">
        <is>
          <t>オートンイクシード 費用</t>
        </is>
      </c>
      <c r="C37" s="5" t="inlineStr">
        <is>
          <t>オートンイクシード 費用</t>
        </is>
      </c>
      <c r="D37" s="5" t="inlineStr">
        <is>
          <t>オートンイクシードの費用は高い？特徴・相場・向いている住宅</t>
        </is>
      </c>
      <c r="E37" s="5" t="inlineStr">
        <is>
          <t>防水・シーリング</t>
        </is>
      </c>
      <c r="F37" s="5" t="inlineStr">
        <is>
          <t>費用・相場型</t>
        </is>
      </c>
      <c r="G37" s="5" t="inlineStr">
        <is>
          <t>費用・相場型</t>
        </is>
      </c>
      <c r="H37" s="5" t="inlineStr">
        <is>
          <t>5,000〜7,000字</t>
        </is>
      </c>
      <c r="I37" s="5" t="n">
        <v>5000</v>
      </c>
      <c r="J37" s="5" t="n">
        <v>7000</v>
      </c>
      <c r="K37" s="5" t="inlineStr">
        <is>
          <t>中</t>
        </is>
      </c>
      <c r="L37" s="5" t="inlineStr">
        <is>
          <t>第3ロット：外壁塗装・防水系</t>
        </is>
      </c>
      <c r="M37" s="5" t="inlineStr">
        <is>
          <t>036.md</t>
        </is>
      </c>
      <c r="N37" s="5" t="inlineStr">
        <is>
          <t>036.webp</t>
        </is>
      </c>
      <c r="O37" s="5" t="inlineStr">
        <is>
          <t>auton-exceed-cost</t>
        </is>
      </c>
      <c r="P37" s="5" t="inlineStr">
        <is>
          <t>オートンイクシード 費用について、費用相場、内訳、金額が変わる要因、見積もり時の注意点をわかりやすく解説します。</t>
        </is>
      </c>
      <c r="Q37" s="5" t="inlineStr">
        <is>
          <t>防水・シーリング</t>
        </is>
      </c>
      <c r="R37" s="5" t="inlineStr">
        <is>
          <t>費用、防水・シーリング</t>
        </is>
      </c>
      <c r="S37" s="5" t="inlineStr">
        <is>
          <t>無料見積り・費用根拠の見える化</t>
        </is>
      </c>
      <c r="T37" s="5" t="inlineStr">
        <is>
          <t>無料見積りCTA</t>
        </is>
      </c>
      <c r="U37" s="5" t="inlineStr">
        <is>
          <t>費用は原因箇所や補修範囲で変わります。現地調査で状態を確認し、見積もりの根拠を写真付きでご説明します。</t>
        </is>
      </c>
      <c r="V37" s="5" t="inlineStr">
        <is>
          <t>オートンイクシード 費用</t>
        </is>
      </c>
      <c r="W37" s="5" t="inlineStr">
        <is>
          <t>雨漏り前に防水状態をチェック</t>
        </is>
      </c>
      <c r="X37" s="5" t="inlineStr">
        <is>
          <t>費用・耐用年数を解説</t>
        </is>
      </c>
      <c r="Y37" s="5" t="inlineStr">
        <is>
          <t>ベランダ床・防水層・排水口</t>
        </is>
      </c>
      <c r="Z37" s="5" t="inlineStr">
        <is>
          <t>点検する職人</t>
        </is>
      </c>
      <c r="AA37" s="5" t="inlineStr">
        <is>
          <t>松山市版</t>
        </is>
      </c>
      <c r="AB37" s="5" t="inlineStr">
        <is>
          <t>防水訴求</t>
        </is>
      </c>
      <c r="AC37" s="5" t="inlineStr">
        <is>
          <t>未着手</t>
        </is>
      </c>
      <c r="AD37" s="5" t="inlineStr">
        <is>
          <t>画像確認済み</t>
        </is>
      </c>
      <c r="AE37" s="5" t="inlineStr">
        <is>
          <t>未反映</t>
        </is>
      </c>
      <c r="AF37" s="5" t="inlineStr">
        <is>
          <t>posted</t>
        </is>
      </c>
      <c r="AG37" s="5" t="inlineStr">
        <is>
          <t>post/create_only</t>
        </is>
      </c>
      <c r="AH37" s="5" t="n">
        <v>21993</v>
      </c>
      <c r="AI37" s="5" t="inlineStr">
        <is>
          <t>https://www.sunadatosou.com/?p=21993</t>
        </is>
      </c>
      <c r="AJ37" s="29" t="inlineStr">
        <is>
          <t>2026-06-27 17:13:33</t>
        </is>
      </c>
      <c r="AK37" s="29" t="n"/>
      <c r="AL37" s="5" t="n">
        <v>4183</v>
      </c>
      <c r="AM37" s="5" t="inlineStr">
        <is>
          <t>不足(目安5,000〜7,000字)</t>
        </is>
      </c>
      <c r="AN37" s="5" t="n"/>
      <c r="AO37" s="5" t="inlineStr">
        <is>
          <t>関連：ベランダ防水費用、シーリング打ち替え費用、外壁雨漏りへリンク。</t>
        </is>
      </c>
      <c r="AP37" s="5" t="inlineStr">
        <is>
          <t>H1なし／この記事でわかること／地域事情／事例／原因・費用／CTA／FAQ</t>
        </is>
      </c>
      <c r="AQ37" s="5" t="n"/>
    </row>
    <row r="38" ht="42.75" customHeight="1" s="24">
      <c r="A38" s="5" t="n">
        <v>37</v>
      </c>
      <c r="B38" s="5" t="inlineStr">
        <is>
          <t>ベランダ防水 費用</t>
        </is>
      </c>
      <c r="C38" s="5" t="inlineStr">
        <is>
          <t>ベランダ防水 費用</t>
        </is>
      </c>
      <c r="D38" s="5" t="inlineStr">
        <is>
          <t>ベランダ防水の費用相場はいくら？工法別の違いと注意点</t>
        </is>
      </c>
      <c r="E38" s="5" t="inlineStr">
        <is>
          <t>防水・シーリング</t>
        </is>
      </c>
      <c r="F38" s="5" t="inlineStr">
        <is>
          <t>費用・相場型</t>
        </is>
      </c>
      <c r="G38" s="5" t="inlineStr">
        <is>
          <t>費用・相場型</t>
        </is>
      </c>
      <c r="H38" s="5" t="inlineStr">
        <is>
          <t>5,000〜7,000字</t>
        </is>
      </c>
      <c r="I38" s="5" t="n">
        <v>5000</v>
      </c>
      <c r="J38" s="5" t="n">
        <v>7000</v>
      </c>
      <c r="K38" s="5" t="inlineStr">
        <is>
          <t>中</t>
        </is>
      </c>
      <c r="L38" s="5" t="inlineStr">
        <is>
          <t>第3ロット：外壁塗装・防水系</t>
        </is>
      </c>
      <c r="M38" s="5" t="inlineStr">
        <is>
          <t>037.md</t>
        </is>
      </c>
      <c r="N38" s="5" t="inlineStr">
        <is>
          <t>037.webp</t>
        </is>
      </c>
      <c r="O38" s="5" t="inlineStr">
        <is>
          <t>balcony-waterproof-cost</t>
        </is>
      </c>
      <c r="P38" s="5" t="inlineStr">
        <is>
          <t>ベランダ防水 費用について、費用相場、内訳、金額が変わる要因、見積もり時の注意点をわかりやすく解説します。</t>
        </is>
      </c>
      <c r="Q38" s="5" t="inlineStr">
        <is>
          <t>防水・シーリング</t>
        </is>
      </c>
      <c r="R38" s="5" t="inlineStr">
        <is>
          <t>防水、費用、防水・シーリング</t>
        </is>
      </c>
      <c r="S38" s="5" t="inlineStr">
        <is>
          <t>無料見積り・費用根拠の見える化</t>
        </is>
      </c>
      <c r="T38" s="5" t="inlineStr">
        <is>
          <t>無料見積りCTA</t>
        </is>
      </c>
      <c r="U38" s="5" t="inlineStr">
        <is>
          <t>費用は原因箇所や補修範囲で変わります。現地調査で状態を確認し、見積もりの根拠を写真付きでご説明します。</t>
        </is>
      </c>
      <c r="V38" s="5" t="inlineStr">
        <is>
          <t>ベランダ防水 費用</t>
        </is>
      </c>
      <c r="W38" s="5" t="inlineStr">
        <is>
          <t>雨漏り前に防水状態をチェック</t>
        </is>
      </c>
      <c r="X38" s="5" t="inlineStr">
        <is>
          <t>費用・耐用年数を解説</t>
        </is>
      </c>
      <c r="Y38" s="5" t="inlineStr">
        <is>
          <t>ベランダ床・防水層・排水口</t>
        </is>
      </c>
      <c r="Z38" s="5" t="inlineStr">
        <is>
          <t>点検する職人</t>
        </is>
      </c>
      <c r="AA38" s="5" t="inlineStr">
        <is>
          <t>松山市版</t>
        </is>
      </c>
      <c r="AB38" s="5" t="inlineStr">
        <is>
          <t>防水訴求</t>
        </is>
      </c>
      <c r="AC38" s="5" t="inlineStr">
        <is>
          <t>未着手</t>
        </is>
      </c>
      <c r="AD38" s="5" t="inlineStr">
        <is>
          <t>画像確認済み</t>
        </is>
      </c>
      <c r="AE38" s="5" t="inlineStr">
        <is>
          <t>未反映</t>
        </is>
      </c>
      <c r="AF38" s="5" t="inlineStr">
        <is>
          <t>posted</t>
        </is>
      </c>
      <c r="AG38" s="5" t="inlineStr">
        <is>
          <t>post/create_only</t>
        </is>
      </c>
      <c r="AH38" s="5" t="n">
        <v>21995</v>
      </c>
      <c r="AI38" s="5" t="inlineStr">
        <is>
          <t>https://www.sunadatosou.com/?p=21995</t>
        </is>
      </c>
      <c r="AJ38" s="29" t="inlineStr">
        <is>
          <t>2026-06-27 17:13:43</t>
        </is>
      </c>
      <c r="AK38" s="29" t="n"/>
      <c r="AL38" s="5" t="n">
        <v>4201</v>
      </c>
      <c r="AM38" s="5" t="inlineStr">
        <is>
          <t>不足(目安5,000〜7,000字)</t>
        </is>
      </c>
      <c r="AN38" s="5" t="n"/>
      <c r="AO38" s="5" t="inlineStr">
        <is>
          <t>関連：ベランダ防水費用、シーリング打ち替え費用、外壁雨漏りへリンク。</t>
        </is>
      </c>
      <c r="AP38" s="5" t="inlineStr">
        <is>
          <t>H1なし／この記事でわかること／地域事情／事例／原因・費用／CTA／FAQ</t>
        </is>
      </c>
      <c r="AQ38" s="5" t="n"/>
    </row>
    <row r="39" ht="42.75" customHeight="1" s="24">
      <c r="A39" s="5" t="n">
        <v>38</v>
      </c>
      <c r="B39" s="5" t="inlineStr">
        <is>
          <t>FRP防水 耐用年数</t>
        </is>
      </c>
      <c r="C39" s="5" t="inlineStr">
        <is>
          <t>FRP防水 耐用年数</t>
        </is>
      </c>
      <c r="D39" s="5" t="inlineStr">
        <is>
          <t>FRP防水の耐用年数はどれくらい？劣化症状とメンテナンス時期</t>
        </is>
      </c>
      <c r="E39" s="5" t="inlineStr">
        <is>
          <t>防水・シーリング</t>
        </is>
      </c>
      <c r="F39" s="5" t="inlineStr">
        <is>
          <t>防水・シーリング型</t>
        </is>
      </c>
      <c r="G39" s="5" t="inlineStr">
        <is>
          <t>地域サービス型</t>
        </is>
      </c>
      <c r="H39" s="5" t="inlineStr">
        <is>
          <t>4,500〜6,000字</t>
        </is>
      </c>
      <c r="I39" s="5" t="n">
        <v>4500</v>
      </c>
      <c r="J39" s="5" t="n">
        <v>6000</v>
      </c>
      <c r="K39" s="5" t="inlineStr">
        <is>
          <t>中</t>
        </is>
      </c>
      <c r="L39" s="5" t="inlineStr">
        <is>
          <t>第3ロット：外壁塗装・防水系</t>
        </is>
      </c>
      <c r="M39" s="5" t="inlineStr">
        <is>
          <t>038.md</t>
        </is>
      </c>
      <c r="N39" s="5" t="inlineStr">
        <is>
          <t>038.webp</t>
        </is>
      </c>
      <c r="O39" s="5" t="inlineStr">
        <is>
          <t>frp-waterproof-lifespan</t>
        </is>
      </c>
      <c r="P39" s="5" t="inlineStr">
        <is>
          <t>FRP防水 耐用年数について、工事内容、耐用年数、費用目安、雨漏りを防ぐための注意点をわかりやすく解説します。</t>
        </is>
      </c>
      <c r="Q39" s="5" t="inlineStr">
        <is>
          <t>防水・シーリング</t>
        </is>
      </c>
      <c r="R39" s="5" t="inlineStr">
        <is>
          <t>防水、防水・シーリング</t>
        </is>
      </c>
      <c r="S39" s="5" t="inlineStr">
        <is>
          <t>防水工事・シーリング工事</t>
        </is>
      </c>
      <c r="T39" s="5" t="inlineStr">
        <is>
          <t>防水点検CTA</t>
        </is>
      </c>
      <c r="U39" s="5" t="inlineStr">
        <is>
          <t>ベランダや外壁目地の防水状態を確認し、雨漏り前の早めのメンテナンスをご提案します。</t>
        </is>
      </c>
      <c r="V39" s="5" t="inlineStr">
        <is>
          <t>FRP防水 耐用年数</t>
        </is>
      </c>
      <c r="W39" s="5" t="inlineStr">
        <is>
          <t>雨漏り前に防水状態をチェック</t>
        </is>
      </c>
      <c r="X39" s="5" t="inlineStr">
        <is>
          <t>費用・耐用年数を解説</t>
        </is>
      </c>
      <c r="Y39" s="5" t="inlineStr">
        <is>
          <t>ベランダ床・防水層・排水口</t>
        </is>
      </c>
      <c r="Z39" s="5" t="inlineStr">
        <is>
          <t>点検する職人</t>
        </is>
      </c>
      <c r="AA39" s="5" t="inlineStr">
        <is>
          <t>松山市版</t>
        </is>
      </c>
      <c r="AB39" s="5" t="inlineStr">
        <is>
          <t>防水訴求</t>
        </is>
      </c>
      <c r="AC39" s="5" t="inlineStr">
        <is>
          <t>未着手</t>
        </is>
      </c>
      <c r="AD39" s="5" t="inlineStr">
        <is>
          <t>画像確認済み</t>
        </is>
      </c>
      <c r="AE39" s="5" t="inlineStr">
        <is>
          <t>未反映</t>
        </is>
      </c>
      <c r="AF39" s="5" t="inlineStr">
        <is>
          <t>posted</t>
        </is>
      </c>
      <c r="AG39" s="5" t="inlineStr">
        <is>
          <t>post/create_only</t>
        </is>
      </c>
      <c r="AH39" s="5" t="n">
        <v>21997</v>
      </c>
      <c r="AI39" s="5" t="inlineStr">
        <is>
          <t>https://www.sunadatosou.com/?p=21997</t>
        </is>
      </c>
      <c r="AJ39" s="29" t="inlineStr">
        <is>
          <t>2026-06-27 17:13:51</t>
        </is>
      </c>
      <c r="AK39" s="29" t="n"/>
      <c r="AL39" s="5" t="n">
        <v>3792</v>
      </c>
      <c r="AM39" s="5" t="inlineStr">
        <is>
          <t>不足(目安4,500〜6,000字)</t>
        </is>
      </c>
      <c r="AN39" s="5" t="n"/>
      <c r="AO39" s="5" t="inlineStr">
        <is>
          <t>関連：ベランダ防水費用、シーリング打ち替え費用、外壁雨漏りへリンク。</t>
        </is>
      </c>
      <c r="AP39" s="5" t="inlineStr">
        <is>
          <t>H1なし／この記事でわかること／地域事情／事例／原因・費用／CTA／FAQ</t>
        </is>
      </c>
      <c r="AQ39" s="5" t="n"/>
    </row>
    <row r="40" ht="42.75" customHeight="1" s="24">
      <c r="A40" s="5" t="n">
        <v>39</v>
      </c>
      <c r="B40" s="5" t="inlineStr">
        <is>
          <t>ウレタン防水 耐用年数</t>
        </is>
      </c>
      <c r="C40" s="5" t="inlineStr">
        <is>
          <t>ウレタン防水 耐用年数</t>
        </is>
      </c>
      <c r="D40" s="5" t="inlineStr">
        <is>
          <t>ウレタン防水の耐用年数は？メリット・劣化症状・補修時期</t>
        </is>
      </c>
      <c r="E40" s="5" t="inlineStr">
        <is>
          <t>防水・シーリング</t>
        </is>
      </c>
      <c r="F40" s="5" t="inlineStr">
        <is>
          <t>防水・シーリング型</t>
        </is>
      </c>
      <c r="G40" s="5" t="inlineStr">
        <is>
          <t>地域サービス型</t>
        </is>
      </c>
      <c r="H40" s="5" t="inlineStr">
        <is>
          <t>4,500〜6,000字</t>
        </is>
      </c>
      <c r="I40" s="5" t="n">
        <v>4500</v>
      </c>
      <c r="J40" s="5" t="n">
        <v>6000</v>
      </c>
      <c r="K40" s="5" t="inlineStr">
        <is>
          <t>中</t>
        </is>
      </c>
      <c r="L40" s="5" t="inlineStr">
        <is>
          <t>第3ロット：外壁塗装・防水系</t>
        </is>
      </c>
      <c r="M40" s="5" t="inlineStr">
        <is>
          <t>039.md</t>
        </is>
      </c>
      <c r="N40" s="5" t="inlineStr">
        <is>
          <t>039.webp</t>
        </is>
      </c>
      <c r="O40" s="5" t="inlineStr">
        <is>
          <t>urethane-waterproof-lifespan</t>
        </is>
      </c>
      <c r="P40" s="5" t="inlineStr">
        <is>
          <t>ウレタン防水 耐用年数について、工事内容、耐用年数、費用目安、雨漏りを防ぐための注意点をわかりやすく解説します。</t>
        </is>
      </c>
      <c r="Q40" s="5" t="inlineStr">
        <is>
          <t>防水・シーリング</t>
        </is>
      </c>
      <c r="R40" s="5" t="inlineStr">
        <is>
          <t>防水、防水・シーリング</t>
        </is>
      </c>
      <c r="S40" s="5" t="inlineStr">
        <is>
          <t>防水工事・シーリング工事</t>
        </is>
      </c>
      <c r="T40" s="5" t="inlineStr">
        <is>
          <t>防水点検CTA</t>
        </is>
      </c>
      <c r="U40" s="5" t="inlineStr">
        <is>
          <t>ベランダや外壁目地の防水状態を確認し、雨漏り前の早めのメンテナンスをご提案します。</t>
        </is>
      </c>
      <c r="V40" s="5" t="inlineStr">
        <is>
          <t>ウレタン防水 耐用年数</t>
        </is>
      </c>
      <c r="W40" s="5" t="inlineStr">
        <is>
          <t>雨漏り前に防水状態をチェック</t>
        </is>
      </c>
      <c r="X40" s="5" t="inlineStr">
        <is>
          <t>費用・耐用年数を解説</t>
        </is>
      </c>
      <c r="Y40" s="5" t="inlineStr">
        <is>
          <t>ベランダ床・防水層・排水口</t>
        </is>
      </c>
      <c r="Z40" s="5" t="inlineStr">
        <is>
          <t>点検する職人</t>
        </is>
      </c>
      <c r="AA40" s="5" t="inlineStr">
        <is>
          <t>松山市版</t>
        </is>
      </c>
      <c r="AB40" s="5" t="inlineStr">
        <is>
          <t>防水訴求</t>
        </is>
      </c>
      <c r="AC40" s="5" t="inlineStr">
        <is>
          <t>未着手</t>
        </is>
      </c>
      <c r="AD40" s="5" t="inlineStr">
        <is>
          <t>画像確認済み</t>
        </is>
      </c>
      <c r="AE40" s="5" t="inlineStr">
        <is>
          <t>未反映</t>
        </is>
      </c>
      <c r="AF40" s="5" t="inlineStr">
        <is>
          <t>posted</t>
        </is>
      </c>
      <c r="AG40" s="5" t="inlineStr">
        <is>
          <t>post/create_only</t>
        </is>
      </c>
      <c r="AH40" s="5" t="n">
        <v>21999</v>
      </c>
      <c r="AI40" s="5" t="inlineStr">
        <is>
          <t>https://www.sunadatosou.com/?p=21999</t>
        </is>
      </c>
      <c r="AJ40" s="29" t="inlineStr">
        <is>
          <t>2026-06-27 17:14:01</t>
        </is>
      </c>
      <c r="AK40" s="29" t="n"/>
      <c r="AL40" s="5" t="n">
        <v>3801</v>
      </c>
      <c r="AM40" s="5" t="inlineStr">
        <is>
          <t>不足(目安4,500〜6,000字)</t>
        </is>
      </c>
      <c r="AN40" s="5" t="n"/>
      <c r="AO40" s="5" t="inlineStr">
        <is>
          <t>関連：ベランダ防水費用、シーリング打ち替え費用、外壁雨漏りへリンク。</t>
        </is>
      </c>
      <c r="AP40" s="5" t="inlineStr">
        <is>
          <t>H1なし／この記事でわかること／地域事情／事例／原因・費用／CTA／FAQ</t>
        </is>
      </c>
      <c r="AQ40" s="5" t="n"/>
    </row>
    <row r="41" ht="42.75" customHeight="1" s="24">
      <c r="A41" s="5" t="n">
        <v>40</v>
      </c>
      <c r="B41" s="5" t="inlineStr">
        <is>
          <t>塩ビシート防水 耐用年数</t>
        </is>
      </c>
      <c r="C41" s="5" t="inlineStr">
        <is>
          <t>塩ビシート防水 耐用年数</t>
        </is>
      </c>
      <c r="D41" s="5" t="inlineStr">
        <is>
          <t>塩ビシート防水の耐用年数は？特徴・劣化症状・注意点</t>
        </is>
      </c>
      <c r="E41" s="5" t="inlineStr">
        <is>
          <t>防水・シーリング</t>
        </is>
      </c>
      <c r="F41" s="5" t="inlineStr">
        <is>
          <t>防水・シーリング型</t>
        </is>
      </c>
      <c r="G41" s="5" t="inlineStr">
        <is>
          <t>地域サービス型</t>
        </is>
      </c>
      <c r="H41" s="5" t="inlineStr">
        <is>
          <t>4,500〜6,000字</t>
        </is>
      </c>
      <c r="I41" s="5" t="n">
        <v>4500</v>
      </c>
      <c r="J41" s="5" t="n">
        <v>6000</v>
      </c>
      <c r="K41" s="5" t="inlineStr">
        <is>
          <t>中</t>
        </is>
      </c>
      <c r="L41" s="5" t="inlineStr">
        <is>
          <t>第3ロット：外壁塗装・防水系</t>
        </is>
      </c>
      <c r="M41" s="5" t="inlineStr">
        <is>
          <t>040.md</t>
        </is>
      </c>
      <c r="N41" s="5" t="inlineStr">
        <is>
          <t>040.webp</t>
        </is>
      </c>
      <c r="O41" s="5" t="inlineStr">
        <is>
          <t>pvc-sheet-waterproof-lifespan</t>
        </is>
      </c>
      <c r="P41" s="5" t="inlineStr">
        <is>
          <t>塩ビシート防水 耐用年数について、工事内容、耐用年数、費用目安、雨漏りを防ぐための注意点をわかりやすく解説します。</t>
        </is>
      </c>
      <c r="Q41" s="5" t="inlineStr">
        <is>
          <t>防水・シーリング</t>
        </is>
      </c>
      <c r="R41" s="5" t="inlineStr">
        <is>
          <t>防水、防水・シーリング</t>
        </is>
      </c>
      <c r="S41" s="5" t="inlineStr">
        <is>
          <t>防水工事・シーリング工事</t>
        </is>
      </c>
      <c r="T41" s="5" t="inlineStr">
        <is>
          <t>防水点検CTA</t>
        </is>
      </c>
      <c r="U41" s="5" t="inlineStr">
        <is>
          <t>ベランダや外壁目地の防水状態を確認し、雨漏り前の早めのメンテナンスをご提案します。</t>
        </is>
      </c>
      <c r="V41" s="5" t="inlineStr">
        <is>
          <t>塩ビシート防水 耐用年数</t>
        </is>
      </c>
      <c r="W41" s="5" t="inlineStr">
        <is>
          <t>雨漏り前に防水状態をチェック</t>
        </is>
      </c>
      <c r="X41" s="5" t="inlineStr">
        <is>
          <t>費用・耐用年数を解説</t>
        </is>
      </c>
      <c r="Y41" s="5" t="inlineStr">
        <is>
          <t>ベランダ床・防水層・排水口</t>
        </is>
      </c>
      <c r="Z41" s="5" t="inlineStr">
        <is>
          <t>点検する職人</t>
        </is>
      </c>
      <c r="AA41" s="5" t="inlineStr">
        <is>
          <t>松山市版</t>
        </is>
      </c>
      <c r="AB41" s="5" t="inlineStr">
        <is>
          <t>防水訴求</t>
        </is>
      </c>
      <c r="AC41" s="5" t="inlineStr">
        <is>
          <t>未着手</t>
        </is>
      </c>
      <c r="AD41" s="5" t="inlineStr">
        <is>
          <t>画像確認済み</t>
        </is>
      </c>
      <c r="AE41" s="5" t="inlineStr">
        <is>
          <t>未反映</t>
        </is>
      </c>
      <c r="AF41" s="5" t="inlineStr">
        <is>
          <t>posted</t>
        </is>
      </c>
      <c r="AG41" s="5" t="inlineStr">
        <is>
          <t>post/create_only</t>
        </is>
      </c>
      <c r="AH41" s="5" t="n">
        <v>22001</v>
      </c>
      <c r="AI41" s="5" t="inlineStr">
        <is>
          <t>https://www.sunadatosou.com/?p=22001</t>
        </is>
      </c>
      <c r="AJ41" s="29" t="inlineStr">
        <is>
          <t>2026-06-27 17:14:12</t>
        </is>
      </c>
      <c r="AK41" s="29" t="n"/>
      <c r="AL41" s="5" t="n">
        <v>3800</v>
      </c>
      <c r="AM41" s="5" t="inlineStr">
        <is>
          <t>不足(目安4,500〜6,000字)</t>
        </is>
      </c>
      <c r="AN41" s="5" t="n"/>
      <c r="AO41" s="5" t="inlineStr">
        <is>
          <t>関連：ベランダ防水費用、シーリング打ち替え費用、外壁雨漏りへリンク。</t>
        </is>
      </c>
      <c r="AP41" s="5" t="inlineStr">
        <is>
          <t>H1なし／この記事でわかること／地域事情／事例／原因・費用／CTA／FAQ</t>
        </is>
      </c>
      <c r="AQ41" s="5" t="n"/>
    </row>
    <row r="42" ht="42.75" customHeight="1" s="24">
      <c r="A42" s="5" t="n">
        <v>41</v>
      </c>
      <c r="B42" s="5" t="inlineStr">
        <is>
          <t>屋根カバー メリット</t>
        </is>
      </c>
      <c r="C42" s="5" t="inlineStr">
        <is>
          <t>屋根カバー メリット</t>
        </is>
      </c>
      <c r="D42" s="5" t="inlineStr">
        <is>
          <t>屋根カバー工法のメリットとは？費用・注意点・向いている屋根</t>
        </is>
      </c>
      <c r="E42" s="5" t="inlineStr">
        <is>
          <t>屋根修理・屋根材</t>
        </is>
      </c>
      <c r="F42" s="5" t="inlineStr">
        <is>
          <t>地域サービス型</t>
        </is>
      </c>
      <c r="G42" s="5" t="inlineStr">
        <is>
          <t>地域サービス型</t>
        </is>
      </c>
      <c r="H42" s="5" t="inlineStr">
        <is>
          <t>5,000〜7,000字</t>
        </is>
      </c>
      <c r="I42" s="5" t="n">
        <v>5000</v>
      </c>
      <c r="J42" s="5" t="n">
        <v>7000</v>
      </c>
      <c r="K42" s="5" t="inlineStr">
        <is>
          <t>高</t>
        </is>
      </c>
      <c r="L42" s="5" t="inlineStr">
        <is>
          <t>第2ロット：屋根修理・屋根材系</t>
        </is>
      </c>
      <c r="M42" s="5" t="inlineStr">
        <is>
          <t>041.md</t>
        </is>
      </c>
      <c r="N42" s="5" t="inlineStr">
        <is>
          <t>041.webp</t>
        </is>
      </c>
      <c r="O42" s="5" t="inlineStr">
        <is>
          <t>roof-cover-method-merit</t>
        </is>
      </c>
      <c r="P42" s="5" t="inlineStr">
        <is>
          <t>屋根カバー メリットについて、劣化症状、修理方法、費用目安、依頼前に確認したいポイントをわかりやすく解説します。</t>
        </is>
      </c>
      <c r="Q42" s="5" t="inlineStr">
        <is>
          <t>屋根修理</t>
        </is>
      </c>
      <c r="R42" s="5" t="inlineStr">
        <is>
          <t>屋根修理</t>
        </is>
      </c>
      <c r="S42" s="5" t="inlineStr">
        <is>
          <t>屋根無料点検・屋根修理</t>
        </is>
      </c>
      <c r="T42" s="5" t="inlineStr">
        <is>
          <t>屋根点検CTA</t>
        </is>
      </c>
      <c r="U42" s="5" t="inlineStr">
        <is>
          <t>屋根材・板金・瓦の状態を点検し、雨漏りリスクや修理方法を職人目線で確認します。</t>
        </is>
      </c>
      <c r="V42" s="5" t="inlineStr">
        <is>
          <t>屋根カバー メリット</t>
        </is>
      </c>
      <c r="W42" s="5" t="inlineStr">
        <is>
          <t>雨漏り前に劣化を確認</t>
        </is>
      </c>
      <c r="X42" s="5" t="inlineStr">
        <is>
          <t>屋根点検・修理方法を解説</t>
        </is>
      </c>
      <c r="Y42" s="5" t="inlineStr">
        <is>
          <t>屋根材・瓦・板金・雨空</t>
        </is>
      </c>
      <c r="Z42" s="5" t="inlineStr">
        <is>
          <t>屋根を点検する職人</t>
        </is>
      </c>
      <c r="AA42" s="5" t="inlineStr">
        <is>
          <t>松山市版</t>
        </is>
      </c>
      <c r="AB42" s="5" t="inlineStr">
        <is>
          <t>屋根修理訴求</t>
        </is>
      </c>
      <c r="AC42" s="5" t="inlineStr">
        <is>
          <t>未着手</t>
        </is>
      </c>
      <c r="AD42" s="5" t="inlineStr">
        <is>
          <t>画像確認済み</t>
        </is>
      </c>
      <c r="AE42" s="5" t="inlineStr">
        <is>
          <t>未反映</t>
        </is>
      </c>
      <c r="AF42" s="5" t="inlineStr">
        <is>
          <t>posted</t>
        </is>
      </c>
      <c r="AG42" s="5" t="inlineStr">
        <is>
          <t>post/create_only</t>
        </is>
      </c>
      <c r="AH42" s="5" t="n">
        <v>22003</v>
      </c>
      <c r="AI42" s="5" t="inlineStr">
        <is>
          <t>https://www.sunadatosou.com/?p=22003</t>
        </is>
      </c>
      <c r="AJ42" s="29" t="inlineStr">
        <is>
          <t>2026-06-27 17:14:22</t>
        </is>
      </c>
      <c r="AK42" s="29" t="n"/>
      <c r="AL42" s="5" t="n">
        <v>4155</v>
      </c>
      <c r="AM42" s="5" t="inlineStr">
        <is>
          <t>不足(目安5,000〜7,000字)</t>
        </is>
      </c>
      <c r="AN42" s="5" t="n"/>
      <c r="AO42" s="5" t="inlineStr">
        <is>
          <t>中心記事「松山市の屋根修理」へリンク。関連：屋根カバー・屋根材注意記事。</t>
        </is>
      </c>
      <c r="AP42" s="5" t="inlineStr">
        <is>
          <t>H1なし／この記事でわかること／地域事情／事例／原因・費用／CTA／FAQ</t>
        </is>
      </c>
      <c r="AQ42" s="5" t="n"/>
    </row>
    <row r="43" ht="42.75" customHeight="1" s="24">
      <c r="A43" s="5" t="n">
        <v>42</v>
      </c>
      <c r="B43" s="5" t="inlineStr">
        <is>
          <t>ガルテクト デメリット</t>
        </is>
      </c>
      <c r="C43" s="5" t="inlineStr">
        <is>
          <t>ガルテクト デメリット</t>
        </is>
      </c>
      <c r="D43" s="5" t="inlineStr">
        <is>
          <t>ガルテクトのデメリットとは？屋根カバー前に知りたい注意点</t>
        </is>
      </c>
      <c r="E43" s="5" t="inlineStr">
        <is>
          <t>屋根修理・屋根材</t>
        </is>
      </c>
      <c r="F43" s="5" t="inlineStr">
        <is>
          <t>屋根材注意型</t>
        </is>
      </c>
      <c r="G43" s="5" t="inlineStr">
        <is>
          <t>建材・屋根材注意喚起型</t>
        </is>
      </c>
      <c r="H43" s="5" t="inlineStr">
        <is>
          <t>5,000〜7,000字</t>
        </is>
      </c>
      <c r="I43" s="5" t="n">
        <v>5000</v>
      </c>
      <c r="J43" s="5" t="n">
        <v>7000</v>
      </c>
      <c r="K43" s="5" t="inlineStr">
        <is>
          <t>高</t>
        </is>
      </c>
      <c r="L43" s="5" t="inlineStr">
        <is>
          <t>第2ロット：屋根修理・屋根材系</t>
        </is>
      </c>
      <c r="M43" s="5" t="inlineStr">
        <is>
          <t>042.md</t>
        </is>
      </c>
      <c r="N43" s="5" t="inlineStr">
        <is>
          <t>042.webp</t>
        </is>
      </c>
      <c r="O43" s="5" t="inlineStr">
        <is>
          <t>galtect-demerit</t>
        </is>
      </c>
      <c r="P43" s="5" t="inlineStr">
        <is>
          <t>ガルテクト デメリットについて、劣化症状、修理方法、費用目安、依頼前に確認したいポイントをわかりやすく解説します。</t>
        </is>
      </c>
      <c r="Q43" s="5" t="inlineStr">
        <is>
          <t>屋根修理</t>
        </is>
      </c>
      <c r="R43" s="5" t="inlineStr">
        <is>
          <t>屋根修理</t>
        </is>
      </c>
      <c r="S43" s="5" t="inlineStr">
        <is>
          <t>屋根無料点検・屋根修理</t>
        </is>
      </c>
      <c r="T43" s="5" t="inlineStr">
        <is>
          <t>屋根点検CTA</t>
        </is>
      </c>
      <c r="U43" s="5" t="inlineStr">
        <is>
          <t>屋根材・板金・瓦の状態を点検し、雨漏りリスクや修理方法を職人目線で確認します。</t>
        </is>
      </c>
      <c r="V43" s="5" t="inlineStr">
        <is>
          <t>ガルテクト デメリット</t>
        </is>
      </c>
      <c r="W43" s="5" t="inlineStr">
        <is>
          <t>雨漏り前に劣化を確認</t>
        </is>
      </c>
      <c r="X43" s="5" t="inlineStr">
        <is>
          <t>屋根点検・修理方法を解説</t>
        </is>
      </c>
      <c r="Y43" s="5" t="inlineStr">
        <is>
          <t>屋根材・瓦・板金・雨空</t>
        </is>
      </c>
      <c r="Z43" s="5" t="inlineStr">
        <is>
          <t>屋根を点検する職人</t>
        </is>
      </c>
      <c r="AA43" s="5" t="inlineStr">
        <is>
          <t>松山市版</t>
        </is>
      </c>
      <c r="AB43" s="5" t="inlineStr">
        <is>
          <t>屋根修理訴求</t>
        </is>
      </c>
      <c r="AC43" s="5" t="inlineStr">
        <is>
          <t>未着手</t>
        </is>
      </c>
      <c r="AD43" s="5" t="inlineStr">
        <is>
          <t>画像確認済み</t>
        </is>
      </c>
      <c r="AE43" s="5" t="inlineStr">
        <is>
          <t>未反映</t>
        </is>
      </c>
      <c r="AF43" s="5" t="inlineStr">
        <is>
          <t>posted</t>
        </is>
      </c>
      <c r="AG43" s="5" t="inlineStr">
        <is>
          <t>post/create_only</t>
        </is>
      </c>
      <c r="AH43" s="5" t="n">
        <v>22066</v>
      </c>
      <c r="AI43" s="5" t="inlineStr">
        <is>
          <t>https://www.sunadatosou.com/?p=22066</t>
        </is>
      </c>
      <c r="AJ43" s="29" t="inlineStr">
        <is>
          <t>2026-06-28 10:55:44</t>
        </is>
      </c>
      <c r="AK43" s="29" t="n"/>
      <c r="AL43" s="5" t="n">
        <v>4171</v>
      </c>
      <c r="AM43" s="5" t="inlineStr">
        <is>
          <t>不足(目安5,000〜7,000字)</t>
        </is>
      </c>
      <c r="AN43" s="5" t="n"/>
      <c r="AO43" s="5" t="inlineStr">
        <is>
          <t>中心記事「松山市の屋根修理」へリンク。関連：屋根カバー・屋根材注意記事。</t>
        </is>
      </c>
      <c r="AP43" s="5" t="inlineStr">
        <is>
          <t>H1なし／この記事でわかること／地域事情／事例／原因・費用／CTA／FAQ</t>
        </is>
      </c>
      <c r="AQ43" s="5" t="n"/>
    </row>
    <row r="44" ht="42.75" customHeight="1" s="24">
      <c r="A44" s="5" t="n">
        <v>43</v>
      </c>
      <c r="B44" s="5" t="inlineStr">
        <is>
          <t>ヴェルウッド デメリット</t>
        </is>
      </c>
      <c r="C44" s="5" t="inlineStr">
        <is>
          <t>ヴェルウッド デメリット</t>
        </is>
      </c>
      <c r="D44" s="5" t="inlineStr">
        <is>
          <t>ヴェルウッドのデメリットとは？屋根材選びで確認したいポイント</t>
        </is>
      </c>
      <c r="E44" s="5" t="inlineStr">
        <is>
          <t>屋根修理・屋根材</t>
        </is>
      </c>
      <c r="F44" s="5" t="inlineStr">
        <is>
          <t>屋根材注意型</t>
        </is>
      </c>
      <c r="G44" s="5" t="inlineStr">
        <is>
          <t>地域サービス型</t>
        </is>
      </c>
      <c r="H44" s="5" t="inlineStr">
        <is>
          <t>5,000〜7,000字</t>
        </is>
      </c>
      <c r="I44" s="5" t="n">
        <v>5000</v>
      </c>
      <c r="J44" s="5" t="n">
        <v>7000</v>
      </c>
      <c r="K44" s="5" t="inlineStr">
        <is>
          <t>高</t>
        </is>
      </c>
      <c r="L44" s="5" t="inlineStr">
        <is>
          <t>第2ロット：屋根修理・屋根材系</t>
        </is>
      </c>
      <c r="M44" s="5" t="inlineStr">
        <is>
          <t>043.md</t>
        </is>
      </c>
      <c r="N44" s="5" t="inlineStr">
        <is>
          <t>043.webp</t>
        </is>
      </c>
      <c r="O44" s="5" t="inlineStr">
        <is>
          <t>velwood-demerit</t>
        </is>
      </c>
      <c r="P44" s="5" t="inlineStr">
        <is>
          <t>ヴェルウッド デメリットについて、劣化症状、修理方法、費用目安、依頼前に確認したいポイントをわかりやすく解説します。</t>
        </is>
      </c>
      <c r="Q44" s="5" t="inlineStr">
        <is>
          <t>屋根修理</t>
        </is>
      </c>
      <c r="R44" s="5" t="inlineStr">
        <is>
          <t>屋根修理</t>
        </is>
      </c>
      <c r="S44" s="5" t="inlineStr">
        <is>
          <t>屋根無料点検・屋根修理</t>
        </is>
      </c>
      <c r="T44" s="5" t="inlineStr">
        <is>
          <t>屋根点検CTA</t>
        </is>
      </c>
      <c r="U44" s="5" t="inlineStr">
        <is>
          <t>屋根材・板金・瓦の状態を点検し、雨漏りリスクや修理方法を職人目線で確認します。</t>
        </is>
      </c>
      <c r="V44" s="5" t="inlineStr">
        <is>
          <t>ヴェルウッド デメリット</t>
        </is>
      </c>
      <c r="W44" s="5" t="inlineStr">
        <is>
          <t>雨漏り前に劣化を確認</t>
        </is>
      </c>
      <c r="X44" s="5" t="inlineStr">
        <is>
          <t>屋根点検・修理方法を解説</t>
        </is>
      </c>
      <c r="Y44" s="5" t="inlineStr">
        <is>
          <t>屋根材・瓦・板金・雨空</t>
        </is>
      </c>
      <c r="Z44" s="5" t="inlineStr">
        <is>
          <t>屋根を点検する職人</t>
        </is>
      </c>
      <c r="AA44" s="5" t="inlineStr">
        <is>
          <t>松山市版</t>
        </is>
      </c>
      <c r="AB44" s="5" t="inlineStr">
        <is>
          <t>屋根修理訴求</t>
        </is>
      </c>
      <c r="AC44" s="5" t="inlineStr">
        <is>
          <t>未着手</t>
        </is>
      </c>
      <c r="AD44" s="5" t="inlineStr">
        <is>
          <t>画像確認済み</t>
        </is>
      </c>
      <c r="AE44" s="5" t="inlineStr">
        <is>
          <t>未反映</t>
        </is>
      </c>
      <c r="AF44" s="5" t="inlineStr">
        <is>
          <t>posted</t>
        </is>
      </c>
      <c r="AG44" s="5" t="inlineStr">
        <is>
          <t>post/create_only</t>
        </is>
      </c>
      <c r="AH44" s="5" t="n">
        <v>22005</v>
      </c>
      <c r="AI44" s="5" t="inlineStr">
        <is>
          <t>https://www.sunadatosou.com/?p=22005</t>
        </is>
      </c>
      <c r="AJ44" s="29" t="inlineStr">
        <is>
          <t>2026-06-27 17:14:31</t>
        </is>
      </c>
      <c r="AK44" s="29" t="n"/>
      <c r="AL44" s="5" t="n">
        <v>4169</v>
      </c>
      <c r="AM44" s="5" t="inlineStr">
        <is>
          <t>不足(目安5,000〜7,000字)</t>
        </is>
      </c>
      <c r="AN44" s="5" t="n"/>
      <c r="AO44" s="5" t="inlineStr">
        <is>
          <t>中心記事「松山市の屋根修理」へリンク。関連：屋根カバー・屋根材注意記事。</t>
        </is>
      </c>
      <c r="AP44" s="5" t="inlineStr">
        <is>
          <t>H1なし／この記事でわかること／地域事情／事例／原因・費用／CTA／FAQ</t>
        </is>
      </c>
      <c r="AQ44" s="5" t="n"/>
    </row>
    <row r="45" ht="42.75" customHeight="1" s="24">
      <c r="A45" s="5" t="n">
        <v>44</v>
      </c>
      <c r="B45" s="5" t="inlineStr">
        <is>
          <t>パミール 屋根 対策</t>
        </is>
      </c>
      <c r="C45" s="5" t="inlineStr">
        <is>
          <t>パミール 屋根 対策</t>
        </is>
      </c>
      <c r="D45" s="5" t="inlineStr">
        <is>
          <t>パミール屋根の対策とは？塗装できない理由と修理方法を解説</t>
        </is>
      </c>
      <c r="E45" s="5" t="inlineStr">
        <is>
          <t>屋根修理・屋根材</t>
        </is>
      </c>
      <c r="F45" s="5" t="inlineStr">
        <is>
          <t>屋根材注意型</t>
        </is>
      </c>
      <c r="G45" s="5" t="inlineStr">
        <is>
          <t>建材・屋根材注意喚起型</t>
        </is>
      </c>
      <c r="H45" s="5" t="inlineStr">
        <is>
          <t>5,000〜7,000字</t>
        </is>
      </c>
      <c r="I45" s="5" t="n">
        <v>5000</v>
      </c>
      <c r="J45" s="5" t="n">
        <v>7000</v>
      </c>
      <c r="K45" s="5" t="inlineStr">
        <is>
          <t>高</t>
        </is>
      </c>
      <c r="L45" s="5" t="inlineStr">
        <is>
          <t>第2ロット：屋根修理・屋根材系</t>
        </is>
      </c>
      <c r="M45" s="5" t="inlineStr">
        <is>
          <t>044.md</t>
        </is>
      </c>
      <c r="N45" s="5" t="inlineStr">
        <is>
          <t>044.webp</t>
        </is>
      </c>
      <c r="O45" s="5" t="inlineStr">
        <is>
          <t>pamir-roof-countermeasure</t>
        </is>
      </c>
      <c r="P45" s="5" t="inlineStr">
        <is>
          <t>パミール 屋根 対策について、劣化症状、修理方法、費用目安、依頼前に確認したいポイントをわかりやすく解説します。</t>
        </is>
      </c>
      <c r="Q45" s="5" t="inlineStr">
        <is>
          <t>屋根修理</t>
        </is>
      </c>
      <c r="R45" s="5" t="inlineStr">
        <is>
          <t>屋根修理</t>
        </is>
      </c>
      <c r="S45" s="5" t="inlineStr">
        <is>
          <t>屋根無料点検・屋根修理</t>
        </is>
      </c>
      <c r="T45" s="5" t="inlineStr">
        <is>
          <t>屋根点検CTA</t>
        </is>
      </c>
      <c r="U45" s="5" t="inlineStr">
        <is>
          <t>屋根材・板金・瓦の状態を点検し、雨漏りリスクや修理方法を職人目線で確認します。</t>
        </is>
      </c>
      <c r="V45" s="5" t="inlineStr">
        <is>
          <t>パミール 屋根 対策</t>
        </is>
      </c>
      <c r="W45" s="5" t="inlineStr">
        <is>
          <t>雨漏り前に劣化を確認</t>
        </is>
      </c>
      <c r="X45" s="5" t="inlineStr">
        <is>
          <t>屋根点検・修理方法を解説</t>
        </is>
      </c>
      <c r="Y45" s="5" t="inlineStr">
        <is>
          <t>屋根材・瓦・板金・雨空</t>
        </is>
      </c>
      <c r="Z45" s="5" t="inlineStr">
        <is>
          <t>屋根を点検する職人</t>
        </is>
      </c>
      <c r="AA45" s="5" t="inlineStr">
        <is>
          <t>松山市版</t>
        </is>
      </c>
      <c r="AB45" s="5" t="inlineStr">
        <is>
          <t>屋根修理訴求</t>
        </is>
      </c>
      <c r="AC45" s="5" t="inlineStr">
        <is>
          <t>未着手</t>
        </is>
      </c>
      <c r="AD45" s="5" t="inlineStr">
        <is>
          <t>画像確認済み</t>
        </is>
      </c>
      <c r="AE45" s="5" t="inlineStr">
        <is>
          <t>未反映</t>
        </is>
      </c>
      <c r="AF45" s="5" t="inlineStr">
        <is>
          <t>posted</t>
        </is>
      </c>
      <c r="AG45" s="5" t="inlineStr">
        <is>
          <t>post/create_only</t>
        </is>
      </c>
      <c r="AH45" s="5" t="n">
        <v>22007</v>
      </c>
      <c r="AI45" s="5" t="inlineStr">
        <is>
          <t>https://www.sunadatosou.com/?p=22007</t>
        </is>
      </c>
      <c r="AJ45" s="29" t="inlineStr">
        <is>
          <t>2026-06-27 17:14:39</t>
        </is>
      </c>
      <c r="AK45" s="29" t="n"/>
      <c r="AL45" s="5" t="n">
        <v>4148</v>
      </c>
      <c r="AM45" s="5" t="inlineStr">
        <is>
          <t>不足(目安5,000〜7,000字)</t>
        </is>
      </c>
      <c r="AN45" s="5" t="n"/>
      <c r="AO45" s="5" t="inlineStr">
        <is>
          <t>中心記事「松山市の屋根修理」へリンク。関連：屋根カバー・屋根材注意記事。</t>
        </is>
      </c>
      <c r="AP45" s="5" t="inlineStr">
        <is>
          <t>H1なし／この記事でわかること／地域事情／事例／原因・費用／CTA／FAQ</t>
        </is>
      </c>
      <c r="AQ45" s="5" t="n"/>
    </row>
    <row r="46" ht="42.75" customHeight="1" s="24">
      <c r="A46" s="5" t="n">
        <v>45</v>
      </c>
      <c r="B46" s="5" t="inlineStr">
        <is>
          <t>コロニアルNEO 雨漏り</t>
        </is>
      </c>
      <c r="C46" s="5" t="inlineStr">
        <is>
          <t>コロニアルNEO 雨漏り</t>
        </is>
      </c>
      <c r="D46" s="5" t="inlineStr">
        <is>
          <t>コロニアルNEOは雨漏りしやすい？劣化症状と対策を解説</t>
        </is>
      </c>
      <c r="E46" s="5" t="inlineStr">
        <is>
          <t>屋根修理・屋根材</t>
        </is>
      </c>
      <c r="F46" s="5" t="inlineStr">
        <is>
          <t>屋根材注意型</t>
        </is>
      </c>
      <c r="G46" s="5" t="inlineStr">
        <is>
          <t>建材・屋根材注意喚起型</t>
        </is>
      </c>
      <c r="H46" s="5" t="inlineStr">
        <is>
          <t>5,000〜7,000字</t>
        </is>
      </c>
      <c r="I46" s="5" t="n">
        <v>5000</v>
      </c>
      <c r="J46" s="5" t="n">
        <v>7000</v>
      </c>
      <c r="K46" s="5" t="inlineStr">
        <is>
          <t>高</t>
        </is>
      </c>
      <c r="L46" s="5" t="inlineStr">
        <is>
          <t>第2ロット：屋根修理・屋根材系</t>
        </is>
      </c>
      <c r="M46" s="5" t="inlineStr">
        <is>
          <t>045.md</t>
        </is>
      </c>
      <c r="N46" s="5" t="inlineStr">
        <is>
          <t>045.webp</t>
        </is>
      </c>
      <c r="O46" s="5" t="inlineStr">
        <is>
          <t>colonial-neo-leak</t>
        </is>
      </c>
      <c r="P46" s="5" t="inlineStr">
        <is>
          <t>コロニアルNEO 雨漏りについて、劣化症状、修理方法、費用目安、依頼前に確認したいポイントをわかりやすく解説します。</t>
        </is>
      </c>
      <c r="Q46" s="5" t="inlineStr">
        <is>
          <t>屋根修理</t>
        </is>
      </c>
      <c r="R46" s="5" t="inlineStr">
        <is>
          <t>雨漏り、屋根修理</t>
        </is>
      </c>
      <c r="S46" s="5" t="inlineStr">
        <is>
          <t>雨漏り無料点検・無料見積り</t>
        </is>
      </c>
      <c r="T46" s="5" t="inlineStr">
        <is>
          <t>雨漏り無料点検CTA</t>
        </is>
      </c>
      <c r="U46" s="5" t="inlineStr">
        <is>
          <t>松山市で雨漏りが気になる方は、まずは無料点検・無料見積りをご利用ください。原因を確認し、必要な工事だけをご提案します。</t>
        </is>
      </c>
      <c r="V46" s="5" t="inlineStr">
        <is>
          <t>コロニアルNEO 雨漏り</t>
        </is>
      </c>
      <c r="W46" s="5" t="inlineStr">
        <is>
          <t>雨漏り前に劣化を確認</t>
        </is>
      </c>
      <c r="X46" s="5" t="inlineStr">
        <is>
          <t>屋根点検・修理方法を解説</t>
        </is>
      </c>
      <c r="Y46" s="5" t="inlineStr">
        <is>
          <t>屋根材・瓦・板金・雨空</t>
        </is>
      </c>
      <c r="Z46" s="5" t="inlineStr">
        <is>
          <t>屋根を点検する職人</t>
        </is>
      </c>
      <c r="AA46" s="5" t="inlineStr">
        <is>
          <t>松山市版</t>
        </is>
      </c>
      <c r="AB46" s="5" t="inlineStr">
        <is>
          <t>屋根修理訴求</t>
        </is>
      </c>
      <c r="AC46" s="5" t="inlineStr">
        <is>
          <t>未着手</t>
        </is>
      </c>
      <c r="AD46" s="5" t="inlineStr">
        <is>
          <t>画像確認済み</t>
        </is>
      </c>
      <c r="AE46" s="5" t="inlineStr">
        <is>
          <t>未反映</t>
        </is>
      </c>
      <c r="AF46" s="5" t="inlineStr">
        <is>
          <t>posted</t>
        </is>
      </c>
      <c r="AG46" s="5" t="inlineStr">
        <is>
          <t>post/create_only</t>
        </is>
      </c>
      <c r="AH46" s="5" t="n">
        <v>22009</v>
      </c>
      <c r="AI46" s="5" t="inlineStr">
        <is>
          <t>https://www.sunadatosou.com/?p=22009</t>
        </is>
      </c>
      <c r="AJ46" s="29" t="inlineStr">
        <is>
          <t>2026-06-27 17:14:47</t>
        </is>
      </c>
      <c r="AK46" s="29" t="n"/>
      <c r="AL46" s="5" t="n">
        <v>4178</v>
      </c>
      <c r="AM46" s="5" t="inlineStr">
        <is>
          <t>不足(目安5,000〜7,000字)</t>
        </is>
      </c>
      <c r="AN46" s="5" t="n"/>
      <c r="AO46" s="5" t="inlineStr">
        <is>
          <t>中心記事「松山市の屋根修理」へリンク。関連：屋根カバー・屋根材注意記事。</t>
        </is>
      </c>
      <c r="AP46" s="5" t="inlineStr">
        <is>
          <t>H1なし／この記事でわかること／地域事情／事例／原因・費用／CTA／FAQ</t>
        </is>
      </c>
      <c r="AQ46" s="5" t="n"/>
    </row>
    <row r="47" ht="42.75" customHeight="1" s="24">
      <c r="A47" s="5" t="n">
        <v>46</v>
      </c>
      <c r="B47" s="5" t="inlineStr">
        <is>
          <t>アーバニー 屋根 修理</t>
        </is>
      </c>
      <c r="C47" s="5" t="inlineStr">
        <is>
          <t>アーバニー 屋根 修理</t>
        </is>
      </c>
      <c r="D47" s="5" t="inlineStr">
        <is>
          <t>アーバニー屋根の修理方法｜割れ・剥がれ・雨漏り対策</t>
        </is>
      </c>
      <c r="E47" s="5" t="inlineStr">
        <is>
          <t>屋根修理・屋根材</t>
        </is>
      </c>
      <c r="F47" s="5" t="inlineStr">
        <is>
          <t>屋根材注意型</t>
        </is>
      </c>
      <c r="G47" s="5" t="inlineStr">
        <is>
          <t>建材・屋根材注意喚起型</t>
        </is>
      </c>
      <c r="H47" s="5" t="inlineStr">
        <is>
          <t>5,000〜7,000字</t>
        </is>
      </c>
      <c r="I47" s="5" t="n">
        <v>5000</v>
      </c>
      <c r="J47" s="5" t="n">
        <v>7000</v>
      </c>
      <c r="K47" s="5" t="inlineStr">
        <is>
          <t>高</t>
        </is>
      </c>
      <c r="L47" s="5" t="inlineStr">
        <is>
          <t>第2ロット：屋根修理・屋根材系</t>
        </is>
      </c>
      <c r="M47" s="5" t="inlineStr">
        <is>
          <t>046.md</t>
        </is>
      </c>
      <c r="N47" s="5" t="inlineStr">
        <is>
          <t>046.webp</t>
        </is>
      </c>
      <c r="O47" s="5" t="inlineStr">
        <is>
          <t>urbany-roof-repair</t>
        </is>
      </c>
      <c r="P47" s="5" t="inlineStr">
        <is>
          <t>アーバニー 屋根 修理について、劣化症状、修理方法、費用目安、依頼前に確認したいポイントをわかりやすく解説します。</t>
        </is>
      </c>
      <c r="Q47" s="5" t="inlineStr">
        <is>
          <t>屋根修理</t>
        </is>
      </c>
      <c r="R47" s="5" t="inlineStr">
        <is>
          <t>屋根修理</t>
        </is>
      </c>
      <c r="S47" s="5" t="inlineStr">
        <is>
          <t>屋根無料点検・屋根修理</t>
        </is>
      </c>
      <c r="T47" s="5" t="inlineStr">
        <is>
          <t>屋根点検CTA</t>
        </is>
      </c>
      <c r="U47" s="5" t="inlineStr">
        <is>
          <t>屋根材・板金・瓦の状態を点検し、雨漏りリスクや修理方法を職人目線で確認します。</t>
        </is>
      </c>
      <c r="V47" s="5" t="inlineStr">
        <is>
          <t>アーバニー 屋根 修理</t>
        </is>
      </c>
      <c r="W47" s="5" t="inlineStr">
        <is>
          <t>雨漏り前に劣化を確認</t>
        </is>
      </c>
      <c r="X47" s="5" t="inlineStr">
        <is>
          <t>屋根点検・修理方法を解説</t>
        </is>
      </c>
      <c r="Y47" s="5" t="inlineStr">
        <is>
          <t>屋根材・瓦・板金・雨空</t>
        </is>
      </c>
      <c r="Z47" s="5" t="inlineStr">
        <is>
          <t>屋根を点検する職人</t>
        </is>
      </c>
      <c r="AA47" s="5" t="inlineStr">
        <is>
          <t>松山市版</t>
        </is>
      </c>
      <c r="AB47" s="5" t="inlineStr">
        <is>
          <t>屋根修理訴求</t>
        </is>
      </c>
      <c r="AC47" s="5" t="inlineStr">
        <is>
          <t>未着手</t>
        </is>
      </c>
      <c r="AD47" s="5" t="inlineStr">
        <is>
          <t>画像確認済み</t>
        </is>
      </c>
      <c r="AE47" s="5" t="inlineStr">
        <is>
          <t>未反映</t>
        </is>
      </c>
      <c r="AF47" s="5" t="inlineStr">
        <is>
          <t>posted</t>
        </is>
      </c>
      <c r="AG47" s="5" t="inlineStr">
        <is>
          <t>post/create_only</t>
        </is>
      </c>
      <c r="AH47" s="5" t="n">
        <v>22011</v>
      </c>
      <c r="AI47" s="5" t="inlineStr">
        <is>
          <t>https://www.sunadatosou.com/?p=22011</t>
        </is>
      </c>
      <c r="AJ47" s="29" t="inlineStr">
        <is>
          <t>2026-06-27 17:14:55</t>
        </is>
      </c>
      <c r="AK47" s="29" t="n"/>
      <c r="AL47" s="5" t="n">
        <v>4158</v>
      </c>
      <c r="AM47" s="5" t="inlineStr">
        <is>
          <t>不足(目安5,000〜7,000字)</t>
        </is>
      </c>
      <c r="AN47" s="5" t="n"/>
      <c r="AO47" s="5" t="inlineStr">
        <is>
          <t>中心記事「松山市の屋根修理」へリンク。関連：屋根カバー・屋根材注意記事。</t>
        </is>
      </c>
      <c r="AP47" s="5" t="inlineStr">
        <is>
          <t>H1なし／この記事でわかること／地域事情／事例／原因・費用／CTA／FAQ</t>
        </is>
      </c>
      <c r="AQ47" s="5" t="n"/>
    </row>
    <row r="48" ht="42.75" customHeight="1" s="24">
      <c r="A48" s="5" t="n">
        <v>47</v>
      </c>
      <c r="B48" s="5" t="inlineStr">
        <is>
          <t>セキスイかわらU 修理</t>
        </is>
      </c>
      <c r="C48" s="5" t="inlineStr">
        <is>
          <t>セキスイかわらU 修理</t>
        </is>
      </c>
      <c r="D48" s="5" t="inlineStr">
        <is>
          <t>セキスイかわらUの修理はどうする？塗装前に知るべき注意点</t>
        </is>
      </c>
      <c r="E48" s="5" t="inlineStr">
        <is>
          <t>屋根修理・屋根材</t>
        </is>
      </c>
      <c r="F48" s="5" t="inlineStr">
        <is>
          <t>屋根材注意型</t>
        </is>
      </c>
      <c r="G48" s="5" t="inlineStr">
        <is>
          <t>建材・屋根材注意喚起型</t>
        </is>
      </c>
      <c r="H48" s="5" t="inlineStr">
        <is>
          <t>5,000〜7,000字</t>
        </is>
      </c>
      <c r="I48" s="5" t="n">
        <v>5000</v>
      </c>
      <c r="J48" s="5" t="n">
        <v>7000</v>
      </c>
      <c r="K48" s="5" t="inlineStr">
        <is>
          <t>高</t>
        </is>
      </c>
      <c r="L48" s="5" t="inlineStr">
        <is>
          <t>第2ロット：屋根修理・屋根材系</t>
        </is>
      </c>
      <c r="M48" s="5" t="inlineStr">
        <is>
          <t>047.md</t>
        </is>
      </c>
      <c r="N48" s="5" t="inlineStr">
        <is>
          <t>047.webp</t>
        </is>
      </c>
      <c r="O48" s="5" t="inlineStr">
        <is>
          <t>sekisui-kawara-u-repair</t>
        </is>
      </c>
      <c r="P48" s="5" t="inlineStr">
        <is>
          <t>セキスイかわらU 修理について、劣化症状、修理方法、費用目安、依頼前に確認したいポイントをわかりやすく解説します。</t>
        </is>
      </c>
      <c r="Q48" s="5" t="inlineStr">
        <is>
          <t>屋根修理</t>
        </is>
      </c>
      <c r="R48" s="5" t="inlineStr">
        <is>
          <t>屋根修理</t>
        </is>
      </c>
      <c r="S48" s="5" t="inlineStr">
        <is>
          <t>屋根無料点検・屋根修理</t>
        </is>
      </c>
      <c r="T48" s="5" t="inlineStr">
        <is>
          <t>屋根点検CTA</t>
        </is>
      </c>
      <c r="U48" s="5" t="inlineStr">
        <is>
          <t>屋根材・板金・瓦の状態を点検し、雨漏りリスクや修理方法を職人目線で確認します。</t>
        </is>
      </c>
      <c r="V48" s="5" t="inlineStr">
        <is>
          <t>セキスイかわらU 修理</t>
        </is>
      </c>
      <c r="W48" s="5" t="inlineStr">
        <is>
          <t>雨漏り前に劣化を確認</t>
        </is>
      </c>
      <c r="X48" s="5" t="inlineStr">
        <is>
          <t>屋根点検・修理方法を解説</t>
        </is>
      </c>
      <c r="Y48" s="5" t="inlineStr">
        <is>
          <t>屋根材・瓦・板金・雨空</t>
        </is>
      </c>
      <c r="Z48" s="5" t="inlineStr">
        <is>
          <t>屋根を点検する職人</t>
        </is>
      </c>
      <c r="AA48" s="5" t="inlineStr">
        <is>
          <t>松山市版</t>
        </is>
      </c>
      <c r="AB48" s="5" t="inlineStr">
        <is>
          <t>屋根修理訴求</t>
        </is>
      </c>
      <c r="AC48" s="5" t="inlineStr">
        <is>
          <t>未着手</t>
        </is>
      </c>
      <c r="AD48" s="5" t="inlineStr">
        <is>
          <t>画像確認済み</t>
        </is>
      </c>
      <c r="AE48" s="5" t="inlineStr">
        <is>
          <t>未反映</t>
        </is>
      </c>
      <c r="AF48" s="5" t="inlineStr">
        <is>
          <t>posted</t>
        </is>
      </c>
      <c r="AG48" s="5" t="inlineStr">
        <is>
          <t>post/create_only</t>
        </is>
      </c>
      <c r="AH48" s="5" t="n">
        <v>22013</v>
      </c>
      <c r="AI48" s="5" t="inlineStr">
        <is>
          <t>https://www.sunadatosou.com/?p=22013</t>
        </is>
      </c>
      <c r="AJ48" s="29" t="inlineStr">
        <is>
          <t>2026-06-27 17:15:06</t>
        </is>
      </c>
      <c r="AK48" s="29" t="n"/>
      <c r="AL48" s="5" t="n">
        <v>4175</v>
      </c>
      <c r="AM48" s="5" t="inlineStr">
        <is>
          <t>不足(目安5,000〜7,000字)</t>
        </is>
      </c>
      <c r="AN48" s="5" t="n"/>
      <c r="AO48" s="5" t="inlineStr">
        <is>
          <t>中心記事「松山市の屋根修理」へリンク。関連：屋根カバー・屋根材注意記事。</t>
        </is>
      </c>
      <c r="AP48" s="5" t="inlineStr">
        <is>
          <t>H1なし／この記事でわかること／地域事情／事例／原因・費用／CTA／FAQ</t>
        </is>
      </c>
      <c r="AQ48" s="5" t="n"/>
    </row>
    <row r="49" ht="42.75" customHeight="1" s="24">
      <c r="A49" s="5" t="n">
        <v>48</v>
      </c>
      <c r="B49" s="5" t="inlineStr">
        <is>
          <t>モニエル瓦 塗装</t>
        </is>
      </c>
      <c r="C49" s="5" t="inlineStr">
        <is>
          <t>モニエル瓦 塗装</t>
        </is>
      </c>
      <c r="D49" s="5" t="inlineStr">
        <is>
          <t>モニエル瓦の塗装は難しい？特徴・注意点・業者選びを解説</t>
        </is>
      </c>
      <c r="E49" s="5" t="inlineStr">
        <is>
          <t>屋根修理・屋根材</t>
        </is>
      </c>
      <c r="F49" s="5" t="inlineStr">
        <is>
          <t>屋根材注意型</t>
        </is>
      </c>
      <c r="G49" s="5" t="inlineStr">
        <is>
          <t>地域サービス型</t>
        </is>
      </c>
      <c r="H49" s="5" t="inlineStr">
        <is>
          <t>5,000〜7,000字</t>
        </is>
      </c>
      <c r="I49" s="5" t="n">
        <v>5000</v>
      </c>
      <c r="J49" s="5" t="n">
        <v>7000</v>
      </c>
      <c r="K49" s="5" t="inlineStr">
        <is>
          <t>高</t>
        </is>
      </c>
      <c r="L49" s="5" t="inlineStr">
        <is>
          <t>第2ロット：屋根修理・屋根材系</t>
        </is>
      </c>
      <c r="M49" s="5" t="inlineStr">
        <is>
          <t>048.md</t>
        </is>
      </c>
      <c r="N49" s="5" t="inlineStr">
        <is>
          <t>048.webp</t>
        </is>
      </c>
      <c r="O49" s="5" t="inlineStr">
        <is>
          <t>monier-tile-paint</t>
        </is>
      </c>
      <c r="P49" s="5" t="inlineStr">
        <is>
          <t>モニエル瓦 塗装について、劣化症状、修理方法、費用目安、依頼前に確認したいポイントをわかりやすく解説します。</t>
        </is>
      </c>
      <c r="Q49" s="5" t="inlineStr">
        <is>
          <t>屋根修理</t>
        </is>
      </c>
      <c r="R49" s="5" t="inlineStr">
        <is>
          <t>屋根修理</t>
        </is>
      </c>
      <c r="S49" s="5" t="inlineStr">
        <is>
          <t>屋根無料点検・屋根修理</t>
        </is>
      </c>
      <c r="T49" s="5" t="inlineStr">
        <is>
          <t>屋根点検CTA</t>
        </is>
      </c>
      <c r="U49" s="5" t="inlineStr">
        <is>
          <t>屋根材・板金・瓦の状態を点検し、雨漏りリスクや修理方法を職人目線で確認します。</t>
        </is>
      </c>
      <c r="V49" s="5" t="inlineStr">
        <is>
          <t>モニエル瓦 塗装</t>
        </is>
      </c>
      <c r="W49" s="5" t="inlineStr">
        <is>
          <t>雨漏り前に劣化を確認</t>
        </is>
      </c>
      <c r="X49" s="5" t="inlineStr">
        <is>
          <t>屋根点検・修理方法を解説</t>
        </is>
      </c>
      <c r="Y49" s="5" t="inlineStr">
        <is>
          <t>屋根材・瓦・板金・雨空</t>
        </is>
      </c>
      <c r="Z49" s="5" t="inlineStr">
        <is>
          <t>屋根を点検する職人</t>
        </is>
      </c>
      <c r="AA49" s="5" t="inlineStr">
        <is>
          <t>松山市版</t>
        </is>
      </c>
      <c r="AB49" s="5" t="inlineStr">
        <is>
          <t>屋根修理訴求</t>
        </is>
      </c>
      <c r="AC49" s="5" t="inlineStr">
        <is>
          <t>未着手</t>
        </is>
      </c>
      <c r="AD49" s="5" t="inlineStr">
        <is>
          <t>画像確認済み</t>
        </is>
      </c>
      <c r="AE49" s="5" t="inlineStr">
        <is>
          <t>未反映</t>
        </is>
      </c>
      <c r="AF49" s="5" t="inlineStr">
        <is>
          <t>posted</t>
        </is>
      </c>
      <c r="AG49" s="5" t="inlineStr">
        <is>
          <t>post/create_only</t>
        </is>
      </c>
      <c r="AH49" s="5" t="n">
        <v>22015</v>
      </c>
      <c r="AI49" s="5" t="inlineStr">
        <is>
          <t>https://www.sunadatosou.com/?p=22015</t>
        </is>
      </c>
      <c r="AJ49" s="29" t="inlineStr">
        <is>
          <t>2026-06-27 17:15:18</t>
        </is>
      </c>
      <c r="AK49" s="29" t="n"/>
      <c r="AL49" s="5" t="n">
        <v>4171</v>
      </c>
      <c r="AM49" s="5" t="inlineStr">
        <is>
          <t>不足(目安5,000〜7,000字)</t>
        </is>
      </c>
      <c r="AN49" s="5" t="n"/>
      <c r="AO49" s="5" t="inlineStr">
        <is>
          <t>中心記事「松山市の屋根修理」へリンク。関連：屋根カバー・屋根材注意記事。</t>
        </is>
      </c>
      <c r="AP49" s="5" t="inlineStr">
        <is>
          <t>H1なし／この記事でわかること／地域事情／事例／原因・費用／CTA／FAQ</t>
        </is>
      </c>
      <c r="AQ49" s="5" t="n"/>
    </row>
    <row r="50" ht="42.75" customHeight="1" s="24">
      <c r="A50" s="5" t="n">
        <v>49</v>
      </c>
      <c r="B50" s="5" t="inlineStr">
        <is>
          <t>屋根塗装しない方がいい屋根</t>
        </is>
      </c>
      <c r="C50" s="5" t="inlineStr">
        <is>
          <t>屋根塗装しない方がいい屋根</t>
        </is>
      </c>
      <c r="D50" s="5" t="inlineStr">
        <is>
          <t>屋根塗装しない方がいい屋根とは？塗装できない屋根材と対策</t>
        </is>
      </c>
      <c r="E50" s="5" t="inlineStr">
        <is>
          <t>屋根修理・屋根材</t>
        </is>
      </c>
      <c r="F50" s="5" t="inlineStr">
        <is>
          <t>屋根材注意型</t>
        </is>
      </c>
      <c r="G50" s="5" t="inlineStr">
        <is>
          <t>地域サービス型</t>
        </is>
      </c>
      <c r="H50" s="5" t="inlineStr">
        <is>
          <t>5,000〜7,000字</t>
        </is>
      </c>
      <c r="I50" s="5" t="n">
        <v>5000</v>
      </c>
      <c r="J50" s="5" t="n">
        <v>7000</v>
      </c>
      <c r="K50" s="5" t="inlineStr">
        <is>
          <t>高</t>
        </is>
      </c>
      <c r="L50" s="5" t="inlineStr">
        <is>
          <t>第2ロット：屋根修理・屋根材系</t>
        </is>
      </c>
      <c r="M50" s="5" t="inlineStr">
        <is>
          <t>049.md</t>
        </is>
      </c>
      <c r="N50" s="5" t="inlineStr">
        <is>
          <t>049.webp</t>
        </is>
      </c>
      <c r="O50" s="5" t="inlineStr">
        <is>
          <t>roof-not-suitable-for-painting</t>
        </is>
      </c>
      <c r="P50" s="5" t="inlineStr">
        <is>
          <t>屋根塗装しない方がいい屋根について、劣化症状、修理方法、費用目安、依頼前に確認したいポイントをわかりやすく解説します。</t>
        </is>
      </c>
      <c r="Q50" s="5" t="inlineStr">
        <is>
          <t>屋根修理</t>
        </is>
      </c>
      <c r="R50" s="5" t="inlineStr">
        <is>
          <t>屋根修理</t>
        </is>
      </c>
      <c r="S50" s="5" t="inlineStr">
        <is>
          <t>屋根無料点検・屋根修理</t>
        </is>
      </c>
      <c r="T50" s="5" t="inlineStr">
        <is>
          <t>屋根点検CTA</t>
        </is>
      </c>
      <c r="U50" s="5" t="inlineStr">
        <is>
          <t>屋根材・板金・瓦の状態を点検し、雨漏りリスクや修理方法を職人目線で確認します。</t>
        </is>
      </c>
      <c r="V50" s="5" t="inlineStr">
        <is>
          <t>屋根塗装しない方がいい屋根</t>
        </is>
      </c>
      <c r="W50" s="5" t="inlineStr">
        <is>
          <t>雨漏り前に劣化を確認</t>
        </is>
      </c>
      <c r="X50" s="5" t="inlineStr">
        <is>
          <t>屋根点検・修理方法を解説</t>
        </is>
      </c>
      <c r="Y50" s="5" t="inlineStr">
        <is>
          <t>屋根材・瓦・板金・雨空</t>
        </is>
      </c>
      <c r="Z50" s="5" t="inlineStr">
        <is>
          <t>屋根を点検する職人</t>
        </is>
      </c>
      <c r="AA50" s="5" t="inlineStr">
        <is>
          <t>松山市版</t>
        </is>
      </c>
      <c r="AB50" s="5" t="inlineStr">
        <is>
          <t>屋根修理訴求</t>
        </is>
      </c>
      <c r="AC50" s="5" t="inlineStr">
        <is>
          <t>未着手</t>
        </is>
      </c>
      <c r="AD50" s="5" t="inlineStr">
        <is>
          <t>画像確認済み</t>
        </is>
      </c>
      <c r="AE50" s="5" t="inlineStr">
        <is>
          <t>未反映</t>
        </is>
      </c>
      <c r="AF50" s="5" t="inlineStr">
        <is>
          <t>posted</t>
        </is>
      </c>
      <c r="AG50" s="5" t="inlineStr">
        <is>
          <t>post/create_only</t>
        </is>
      </c>
      <c r="AH50" s="5" t="n">
        <v>22017</v>
      </c>
      <c r="AI50" s="5" t="inlineStr">
        <is>
          <t>https://www.sunadatosou.com/?p=22017</t>
        </is>
      </c>
      <c r="AJ50" s="29" t="inlineStr">
        <is>
          <t>2026-06-27 17:15:29</t>
        </is>
      </c>
      <c r="AK50" s="29" t="n"/>
      <c r="AL50" s="5" t="n">
        <v>4211</v>
      </c>
      <c r="AM50" s="5" t="inlineStr">
        <is>
          <t>不足(目安5,000〜7,000字)</t>
        </is>
      </c>
      <c r="AN50" s="5" t="n"/>
      <c r="AO50" s="5" t="inlineStr">
        <is>
          <t>中心記事「松山市の屋根修理」へリンク。関連：屋根カバー・屋根材注意記事。</t>
        </is>
      </c>
      <c r="AP50" s="5" t="inlineStr">
        <is>
          <t>H1なし／この記事でわかること／地域事情／事例／原因・費用／CTA／FAQ</t>
        </is>
      </c>
      <c r="AQ50" s="5" t="n"/>
    </row>
    <row r="51" ht="42.75" customHeight="1" s="24">
      <c r="A51" s="5" t="n">
        <v>50</v>
      </c>
      <c r="B51" s="5" t="inlineStr">
        <is>
          <t>外壁塗装と防水工事</t>
        </is>
      </c>
      <c r="C51" s="5" t="inlineStr">
        <is>
          <t>外壁塗装と防水工事</t>
        </is>
      </c>
      <c r="D51" s="5" t="inlineStr">
        <is>
          <t>外壁塗装と防水工事は同時にできる？違い・費用・注意点</t>
        </is>
      </c>
      <c r="E51" s="5" t="inlineStr">
        <is>
          <t>防水・シーリング</t>
        </is>
      </c>
      <c r="F51" s="5" t="inlineStr">
        <is>
          <t>防水・シーリング型</t>
        </is>
      </c>
      <c r="G51" s="5" t="inlineStr">
        <is>
          <t>地域サービス型</t>
        </is>
      </c>
      <c r="H51" s="5" t="inlineStr">
        <is>
          <t>4,500〜6,000字</t>
        </is>
      </c>
      <c r="I51" s="5" t="n">
        <v>4500</v>
      </c>
      <c r="J51" s="5" t="n">
        <v>6000</v>
      </c>
      <c r="K51" s="5" t="inlineStr">
        <is>
          <t>中</t>
        </is>
      </c>
      <c r="L51" s="5" t="inlineStr">
        <is>
          <t>第3ロット：外壁塗装・防水系</t>
        </is>
      </c>
      <c r="M51" s="5" t="inlineStr">
        <is>
          <t>050.md</t>
        </is>
      </c>
      <c r="N51" s="5" t="inlineStr">
        <is>
          <t>050.webp</t>
        </is>
      </c>
      <c r="O51" s="5" t="inlineStr">
        <is>
          <t>exterior-paint-waterproofing</t>
        </is>
      </c>
      <c r="P51" s="5" t="inlineStr">
        <is>
          <t>外壁塗装と防水工事について、工事内容、耐用年数、費用目安、雨漏りを防ぐための注意点をわかりやすく解説します。</t>
        </is>
      </c>
      <c r="Q51" s="5" t="inlineStr">
        <is>
          <t>防水・シーリング</t>
        </is>
      </c>
      <c r="R51" s="5" t="inlineStr">
        <is>
          <t>外壁塗装、防水、防水・シーリング</t>
        </is>
      </c>
      <c r="S51" s="5" t="inlineStr">
        <is>
          <t>防水工事・シーリング工事</t>
        </is>
      </c>
      <c r="T51" s="5" t="inlineStr">
        <is>
          <t>防水点検CTA</t>
        </is>
      </c>
      <c r="U51" s="5" t="inlineStr">
        <is>
          <t>ベランダや外壁目地の防水状態を確認し、雨漏り前の早めのメンテナンスをご提案します。</t>
        </is>
      </c>
      <c r="V51" s="5" t="inlineStr">
        <is>
          <t>外壁塗装と防水工事</t>
        </is>
      </c>
      <c r="W51" s="5" t="inlineStr">
        <is>
          <t>雨漏り前に防水状態をチェック</t>
        </is>
      </c>
      <c r="X51" s="5" t="inlineStr">
        <is>
          <t>費用・耐用年数を解説</t>
        </is>
      </c>
      <c r="Y51" s="5" t="inlineStr">
        <is>
          <t>ベランダ床・防水層・排水口</t>
        </is>
      </c>
      <c r="Z51" s="5" t="inlineStr">
        <is>
          <t>点検する職人</t>
        </is>
      </c>
      <c r="AA51" s="5" t="inlineStr">
        <is>
          <t>松山市版</t>
        </is>
      </c>
      <c r="AB51" s="5" t="inlineStr">
        <is>
          <t>防水訴求</t>
        </is>
      </c>
      <c r="AC51" s="5" t="inlineStr">
        <is>
          <t>未着手</t>
        </is>
      </c>
      <c r="AD51" s="5" t="inlineStr">
        <is>
          <t>画像確認済み</t>
        </is>
      </c>
      <c r="AE51" s="5" t="inlineStr">
        <is>
          <t>未反映</t>
        </is>
      </c>
      <c r="AF51" s="5" t="inlineStr">
        <is>
          <t>posted</t>
        </is>
      </c>
      <c r="AG51" s="5" t="inlineStr">
        <is>
          <t>post/create_only</t>
        </is>
      </c>
      <c r="AH51" s="5" t="n">
        <v>22019</v>
      </c>
      <c r="AI51" s="5" t="inlineStr">
        <is>
          <t>https://www.sunadatosou.com/?p=22019</t>
        </is>
      </c>
      <c r="AJ51" s="29" t="inlineStr">
        <is>
          <t>2026-06-27 17:15:39</t>
        </is>
      </c>
      <c r="AK51" s="29" t="n"/>
      <c r="AL51" s="5" t="n">
        <v>3806</v>
      </c>
      <c r="AM51" s="5" t="inlineStr">
        <is>
          <t>不足(目安4,500〜6,000字)</t>
        </is>
      </c>
      <c r="AN51" s="5" t="n"/>
      <c r="AO51" s="5" t="inlineStr">
        <is>
          <t>関連：ベランダ防水費用、シーリング打ち替え費用、外壁雨漏りへリンク。</t>
        </is>
      </c>
      <c r="AP51" s="5" t="inlineStr">
        <is>
          <t>H1なし／この記事でわかること／地域事情／事例／原因・費用／CTA／FAQ</t>
        </is>
      </c>
      <c r="AQ51" s="5" t="n"/>
    </row>
    <row r="52" ht="42.75" customHeight="1" s="24">
      <c r="A52" s="5" t="n">
        <v>51</v>
      </c>
      <c r="B52" s="5" t="inlineStr">
        <is>
          <t>外壁塗装と屋根カバー</t>
        </is>
      </c>
      <c r="C52" s="5" t="inlineStr">
        <is>
          <t>外壁塗装と屋根カバー</t>
        </is>
      </c>
      <c r="D52" s="5" t="inlineStr">
        <is>
          <t>屋根カバー工法のメリットとは？費用・注意点・向いている屋根</t>
        </is>
      </c>
      <c r="E52" s="5" t="inlineStr">
        <is>
          <t>屋根修理・屋根材</t>
        </is>
      </c>
      <c r="F52" s="5" t="inlineStr">
        <is>
          <t>地域サービス型</t>
        </is>
      </c>
      <c r="G52" s="5" t="inlineStr">
        <is>
          <t>地域サービス型</t>
        </is>
      </c>
      <c r="H52" s="5" t="inlineStr">
        <is>
          <t>5,000〜7,000字</t>
        </is>
      </c>
      <c r="I52" s="5" t="n">
        <v>5000</v>
      </c>
      <c r="J52" s="5" t="n">
        <v>7000</v>
      </c>
      <c r="K52" s="5" t="inlineStr">
        <is>
          <t>高</t>
        </is>
      </c>
      <c r="L52" s="5" t="inlineStr">
        <is>
          <t>第2ロット：屋根修理・屋根材系</t>
        </is>
      </c>
      <c r="M52" s="5" t="inlineStr">
        <is>
          <t>051.md</t>
        </is>
      </c>
      <c r="N52" s="5" t="inlineStr">
        <is>
          <t>051.webp</t>
        </is>
      </c>
      <c r="O52" s="5" t="inlineStr">
        <is>
          <t>exterior-paint-roof-cover</t>
        </is>
      </c>
      <c r="P52" s="5" t="inlineStr">
        <is>
          <t>外壁塗装と屋根カバーについて、劣化症状、修理方法、費用目安、依頼前に確認したいポイントをわかりやすく解説します。</t>
        </is>
      </c>
      <c r="Q52" s="5" t="inlineStr">
        <is>
          <t>屋根修理</t>
        </is>
      </c>
      <c r="R52" s="5" t="inlineStr">
        <is>
          <t>外壁塗装、屋根修理</t>
        </is>
      </c>
      <c r="S52" s="5" t="inlineStr">
        <is>
          <t>屋根無料点検・屋根修理</t>
        </is>
      </c>
      <c r="T52" s="5" t="inlineStr">
        <is>
          <t>屋根点検CTA</t>
        </is>
      </c>
      <c r="U52" s="5" t="inlineStr">
        <is>
          <t>屋根材・板金・瓦の状態を点検し、雨漏りリスクや修理方法を職人目線で確認します。</t>
        </is>
      </c>
      <c r="V52" s="5" t="inlineStr">
        <is>
          <t>外壁塗装と屋根カバー</t>
        </is>
      </c>
      <c r="W52" s="5" t="inlineStr">
        <is>
          <t>雨漏り前に劣化を確認</t>
        </is>
      </c>
      <c r="X52" s="5" t="inlineStr">
        <is>
          <t>屋根点検・修理方法を解説</t>
        </is>
      </c>
      <c r="Y52" s="5" t="inlineStr">
        <is>
          <t>屋根材・瓦・板金・雨空</t>
        </is>
      </c>
      <c r="Z52" s="5" t="inlineStr">
        <is>
          <t>屋根を点検する職人</t>
        </is>
      </c>
      <c r="AA52" s="5" t="inlineStr">
        <is>
          <t>松山市版</t>
        </is>
      </c>
      <c r="AB52" s="5" t="inlineStr">
        <is>
          <t>屋根修理訴求</t>
        </is>
      </c>
      <c r="AC52" s="5" t="inlineStr">
        <is>
          <t>未着手</t>
        </is>
      </c>
      <c r="AD52" s="5" t="inlineStr">
        <is>
          <t>画像確認済み</t>
        </is>
      </c>
      <c r="AE52" s="5" t="inlineStr">
        <is>
          <t>未反映</t>
        </is>
      </c>
      <c r="AF52" s="5" t="inlineStr">
        <is>
          <t>posted</t>
        </is>
      </c>
      <c r="AG52" s="5" t="inlineStr">
        <is>
          <t>post/create_only</t>
        </is>
      </c>
      <c r="AH52" s="5" t="n">
        <v>22021</v>
      </c>
      <c r="AI52" s="5" t="inlineStr">
        <is>
          <t>https://www.sunadatosou.com/?p=22021</t>
        </is>
      </c>
      <c r="AJ52" s="29" t="inlineStr">
        <is>
          <t>2026-06-27 17:15:49</t>
        </is>
      </c>
      <c r="AK52" s="29" t="n"/>
      <c r="AL52" s="5" t="n">
        <v>4086</v>
      </c>
      <c r="AM52" s="5" t="inlineStr">
        <is>
          <t>不足(目安5,000〜7,000字)</t>
        </is>
      </c>
      <c r="AN52" s="5" t="n"/>
      <c r="AO52" s="5" t="inlineStr">
        <is>
          <t>中心記事「松山市の屋根修理」へリンク。関連：屋根カバー・屋根材注意記事。</t>
        </is>
      </c>
      <c r="AP52" s="5" t="inlineStr">
        <is>
          <t>H1なし／この記事でわかること／地域事情／事例／原因・費用／CTA／FAQ</t>
        </is>
      </c>
      <c r="AQ52" s="5" t="n"/>
    </row>
    <row r="53" ht="42.75" customHeight="1" s="24">
      <c r="A53" s="5" t="n">
        <v>52</v>
      </c>
      <c r="B53" s="5" t="inlineStr">
        <is>
          <t>外壁塗装 雨の日</t>
        </is>
      </c>
      <c r="C53" s="5" t="inlineStr">
        <is>
          <t>外壁塗装 雨の日</t>
        </is>
      </c>
      <c r="D53" s="5" t="inlineStr">
        <is>
          <t>外壁塗装は雨の日にできる？季節ごとの注意点を解説</t>
        </is>
      </c>
      <c r="E53" s="5" t="inlineStr">
        <is>
          <t>外壁塗装</t>
        </is>
      </c>
      <c r="F53" s="5" t="inlineStr">
        <is>
          <t>季節・時期型</t>
        </is>
      </c>
      <c r="G53" s="5" t="inlineStr">
        <is>
          <t>地域サービス型</t>
        </is>
      </c>
      <c r="H53" s="5" t="inlineStr">
        <is>
          <t>4,500〜6,000字</t>
        </is>
      </c>
      <c r="I53" s="5" t="n">
        <v>4500</v>
      </c>
      <c r="J53" s="5" t="n">
        <v>6000</v>
      </c>
      <c r="K53" s="5" t="inlineStr">
        <is>
          <t>中</t>
        </is>
      </c>
      <c r="L53" s="5" t="inlineStr">
        <is>
          <t>第3ロット：外壁塗装・防水系</t>
        </is>
      </c>
      <c r="M53" s="5" t="inlineStr">
        <is>
          <t>052.md</t>
        </is>
      </c>
      <c r="N53" s="5" t="inlineStr">
        <is>
          <t>052.webp</t>
        </is>
      </c>
      <c r="O53" s="5" t="inlineStr">
        <is>
          <t>exterior-paint-rainy-day</t>
        </is>
      </c>
      <c r="P53" s="5" t="inlineStr">
        <is>
          <t>外壁塗装 雨の日について、特徴、注意点、費用目安、業者選びのポイントを初心者にもわかりやすく解説します。</t>
        </is>
      </c>
      <c r="Q53" s="5" t="inlineStr">
        <is>
          <t>外壁塗装</t>
        </is>
      </c>
      <c r="R53" s="5" t="inlineStr">
        <is>
          <t>外壁塗装</t>
        </is>
      </c>
      <c r="S53" s="5" t="inlineStr">
        <is>
          <t>外装劣化診断・外壁塗装無料見積り</t>
        </is>
      </c>
      <c r="T53" s="5" t="inlineStr">
        <is>
          <t>無料見積りCTA</t>
        </is>
      </c>
      <c r="U53" s="5" t="inlineStr">
        <is>
          <t>費用は原因箇所や補修範囲で変わります。現地調査で状態を確認し、見積もりの根拠を写真付きでご説明します。</t>
        </is>
      </c>
      <c r="V53" s="5" t="inlineStr">
        <is>
          <t>外壁塗装 雨の日</t>
        </is>
      </c>
      <c r="W53" s="5" t="inlineStr">
        <is>
          <t>放置リスクと判断基準を解説</t>
        </is>
      </c>
      <c r="X53" s="5" t="inlineStr">
        <is>
          <t>無料診断で状態確認</t>
        </is>
      </c>
      <c r="Y53" s="5" t="inlineStr">
        <is>
          <t>外壁ひび割れ・チョーキング・住宅外観</t>
        </is>
      </c>
      <c r="Z53" s="5" t="inlineStr">
        <is>
          <t>職人＋困った住人</t>
        </is>
      </c>
      <c r="AA53" s="5" t="inlineStr">
        <is>
          <t>松山市版</t>
        </is>
      </c>
      <c r="AB53" s="5" t="inlineStr">
        <is>
          <t>外壁塗装訴求</t>
        </is>
      </c>
      <c r="AC53" s="5" t="inlineStr">
        <is>
          <t>未着手</t>
        </is>
      </c>
      <c r="AD53" s="5" t="inlineStr">
        <is>
          <t>画像確認済み</t>
        </is>
      </c>
      <c r="AE53" s="5" t="inlineStr">
        <is>
          <t>未反映</t>
        </is>
      </c>
      <c r="AF53" s="5" t="inlineStr">
        <is>
          <t>posted</t>
        </is>
      </c>
      <c r="AG53" s="5" t="inlineStr">
        <is>
          <t>post/create_only</t>
        </is>
      </c>
      <c r="AH53" s="5" t="n">
        <v>22023</v>
      </c>
      <c r="AI53" s="5" t="inlineStr">
        <is>
          <t>https://www.sunadatosou.com/?p=22023</t>
        </is>
      </c>
      <c r="AJ53" s="29" t="inlineStr">
        <is>
          <t>2026-06-27 17:15:58</t>
        </is>
      </c>
      <c r="AK53" s="29" t="n"/>
      <c r="AL53" s="5" t="n">
        <v>3710</v>
      </c>
      <c r="AM53" s="5" t="inlineStr">
        <is>
          <t>不足(目安4,500〜6,000字)</t>
        </is>
      </c>
      <c r="AN53" s="5" t="n"/>
      <c r="AO53" s="5" t="inlineStr">
        <is>
          <t>関連：外壁塗装工期、足場代、防水工事、屋根カバーへリンク。</t>
        </is>
      </c>
      <c r="AP53" s="5" t="inlineStr">
        <is>
          <t>H1なし／この記事でわかること／地域事情／事例／原因・費用／CTA／FAQ</t>
        </is>
      </c>
      <c r="AQ53" s="5" t="n"/>
    </row>
    <row r="54" ht="42.75" customHeight="1" s="24">
      <c r="A54" s="5" t="n">
        <v>53</v>
      </c>
      <c r="B54" s="5" t="inlineStr">
        <is>
          <t>外壁塗装 梅雨</t>
        </is>
      </c>
      <c r="C54" s="5" t="inlineStr">
        <is>
          <t>外壁塗装 梅雨</t>
        </is>
      </c>
      <c r="D54" s="5" t="inlineStr">
        <is>
          <t>外壁塗装は梅雨にできる？季節ごとの注意点を解説</t>
        </is>
      </c>
      <c r="E54" s="5" t="inlineStr">
        <is>
          <t>外壁塗装</t>
        </is>
      </c>
      <c r="F54" s="5" t="inlineStr">
        <is>
          <t>季節・時期型</t>
        </is>
      </c>
      <c r="G54" s="5" t="inlineStr">
        <is>
          <t>地域サービス型</t>
        </is>
      </c>
      <c r="H54" s="5" t="inlineStr">
        <is>
          <t>4,500〜6,000字</t>
        </is>
      </c>
      <c r="I54" s="5" t="n">
        <v>4500</v>
      </c>
      <c r="J54" s="5" t="n">
        <v>6000</v>
      </c>
      <c r="K54" s="5" t="inlineStr">
        <is>
          <t>中</t>
        </is>
      </c>
      <c r="L54" s="5" t="inlineStr">
        <is>
          <t>第3ロット：外壁塗装・防水系</t>
        </is>
      </c>
      <c r="M54" s="5" t="inlineStr">
        <is>
          <t>053.md</t>
        </is>
      </c>
      <c r="N54" s="5" t="inlineStr">
        <is>
          <t>053.webp</t>
        </is>
      </c>
      <c r="O54" s="5" t="inlineStr">
        <is>
          <t>exterior-paint-rainy-season</t>
        </is>
      </c>
      <c r="P54" s="5" t="inlineStr">
        <is>
          <t>外壁塗装 梅雨について、特徴、注意点、費用目安、業者選びのポイントを初心者にもわかりやすく解説します。</t>
        </is>
      </c>
      <c r="Q54" s="5" t="inlineStr">
        <is>
          <t>外壁塗装</t>
        </is>
      </c>
      <c r="R54" s="5" t="inlineStr">
        <is>
          <t>外壁塗装</t>
        </is>
      </c>
      <c r="S54" s="5" t="inlineStr">
        <is>
          <t>外装劣化診断・外壁塗装無料見積り</t>
        </is>
      </c>
      <c r="T54" s="5" t="inlineStr">
        <is>
          <t>無料見積りCTA</t>
        </is>
      </c>
      <c r="U54" s="5" t="inlineStr">
        <is>
          <t>費用は原因箇所や補修範囲で変わります。現地調査で状態を確認し、見積もりの根拠を写真付きでご説明します。</t>
        </is>
      </c>
      <c r="V54" s="5" t="inlineStr">
        <is>
          <t>外壁塗装 梅雨</t>
        </is>
      </c>
      <c r="W54" s="5" t="inlineStr">
        <is>
          <t>放置リスクと判断基準を解説</t>
        </is>
      </c>
      <c r="X54" s="5" t="inlineStr">
        <is>
          <t>無料診断で状態確認</t>
        </is>
      </c>
      <c r="Y54" s="5" t="inlineStr">
        <is>
          <t>外壁ひび割れ・チョーキング・住宅外観</t>
        </is>
      </c>
      <c r="Z54" s="5" t="inlineStr">
        <is>
          <t>職人＋困った住人</t>
        </is>
      </c>
      <c r="AA54" s="5" t="inlineStr">
        <is>
          <t>松山市版</t>
        </is>
      </c>
      <c r="AB54" s="5" t="inlineStr">
        <is>
          <t>外壁塗装訴求</t>
        </is>
      </c>
      <c r="AC54" s="5" t="inlineStr">
        <is>
          <t>未着手</t>
        </is>
      </c>
      <c r="AD54" s="5" t="inlineStr">
        <is>
          <t>画像確認済み</t>
        </is>
      </c>
      <c r="AE54" s="5" t="inlineStr">
        <is>
          <t>未反映</t>
        </is>
      </c>
      <c r="AF54" s="5" t="inlineStr">
        <is>
          <t>posted</t>
        </is>
      </c>
      <c r="AG54" s="5" t="inlineStr">
        <is>
          <t>post/create_only</t>
        </is>
      </c>
      <c r="AH54" s="5" t="n">
        <v>22025</v>
      </c>
      <c r="AI54" s="5" t="inlineStr">
        <is>
          <t>https://www.sunadatosou.com/?p=22025</t>
        </is>
      </c>
      <c r="AJ54" s="29" t="inlineStr">
        <is>
          <t>2026-06-27 17:16:06</t>
        </is>
      </c>
      <c r="AK54" s="29" t="n"/>
      <c r="AL54" s="5" t="n">
        <v>3705</v>
      </c>
      <c r="AM54" s="5" t="inlineStr">
        <is>
          <t>不足(目安4,500〜6,000字)</t>
        </is>
      </c>
      <c r="AN54" s="5" t="n"/>
      <c r="AO54" s="5" t="inlineStr">
        <is>
          <t>関連：外壁塗装工期、足場代、防水工事、屋根カバーへリンク。</t>
        </is>
      </c>
      <c r="AP54" s="5" t="inlineStr">
        <is>
          <t>H1なし／この記事でわかること／地域事情／事例／原因・費用／CTA／FAQ</t>
        </is>
      </c>
      <c r="AQ54" s="5" t="n"/>
    </row>
    <row r="55" ht="42.75" customHeight="1" s="24">
      <c r="A55" s="5" t="n">
        <v>54</v>
      </c>
      <c r="B55" s="5" t="inlineStr">
        <is>
          <t>外壁塗装 台風前</t>
        </is>
      </c>
      <c r="C55" s="5" t="inlineStr">
        <is>
          <t>外壁塗装 台風前</t>
        </is>
      </c>
      <c r="D55" s="5" t="inlineStr">
        <is>
          <t>外壁塗装は台風前にできる？季節ごとの注意点を解説</t>
        </is>
      </c>
      <c r="E55" s="5" t="inlineStr">
        <is>
          <t>外壁塗装</t>
        </is>
      </c>
      <c r="F55" s="5" t="inlineStr">
        <is>
          <t>季節・時期型</t>
        </is>
      </c>
      <c r="G55" s="5" t="inlineStr">
        <is>
          <t>地域サービス型</t>
        </is>
      </c>
      <c r="H55" s="5" t="inlineStr">
        <is>
          <t>4,500〜6,000字</t>
        </is>
      </c>
      <c r="I55" s="5" t="n">
        <v>4500</v>
      </c>
      <c r="J55" s="5" t="n">
        <v>6000</v>
      </c>
      <c r="K55" s="5" t="inlineStr">
        <is>
          <t>中</t>
        </is>
      </c>
      <c r="L55" s="5" t="inlineStr">
        <is>
          <t>第3ロット：外壁塗装・防水系</t>
        </is>
      </c>
      <c r="M55" s="5" t="inlineStr">
        <is>
          <t>054.md</t>
        </is>
      </c>
      <c r="N55" s="5" t="inlineStr">
        <is>
          <t>054.webp</t>
        </is>
      </c>
      <c r="O55" s="5" t="inlineStr">
        <is>
          <t>exterior-paint-before-typhoon</t>
        </is>
      </c>
      <c r="P55" s="5" t="inlineStr">
        <is>
          <t>外壁塗装 台風前について、特徴、注意点、費用目安、業者選びのポイントを初心者にもわかりやすく解説します。</t>
        </is>
      </c>
      <c r="Q55" s="5" t="inlineStr">
        <is>
          <t>外壁塗装</t>
        </is>
      </c>
      <c r="R55" s="5" t="inlineStr">
        <is>
          <t>外壁塗装</t>
        </is>
      </c>
      <c r="S55" s="5" t="inlineStr">
        <is>
          <t>外装劣化診断・外壁塗装無料見積り</t>
        </is>
      </c>
      <c r="T55" s="5" t="inlineStr">
        <is>
          <t>無料見積りCTA</t>
        </is>
      </c>
      <c r="U55" s="5" t="inlineStr">
        <is>
          <t>費用は原因箇所や補修範囲で変わります。現地調査で状態を確認し、見積もりの根拠を写真付きでご説明します。</t>
        </is>
      </c>
      <c r="V55" s="5" t="inlineStr">
        <is>
          <t>外壁塗装 台風前</t>
        </is>
      </c>
      <c r="W55" s="5" t="inlineStr">
        <is>
          <t>放置リスクと判断基準を解説</t>
        </is>
      </c>
      <c r="X55" s="5" t="inlineStr">
        <is>
          <t>無料診断で状態確認</t>
        </is>
      </c>
      <c r="Y55" s="5" t="inlineStr">
        <is>
          <t>外壁ひび割れ・チョーキング・住宅外観</t>
        </is>
      </c>
      <c r="Z55" s="5" t="inlineStr">
        <is>
          <t>職人＋困った住人</t>
        </is>
      </c>
      <c r="AA55" s="5" t="inlineStr">
        <is>
          <t>松山市版</t>
        </is>
      </c>
      <c r="AB55" s="5" t="inlineStr">
        <is>
          <t>外壁塗装訴求</t>
        </is>
      </c>
      <c r="AC55" s="5" t="inlineStr">
        <is>
          <t>未着手</t>
        </is>
      </c>
      <c r="AD55" s="5" t="inlineStr">
        <is>
          <t>画像確認済み</t>
        </is>
      </c>
      <c r="AE55" s="5" t="inlineStr">
        <is>
          <t>未反映</t>
        </is>
      </c>
      <c r="AF55" s="5" t="inlineStr">
        <is>
          <t>posted</t>
        </is>
      </c>
      <c r="AG55" s="5" t="inlineStr">
        <is>
          <t>post/create_only</t>
        </is>
      </c>
      <c r="AH55" s="5" t="n">
        <v>22027</v>
      </c>
      <c r="AI55" s="5" t="inlineStr">
        <is>
          <t>https://www.sunadatosou.com/?p=22027</t>
        </is>
      </c>
      <c r="AJ55" s="29" t="inlineStr">
        <is>
          <t>2026-06-27 17:16:14</t>
        </is>
      </c>
      <c r="AK55" s="29" t="n"/>
      <c r="AL55" s="5" t="n">
        <v>3707</v>
      </c>
      <c r="AM55" s="5" t="inlineStr">
        <is>
          <t>不足(目安4,500〜6,000字)</t>
        </is>
      </c>
      <c r="AN55" s="5" t="n"/>
      <c r="AO55" s="5" t="inlineStr">
        <is>
          <t>関連：外壁塗装工期、足場代、防水工事、屋根カバーへリンク。</t>
        </is>
      </c>
      <c r="AP55" s="5" t="inlineStr">
        <is>
          <t>H1なし／この記事でわかること／地域事情／事例／原因・費用／CTA／FAQ</t>
        </is>
      </c>
      <c r="AQ55" s="5" t="n"/>
    </row>
    <row r="56" ht="42.75" customHeight="1" s="24">
      <c r="A56" s="5" t="n">
        <v>55</v>
      </c>
      <c r="B56" s="5" t="inlineStr">
        <is>
          <t>外壁塗装 冬</t>
        </is>
      </c>
      <c r="C56" s="5" t="inlineStr">
        <is>
          <t>外壁塗装 冬</t>
        </is>
      </c>
      <c r="D56" s="5" t="inlineStr">
        <is>
          <t>外壁塗装は冬にできる？季節ごとの注意点を解説</t>
        </is>
      </c>
      <c r="E56" s="5" t="inlineStr">
        <is>
          <t>外壁塗装</t>
        </is>
      </c>
      <c r="F56" s="5" t="inlineStr">
        <is>
          <t>季節・時期型</t>
        </is>
      </c>
      <c r="G56" s="5" t="inlineStr">
        <is>
          <t>地域サービス型</t>
        </is>
      </c>
      <c r="H56" s="5" t="inlineStr">
        <is>
          <t>4,500〜6,000字</t>
        </is>
      </c>
      <c r="I56" s="5" t="n">
        <v>4500</v>
      </c>
      <c r="J56" s="5" t="n">
        <v>6000</v>
      </c>
      <c r="K56" s="5" t="inlineStr">
        <is>
          <t>中</t>
        </is>
      </c>
      <c r="L56" s="5" t="inlineStr">
        <is>
          <t>第3ロット：外壁塗装・防水系</t>
        </is>
      </c>
      <c r="M56" s="5" t="inlineStr">
        <is>
          <t>055.md</t>
        </is>
      </c>
      <c r="N56" s="5" t="inlineStr">
        <is>
          <t>055.webp</t>
        </is>
      </c>
      <c r="O56" s="5" t="inlineStr">
        <is>
          <t>exterior-paint-winter</t>
        </is>
      </c>
      <c r="P56" s="5" t="inlineStr">
        <is>
          <t>外壁塗装 冬について、特徴、注意点、費用目安、業者選びのポイントを初心者にもわかりやすく解説します。</t>
        </is>
      </c>
      <c r="Q56" s="5" t="inlineStr">
        <is>
          <t>外壁塗装</t>
        </is>
      </c>
      <c r="R56" s="5" t="inlineStr">
        <is>
          <t>外壁塗装</t>
        </is>
      </c>
      <c r="S56" s="5" t="inlineStr">
        <is>
          <t>外装劣化診断・外壁塗装無料見積り</t>
        </is>
      </c>
      <c r="T56" s="5" t="inlineStr">
        <is>
          <t>無料見積りCTA</t>
        </is>
      </c>
      <c r="U56" s="5" t="inlineStr">
        <is>
          <t>費用は原因箇所や補修範囲で変わります。現地調査で状態を確認し、見積もりの根拠を写真付きでご説明します。</t>
        </is>
      </c>
      <c r="V56" s="5" t="inlineStr">
        <is>
          <t>外壁塗装 冬</t>
        </is>
      </c>
      <c r="W56" s="5" t="inlineStr">
        <is>
          <t>放置リスクと判断基準を解説</t>
        </is>
      </c>
      <c r="X56" s="5" t="inlineStr">
        <is>
          <t>無料診断で状態確認</t>
        </is>
      </c>
      <c r="Y56" s="5" t="inlineStr">
        <is>
          <t>外壁ひび割れ・チョーキング・住宅外観</t>
        </is>
      </c>
      <c r="Z56" s="5" t="inlineStr">
        <is>
          <t>職人＋困った住人</t>
        </is>
      </c>
      <c r="AA56" s="5" t="inlineStr">
        <is>
          <t>松山市版</t>
        </is>
      </c>
      <c r="AB56" s="5" t="inlineStr">
        <is>
          <t>外壁塗装訴求</t>
        </is>
      </c>
      <c r="AC56" s="5" t="inlineStr">
        <is>
          <t>未着手</t>
        </is>
      </c>
      <c r="AD56" s="5" t="inlineStr">
        <is>
          <t>画像確認済み</t>
        </is>
      </c>
      <c r="AE56" s="5" t="inlineStr">
        <is>
          <t>未反映</t>
        </is>
      </c>
      <c r="AF56" s="5" t="inlineStr">
        <is>
          <t>posted</t>
        </is>
      </c>
      <c r="AG56" s="5" t="inlineStr">
        <is>
          <t>post/create_only</t>
        </is>
      </c>
      <c r="AH56" s="5" t="n">
        <v>22029</v>
      </c>
      <c r="AI56" s="5" t="inlineStr">
        <is>
          <t>https://www.sunadatosou.com/?p=22029</t>
        </is>
      </c>
      <c r="AJ56" s="29" t="inlineStr">
        <is>
          <t>2026-06-27 17:16:23</t>
        </is>
      </c>
      <c r="AK56" s="29" t="n"/>
      <c r="AL56" s="5" t="n">
        <v>3687</v>
      </c>
      <c r="AM56" s="5" t="inlineStr">
        <is>
          <t>不足(目安4,500〜6,000字)</t>
        </is>
      </c>
      <c r="AN56" s="5" t="n"/>
      <c r="AO56" s="5" t="inlineStr">
        <is>
          <t>関連：外壁塗装工期、足場代、防水工事、屋根カバーへリンク。</t>
        </is>
      </c>
      <c r="AP56" s="5" t="inlineStr">
        <is>
          <t>H1なし／この記事でわかること／地域事情／事例／原因・費用／CTA／FAQ</t>
        </is>
      </c>
      <c r="AQ56" s="5" t="n"/>
    </row>
    <row r="57" ht="42.75" customHeight="1" s="24">
      <c r="A57" s="5" t="n">
        <v>56</v>
      </c>
      <c r="B57" s="5" t="inlineStr">
        <is>
          <t>外壁塗装 夏</t>
        </is>
      </c>
      <c r="C57" s="5" t="inlineStr">
        <is>
          <t>外壁塗装 夏</t>
        </is>
      </c>
      <c r="D57" s="5" t="inlineStr">
        <is>
          <t>外壁塗装は夏にできる？季節ごとの注意点を解説</t>
        </is>
      </c>
      <c r="E57" s="5" t="inlineStr">
        <is>
          <t>外壁塗装</t>
        </is>
      </c>
      <c r="F57" s="5" t="inlineStr">
        <is>
          <t>季節・時期型</t>
        </is>
      </c>
      <c r="G57" s="5" t="inlineStr">
        <is>
          <t>地域サービス型</t>
        </is>
      </c>
      <c r="H57" s="5" t="inlineStr">
        <is>
          <t>4,500〜6,000字</t>
        </is>
      </c>
      <c r="I57" s="5" t="n">
        <v>4500</v>
      </c>
      <c r="J57" s="5" t="n">
        <v>6000</v>
      </c>
      <c r="K57" s="5" t="inlineStr">
        <is>
          <t>中</t>
        </is>
      </c>
      <c r="L57" s="5" t="inlineStr">
        <is>
          <t>第3ロット：外壁塗装・防水系</t>
        </is>
      </c>
      <c r="M57" s="5" t="inlineStr">
        <is>
          <t>056.md</t>
        </is>
      </c>
      <c r="N57" s="5" t="inlineStr">
        <is>
          <t>056.webp</t>
        </is>
      </c>
      <c r="O57" s="5" t="inlineStr">
        <is>
          <t>exterior-paint-summer</t>
        </is>
      </c>
      <c r="P57" s="5" t="inlineStr">
        <is>
          <t>外壁塗装 夏について、特徴、注意点、費用目安、業者選びのポイントを初心者にもわかりやすく解説します。</t>
        </is>
      </c>
      <c r="Q57" s="5" t="inlineStr">
        <is>
          <t>外壁塗装</t>
        </is>
      </c>
      <c r="R57" s="5" t="inlineStr">
        <is>
          <t>外壁塗装</t>
        </is>
      </c>
      <c r="S57" s="5" t="inlineStr">
        <is>
          <t>外装劣化診断・外壁塗装無料見積り</t>
        </is>
      </c>
      <c r="T57" s="5" t="inlineStr">
        <is>
          <t>無料見積りCTA</t>
        </is>
      </c>
      <c r="U57" s="5" t="inlineStr">
        <is>
          <t>費用は原因箇所や補修範囲で変わります。現地調査で状態を確認し、見積もりの根拠を写真付きでご説明します。</t>
        </is>
      </c>
      <c r="V57" s="5" t="inlineStr">
        <is>
          <t>外壁塗装 夏</t>
        </is>
      </c>
      <c r="W57" s="5" t="inlineStr">
        <is>
          <t>放置リスクと判断基準を解説</t>
        </is>
      </c>
      <c r="X57" s="5" t="inlineStr">
        <is>
          <t>無料診断で状態確認</t>
        </is>
      </c>
      <c r="Y57" s="5" t="inlineStr">
        <is>
          <t>外壁ひび割れ・チョーキング・住宅外観</t>
        </is>
      </c>
      <c r="Z57" s="5" t="inlineStr">
        <is>
          <t>職人＋困った住人</t>
        </is>
      </c>
      <c r="AA57" s="5" t="inlineStr">
        <is>
          <t>松山市版</t>
        </is>
      </c>
      <c r="AB57" s="5" t="inlineStr">
        <is>
          <t>外壁塗装訴求</t>
        </is>
      </c>
      <c r="AC57" s="5" t="inlineStr">
        <is>
          <t>未着手</t>
        </is>
      </c>
      <c r="AD57" s="5" t="inlineStr">
        <is>
          <t>画像確認済み</t>
        </is>
      </c>
      <c r="AE57" s="5" t="inlineStr">
        <is>
          <t>未反映</t>
        </is>
      </c>
      <c r="AF57" s="5" t="inlineStr">
        <is>
          <t>posted</t>
        </is>
      </c>
      <c r="AG57" s="5" t="inlineStr">
        <is>
          <t>post/create_only</t>
        </is>
      </c>
      <c r="AH57" s="5" t="n">
        <v>22031</v>
      </c>
      <c r="AI57" s="5" t="inlineStr">
        <is>
          <t>https://www.sunadatosou.com/?p=22031</t>
        </is>
      </c>
      <c r="AJ57" s="29" t="inlineStr">
        <is>
          <t>2026-06-27 17:16:32</t>
        </is>
      </c>
      <c r="AK57" s="29" t="n"/>
      <c r="AL57" s="5" t="n">
        <v>3684</v>
      </c>
      <c r="AM57" s="5" t="inlineStr">
        <is>
          <t>不足(目安4,500〜6,000字)</t>
        </is>
      </c>
      <c r="AN57" s="5" t="n"/>
      <c r="AO57" s="5" t="inlineStr">
        <is>
          <t>関連：外壁塗装工期、足場代、防水工事、屋根カバーへリンク。</t>
        </is>
      </c>
      <c r="AP57" s="5" t="inlineStr">
        <is>
          <t>H1なし／この記事でわかること／地域事情／事例／原因・費用／CTA／FAQ</t>
        </is>
      </c>
      <c r="AQ57" s="5" t="n"/>
    </row>
    <row r="58" ht="42.75" customHeight="1" s="24">
      <c r="A58" s="5" t="n">
        <v>57</v>
      </c>
      <c r="B58" s="5" t="inlineStr">
        <is>
          <t>外壁塗装 春</t>
        </is>
      </c>
      <c r="C58" s="5" t="inlineStr">
        <is>
          <t>外壁塗装 春</t>
        </is>
      </c>
      <c r="D58" s="5" t="inlineStr">
        <is>
          <t>外壁塗装は春にできる？季節ごとの注意点を解説</t>
        </is>
      </c>
      <c r="E58" s="5" t="inlineStr">
        <is>
          <t>外壁塗装</t>
        </is>
      </c>
      <c r="F58" s="5" t="inlineStr">
        <is>
          <t>季節・時期型</t>
        </is>
      </c>
      <c r="G58" s="5" t="inlineStr">
        <is>
          <t>地域サービス型</t>
        </is>
      </c>
      <c r="H58" s="5" t="inlineStr">
        <is>
          <t>4,500〜6,000字</t>
        </is>
      </c>
      <c r="I58" s="5" t="n">
        <v>4500</v>
      </c>
      <c r="J58" s="5" t="n">
        <v>6000</v>
      </c>
      <c r="K58" s="5" t="inlineStr">
        <is>
          <t>中</t>
        </is>
      </c>
      <c r="L58" s="5" t="inlineStr">
        <is>
          <t>第3ロット：外壁塗装・防水系</t>
        </is>
      </c>
      <c r="M58" s="5" t="inlineStr">
        <is>
          <t>057.md</t>
        </is>
      </c>
      <c r="N58" s="5" t="inlineStr">
        <is>
          <t>057.webp</t>
        </is>
      </c>
      <c r="O58" s="5" t="inlineStr">
        <is>
          <t>exterior-paint-spring</t>
        </is>
      </c>
      <c r="P58" s="5" t="inlineStr">
        <is>
          <t>外壁塗装 春について、特徴、注意点、費用目安、業者選びのポイントを初心者にもわかりやすく解説します。</t>
        </is>
      </c>
      <c r="Q58" s="5" t="inlineStr">
        <is>
          <t>外壁塗装</t>
        </is>
      </c>
      <c r="R58" s="5" t="inlineStr">
        <is>
          <t>外壁塗装</t>
        </is>
      </c>
      <c r="S58" s="5" t="inlineStr">
        <is>
          <t>外装劣化診断・外壁塗装無料見積り</t>
        </is>
      </c>
      <c r="T58" s="5" t="inlineStr">
        <is>
          <t>無料見積りCTA</t>
        </is>
      </c>
      <c r="U58" s="5" t="inlineStr">
        <is>
          <t>費用は原因箇所や補修範囲で変わります。現地調査で状態を確認し、見積もりの根拠を写真付きでご説明します。</t>
        </is>
      </c>
      <c r="V58" s="5" t="inlineStr">
        <is>
          <t>外壁塗装 春</t>
        </is>
      </c>
      <c r="W58" s="5" t="inlineStr">
        <is>
          <t>放置リスクと判断基準を解説</t>
        </is>
      </c>
      <c r="X58" s="5" t="inlineStr">
        <is>
          <t>無料診断で状態確認</t>
        </is>
      </c>
      <c r="Y58" s="5" t="inlineStr">
        <is>
          <t>外壁ひび割れ・チョーキング・住宅外観</t>
        </is>
      </c>
      <c r="Z58" s="5" t="inlineStr">
        <is>
          <t>職人＋困った住人</t>
        </is>
      </c>
      <c r="AA58" s="5" t="inlineStr">
        <is>
          <t>松山市版</t>
        </is>
      </c>
      <c r="AB58" s="5" t="inlineStr">
        <is>
          <t>外壁塗装訴求</t>
        </is>
      </c>
      <c r="AC58" s="5" t="inlineStr">
        <is>
          <t>未着手</t>
        </is>
      </c>
      <c r="AD58" s="5" t="inlineStr">
        <is>
          <t>画像確認済み</t>
        </is>
      </c>
      <c r="AE58" s="5" t="inlineStr">
        <is>
          <t>未反映</t>
        </is>
      </c>
      <c r="AF58" s="5" t="inlineStr">
        <is>
          <t>posted</t>
        </is>
      </c>
      <c r="AG58" s="5" t="inlineStr">
        <is>
          <t>post/create_only</t>
        </is>
      </c>
      <c r="AH58" s="5" t="n">
        <v>22033</v>
      </c>
      <c r="AI58" s="5" t="inlineStr">
        <is>
          <t>https://www.sunadatosou.com/?p=22033</t>
        </is>
      </c>
      <c r="AJ58" s="29" t="inlineStr">
        <is>
          <t>2026-06-27 17:16:44</t>
        </is>
      </c>
      <c r="AK58" s="29" t="n"/>
      <c r="AL58" s="5" t="n">
        <v>3695</v>
      </c>
      <c r="AM58" s="5" t="inlineStr">
        <is>
          <t>不足(目安4,500〜6,000字)</t>
        </is>
      </c>
      <c r="AN58" s="5" t="n"/>
      <c r="AO58" s="5" t="inlineStr">
        <is>
          <t>関連：外壁塗装工期、足場代、防水工事、屋根カバーへリンク。</t>
        </is>
      </c>
      <c r="AP58" s="5" t="inlineStr">
        <is>
          <t>H1なし／この記事でわかること／地域事情／事例／原因・費用／CTA／FAQ</t>
        </is>
      </c>
      <c r="AQ58" s="5" t="n"/>
    </row>
    <row r="59" ht="42.75" customHeight="1" s="24">
      <c r="A59" s="5" t="n">
        <v>58</v>
      </c>
      <c r="B59" s="5" t="inlineStr">
        <is>
          <t>外壁塗装 秋</t>
        </is>
      </c>
      <c r="C59" s="5" t="inlineStr">
        <is>
          <t>外壁塗装 秋</t>
        </is>
      </c>
      <c r="D59" s="5" t="inlineStr">
        <is>
          <t>外壁塗装は秋にできる？季節ごとの注意点を解説</t>
        </is>
      </c>
      <c r="E59" s="5" t="inlineStr">
        <is>
          <t>外壁塗装</t>
        </is>
      </c>
      <c r="F59" s="5" t="inlineStr">
        <is>
          <t>季節・時期型</t>
        </is>
      </c>
      <c r="G59" s="5" t="inlineStr">
        <is>
          <t>地域サービス型</t>
        </is>
      </c>
      <c r="H59" s="5" t="inlineStr">
        <is>
          <t>4,500〜6,000字</t>
        </is>
      </c>
      <c r="I59" s="5" t="n">
        <v>4500</v>
      </c>
      <c r="J59" s="5" t="n">
        <v>6000</v>
      </c>
      <c r="K59" s="5" t="inlineStr">
        <is>
          <t>中</t>
        </is>
      </c>
      <c r="L59" s="5" t="inlineStr">
        <is>
          <t>第3ロット：外壁塗装・防水系</t>
        </is>
      </c>
      <c r="M59" s="5" t="inlineStr">
        <is>
          <t>058.md</t>
        </is>
      </c>
      <c r="N59" s="5" t="inlineStr">
        <is>
          <t>058.webp</t>
        </is>
      </c>
      <c r="O59" s="5" t="inlineStr">
        <is>
          <t>exterior-paint-autumn</t>
        </is>
      </c>
      <c r="P59" s="5" t="inlineStr">
        <is>
          <t>外壁塗装 秋について、特徴、注意点、費用目安、業者選びのポイントを初心者にもわかりやすく解説します。</t>
        </is>
      </c>
      <c r="Q59" s="5" t="inlineStr">
        <is>
          <t>外壁塗装</t>
        </is>
      </c>
      <c r="R59" s="5" t="inlineStr">
        <is>
          <t>外壁塗装</t>
        </is>
      </c>
      <c r="S59" s="5" t="inlineStr">
        <is>
          <t>外装劣化診断・外壁塗装無料見積り</t>
        </is>
      </c>
      <c r="T59" s="5" t="inlineStr">
        <is>
          <t>無料見積りCTA</t>
        </is>
      </c>
      <c r="U59" s="5" t="inlineStr">
        <is>
          <t>費用は原因箇所や補修範囲で変わります。現地調査で状態を確認し、見積もりの根拠を写真付きでご説明します。</t>
        </is>
      </c>
      <c r="V59" s="5" t="inlineStr">
        <is>
          <t>外壁塗装 秋</t>
        </is>
      </c>
      <c r="W59" s="5" t="inlineStr">
        <is>
          <t>放置リスクと判断基準を解説</t>
        </is>
      </c>
      <c r="X59" s="5" t="inlineStr">
        <is>
          <t>無料診断で状態確認</t>
        </is>
      </c>
      <c r="Y59" s="5" t="inlineStr">
        <is>
          <t>外壁ひび割れ・チョーキング・住宅外観</t>
        </is>
      </c>
      <c r="Z59" s="5" t="inlineStr">
        <is>
          <t>職人＋困った住人</t>
        </is>
      </c>
      <c r="AA59" s="5" t="inlineStr">
        <is>
          <t>松山市版</t>
        </is>
      </c>
      <c r="AB59" s="5" t="inlineStr">
        <is>
          <t>外壁塗装訴求</t>
        </is>
      </c>
      <c r="AC59" s="5" t="inlineStr">
        <is>
          <t>未着手</t>
        </is>
      </c>
      <c r="AD59" s="5" t="inlineStr">
        <is>
          <t>画像確認済み</t>
        </is>
      </c>
      <c r="AE59" s="5" t="inlineStr">
        <is>
          <t>未反映</t>
        </is>
      </c>
      <c r="AF59" s="5" t="inlineStr">
        <is>
          <t>posted</t>
        </is>
      </c>
      <c r="AG59" s="5" t="inlineStr">
        <is>
          <t>post/create_only</t>
        </is>
      </c>
      <c r="AH59" s="5" t="n">
        <v>22035</v>
      </c>
      <c r="AI59" s="5" t="inlineStr">
        <is>
          <t>https://www.sunadatosou.com/?p=22035</t>
        </is>
      </c>
      <c r="AJ59" s="29" t="inlineStr">
        <is>
          <t>2026-06-27 17:16:56</t>
        </is>
      </c>
      <c r="AK59" s="29" t="n"/>
      <c r="AL59" s="5" t="n">
        <v>3687</v>
      </c>
      <c r="AM59" s="5" t="inlineStr">
        <is>
          <t>不足(目安4,500〜6,000字)</t>
        </is>
      </c>
      <c r="AN59" s="5" t="n"/>
      <c r="AO59" s="5" t="inlineStr">
        <is>
          <t>関連：外壁塗装工期、足場代、防水工事、屋根カバーへリンク。</t>
        </is>
      </c>
      <c r="AP59" s="5" t="inlineStr">
        <is>
          <t>H1なし／この記事でわかること／地域事情／事例／原因・費用／CTA／FAQ</t>
        </is>
      </c>
      <c r="AQ59" s="5" t="n"/>
    </row>
    <row r="60" ht="42.75" customHeight="1" s="24">
      <c r="A60" s="5" t="n">
        <v>59</v>
      </c>
      <c r="B60" s="5" t="inlineStr">
        <is>
          <t>外壁塗装 工期</t>
        </is>
      </c>
      <c r="C60" s="5" t="inlineStr">
        <is>
          <t>外壁塗装 工期</t>
        </is>
      </c>
      <c r="D60" s="5" t="inlineStr">
        <is>
          <t>外壁塗装の工期はどれくらい？工程・日数・遅れる原因を解説</t>
        </is>
      </c>
      <c r="E60" s="5" t="inlineStr">
        <is>
          <t>外壁塗装</t>
        </is>
      </c>
      <c r="F60" s="5" t="inlineStr">
        <is>
          <t>季節・時期型</t>
        </is>
      </c>
      <c r="G60" s="5" t="inlineStr">
        <is>
          <t>地域サービス型</t>
        </is>
      </c>
      <c r="H60" s="5" t="inlineStr">
        <is>
          <t>4,500〜6,000字</t>
        </is>
      </c>
      <c r="I60" s="5" t="n">
        <v>4500</v>
      </c>
      <c r="J60" s="5" t="n">
        <v>6000</v>
      </c>
      <c r="K60" s="5" t="inlineStr">
        <is>
          <t>中</t>
        </is>
      </c>
      <c r="L60" s="5" t="inlineStr">
        <is>
          <t>第3ロット：外壁塗装・防水系</t>
        </is>
      </c>
      <c r="M60" s="5" t="inlineStr">
        <is>
          <t>059.md</t>
        </is>
      </c>
      <c r="N60" s="5" t="inlineStr">
        <is>
          <t>059.webp</t>
        </is>
      </c>
      <c r="O60" s="5" t="inlineStr">
        <is>
          <t>exterior-paint-duration</t>
        </is>
      </c>
      <c r="P60" s="5" t="inlineStr">
        <is>
          <t>外壁塗装 工期について、特徴、注意点、費用目安、業者選びのポイントを初心者にもわかりやすく解説します。</t>
        </is>
      </c>
      <c r="Q60" s="5" t="inlineStr">
        <is>
          <t>外壁塗装</t>
        </is>
      </c>
      <c r="R60" s="5" t="inlineStr">
        <is>
          <t>外壁塗装</t>
        </is>
      </c>
      <c r="S60" s="5" t="inlineStr">
        <is>
          <t>外装劣化診断・外壁塗装無料見積り</t>
        </is>
      </c>
      <c r="T60" s="5" t="inlineStr">
        <is>
          <t>無料見積りCTA</t>
        </is>
      </c>
      <c r="U60" s="5" t="inlineStr">
        <is>
          <t>費用は原因箇所や補修範囲で変わります。現地調査で状態を確認し、見積もりの根拠を写真付きでご説明します。</t>
        </is>
      </c>
      <c r="V60" s="5" t="inlineStr">
        <is>
          <t>外壁塗装 工期</t>
        </is>
      </c>
      <c r="W60" s="5" t="inlineStr">
        <is>
          <t>放置リスクと判断基準を解説</t>
        </is>
      </c>
      <c r="X60" s="5" t="inlineStr">
        <is>
          <t>無料診断で状態確認</t>
        </is>
      </c>
      <c r="Y60" s="5" t="inlineStr">
        <is>
          <t>外壁ひび割れ・チョーキング・住宅外観</t>
        </is>
      </c>
      <c r="Z60" s="5" t="inlineStr">
        <is>
          <t>職人＋困った住人</t>
        </is>
      </c>
      <c r="AA60" s="5" t="inlineStr">
        <is>
          <t>松山市版</t>
        </is>
      </c>
      <c r="AB60" s="5" t="inlineStr">
        <is>
          <t>外壁塗装訴求</t>
        </is>
      </c>
      <c r="AC60" s="5" t="inlineStr">
        <is>
          <t>未着手</t>
        </is>
      </c>
      <c r="AD60" s="5" t="inlineStr">
        <is>
          <t>画像確認済み</t>
        </is>
      </c>
      <c r="AE60" s="5" t="inlineStr">
        <is>
          <t>未反映</t>
        </is>
      </c>
      <c r="AF60" s="5" t="inlineStr">
        <is>
          <t>posted</t>
        </is>
      </c>
      <c r="AG60" s="5" t="inlineStr">
        <is>
          <t>post/create_only</t>
        </is>
      </c>
      <c r="AH60" s="5" t="n">
        <v>22037</v>
      </c>
      <c r="AI60" s="5" t="inlineStr">
        <is>
          <t>https://www.sunadatosou.com/?p=22037</t>
        </is>
      </c>
      <c r="AJ60" s="29" t="inlineStr">
        <is>
          <t>2026-06-27 17:17:05</t>
        </is>
      </c>
      <c r="AK60" s="29" t="n"/>
      <c r="AL60" s="5" t="n">
        <v>3627</v>
      </c>
      <c r="AM60" s="5" t="inlineStr">
        <is>
          <t>不足(目安4,500〜6,000字)</t>
        </is>
      </c>
      <c r="AN60" s="5" t="n"/>
      <c r="AO60" s="5" t="inlineStr">
        <is>
          <t>関連：外壁塗装工期、足場代、防水工事、屋根カバーへリンク。</t>
        </is>
      </c>
      <c r="AP60" s="5" t="inlineStr">
        <is>
          <t>H1なし／この記事でわかること／地域事情／事例／原因・費用／CTA／FAQ</t>
        </is>
      </c>
      <c r="AQ60" s="5" t="n"/>
    </row>
    <row r="61" ht="42.75" customHeight="1" s="24">
      <c r="A61" s="5" t="n">
        <v>60</v>
      </c>
      <c r="B61" s="5" t="inlineStr">
        <is>
          <t>外壁塗装 足場代</t>
        </is>
      </c>
      <c r="C61" s="5" t="inlineStr">
        <is>
          <t>外壁塗装 足場代</t>
        </is>
      </c>
      <c r="D61" s="5" t="inlineStr">
        <is>
          <t>外壁塗装の足場代はいくら？費用相場と節約の考え方</t>
        </is>
      </c>
      <c r="E61" s="5" t="inlineStr">
        <is>
          <t>外壁塗装</t>
        </is>
      </c>
      <c r="F61" s="5" t="inlineStr">
        <is>
          <t>費用・相場型</t>
        </is>
      </c>
      <c r="G61" s="5" t="inlineStr">
        <is>
          <t>費用・相場型</t>
        </is>
      </c>
      <c r="H61" s="5" t="inlineStr">
        <is>
          <t>4,500〜6,000字</t>
        </is>
      </c>
      <c r="I61" s="5" t="n">
        <v>4500</v>
      </c>
      <c r="J61" s="5" t="n">
        <v>6000</v>
      </c>
      <c r="K61" s="5" t="inlineStr">
        <is>
          <t>中</t>
        </is>
      </c>
      <c r="L61" s="5" t="inlineStr">
        <is>
          <t>第3ロット：外壁塗装・防水系</t>
        </is>
      </c>
      <c r="M61" s="5" t="inlineStr">
        <is>
          <t>060.md</t>
        </is>
      </c>
      <c r="N61" s="5" t="inlineStr">
        <is>
          <t>060.webp</t>
        </is>
      </c>
      <c r="O61" s="5" t="inlineStr">
        <is>
          <t>exterior-paint-scaffold-cost</t>
        </is>
      </c>
      <c r="P61" s="5" t="inlineStr">
        <is>
          <t>外壁塗装 足場代について、費用相場、内訳、金額が変わる要因、見積もり時の注意点をわかりやすく解説します。</t>
        </is>
      </c>
      <c r="Q61" s="5" t="inlineStr">
        <is>
          <t>外壁塗装</t>
        </is>
      </c>
      <c r="R61" s="5" t="inlineStr">
        <is>
          <t>外壁塗装</t>
        </is>
      </c>
      <c r="S61" s="5" t="inlineStr">
        <is>
          <t>無料見積り・費用根拠の見える化</t>
        </is>
      </c>
      <c r="T61" s="5" t="inlineStr">
        <is>
          <t>無料見積りCTA</t>
        </is>
      </c>
      <c r="U61" s="5" t="inlineStr">
        <is>
          <t>費用は原因箇所や補修範囲で変わります。現地調査で状態を確認し、見積もりの根拠を写真付きでご説明します。</t>
        </is>
      </c>
      <c r="V61" s="5" t="inlineStr">
        <is>
          <t>外壁塗装 足場代</t>
        </is>
      </c>
      <c r="W61" s="5" t="inlineStr">
        <is>
          <t>放置リスクと判断基準を解説</t>
        </is>
      </c>
      <c r="X61" s="5" t="inlineStr">
        <is>
          <t>無料診断で状態確認</t>
        </is>
      </c>
      <c r="Y61" s="5" t="inlineStr">
        <is>
          <t>外壁ひび割れ・チョーキング・住宅外観</t>
        </is>
      </c>
      <c r="Z61" s="5" t="inlineStr">
        <is>
          <t>職人＋困った住人</t>
        </is>
      </c>
      <c r="AA61" s="5" t="inlineStr">
        <is>
          <t>松山市版</t>
        </is>
      </c>
      <c r="AB61" s="5" t="inlineStr">
        <is>
          <t>外壁塗装訴求</t>
        </is>
      </c>
      <c r="AC61" s="5" t="inlineStr">
        <is>
          <t>未着手</t>
        </is>
      </c>
      <c r="AD61" s="5" t="inlineStr">
        <is>
          <t>画像確認済み</t>
        </is>
      </c>
      <c r="AE61" s="5" t="inlineStr">
        <is>
          <t>未反映</t>
        </is>
      </c>
      <c r="AF61" s="5" t="inlineStr">
        <is>
          <t>posted</t>
        </is>
      </c>
      <c r="AG61" s="5" t="inlineStr">
        <is>
          <t>post/create_only</t>
        </is>
      </c>
      <c r="AH61" s="5" t="n">
        <v>22039</v>
      </c>
      <c r="AI61" s="5" t="inlineStr">
        <is>
          <t>https://www.sunadatosou.com/?p=22039</t>
        </is>
      </c>
      <c r="AJ61" s="29" t="inlineStr">
        <is>
          <t>2026-06-27 17:17:15</t>
        </is>
      </c>
      <c r="AK61" s="29" t="n"/>
      <c r="AL61" s="5" t="n">
        <v>3643</v>
      </c>
      <c r="AM61" s="5" t="inlineStr">
        <is>
          <t>不足(目安4,500〜6,000字)</t>
        </is>
      </c>
      <c r="AN61" s="5" t="n"/>
      <c r="AO61" s="5" t="inlineStr">
        <is>
          <t>関連：外壁塗装工期、足場代、防水工事、屋根カバーへリンク。</t>
        </is>
      </c>
      <c r="AP61" s="5" t="inlineStr">
        <is>
          <t>H1なし／この記事でわかること／地域事情／事例／原因・費用／CTA／FAQ</t>
        </is>
      </c>
      <c r="AQ61" s="5" t="n"/>
    </row>
    <row r="62" ht="42.75" customHeight="1" s="24">
      <c r="A62" s="5" t="n">
        <v>61</v>
      </c>
      <c r="B62" s="5" t="inlineStr">
        <is>
          <t>樋 塗装 松山市</t>
        </is>
      </c>
      <c r="C62" s="5" t="inlineStr">
        <is>
          <t>雨樋 塗装 松山市</t>
        </is>
      </c>
      <c r="D62" s="5" t="inlineStr">
        <is>
          <t>松山市の雨樋塗装は必要？費用・劣化症状・塗り替え時期を解説</t>
        </is>
      </c>
      <c r="E62" s="5" t="inlineStr">
        <is>
          <t>付帯部</t>
        </is>
      </c>
      <c r="F62" s="5" t="inlineStr">
        <is>
          <t>付帯部型</t>
        </is>
      </c>
      <c r="G62" s="5" t="inlineStr">
        <is>
          <t>地域サービス型</t>
        </is>
      </c>
      <c r="H62" s="5" t="inlineStr">
        <is>
          <t>4,500〜6,000字</t>
        </is>
      </c>
      <c r="I62" s="5" t="n">
        <v>4500</v>
      </c>
      <c r="J62" s="5" t="n">
        <v>6000</v>
      </c>
      <c r="K62" s="5" t="inlineStr">
        <is>
          <t>中</t>
        </is>
      </c>
      <c r="L62" s="5" t="inlineStr">
        <is>
          <t>第4ロット：雨樋・軒天・付帯部系</t>
        </is>
      </c>
      <c r="M62" s="5" t="inlineStr">
        <is>
          <t>061.md</t>
        </is>
      </c>
      <c r="N62" s="5" t="inlineStr">
        <is>
          <t>061.webp</t>
        </is>
      </c>
      <c r="O62" s="5" t="inlineStr">
        <is>
          <t>gutter-paint-matsuyama</t>
        </is>
      </c>
      <c r="P62" s="5" t="inlineStr">
        <is>
          <t>雨樋 塗装 松山市について、劣化症状、補修・塗装の判断基準、費用目安、外壁塗装と同時施工するメリットを解説します。</t>
        </is>
      </c>
      <c r="Q62" s="5" t="inlineStr">
        <is>
          <t>付帯部</t>
        </is>
      </c>
      <c r="R62" s="5" t="inlineStr">
        <is>
          <t>松山市、雨樋、付帯部</t>
        </is>
      </c>
      <c r="S62" s="5" t="inlineStr">
        <is>
          <t>付帯部点検・外装劣化診断</t>
        </is>
      </c>
      <c r="T62" s="5" t="inlineStr">
        <is>
          <t>付帯部点検CTA</t>
        </is>
      </c>
      <c r="U62" s="5" t="inlineStr">
        <is>
          <t>外壁・屋根・付帯部を無料現地調査し、今すぐ必要な工事と様子を見られる箇所を分けてご案内します。</t>
        </is>
      </c>
      <c r="V62" s="5" t="inlineStr">
        <is>
          <t>樋 塗装 松山市</t>
        </is>
      </c>
      <c r="W62" s="5" t="inlineStr">
        <is>
          <t>割れ・外れ・劣化を放置NG</t>
        </is>
      </c>
      <c r="X62" s="5" t="inlineStr">
        <is>
          <t>交換と塗装の判断ポイント</t>
        </is>
      </c>
      <c r="Y62" s="5" t="inlineStr">
        <is>
          <t>雨樋の割れ・外れ・雨水</t>
        </is>
      </c>
      <c r="Z62" s="5" t="inlineStr">
        <is>
          <t>点検する職人</t>
        </is>
      </c>
      <c r="AA62" s="5" t="inlineStr">
        <is>
          <t>松山市版</t>
        </is>
      </c>
      <c r="AB62" s="5" t="inlineStr">
        <is>
          <t>付帯部訴求</t>
        </is>
      </c>
      <c r="AC62" s="5" t="inlineStr">
        <is>
          <t>未着手</t>
        </is>
      </c>
      <c r="AD62" s="5" t="inlineStr">
        <is>
          <t>画像確認済み</t>
        </is>
      </c>
      <c r="AE62" s="5" t="inlineStr">
        <is>
          <t>未反映</t>
        </is>
      </c>
      <c r="AF62" s="5" t="inlineStr">
        <is>
          <t>posted</t>
        </is>
      </c>
      <c r="AG62" s="5" t="inlineStr">
        <is>
          <t>post/create_only</t>
        </is>
      </c>
      <c r="AH62" s="5" t="n">
        <v>22041</v>
      </c>
      <c r="AI62" s="5" t="inlineStr">
        <is>
          <t>https://www.sunadatosou.com/?p=22041</t>
        </is>
      </c>
      <c r="AJ62" s="29" t="inlineStr">
        <is>
          <t>2026-06-27 17:17:27</t>
        </is>
      </c>
      <c r="AK62" s="29" t="n"/>
      <c r="AL62" s="5" t="n">
        <v>3756</v>
      </c>
      <c r="AM62" s="5" t="inlineStr">
        <is>
          <t>不足(目安4,500〜6,000字)</t>
        </is>
      </c>
      <c r="AN62" s="5" t="n"/>
      <c r="AO62" s="5" t="inlineStr">
        <is>
          <t>関連：外壁塗装、雨樋、軒天、付帯部補修記事へリンク。</t>
        </is>
      </c>
      <c r="AP62" s="5" t="inlineStr">
        <is>
          <t>H1なし／この記事でわかること／地域事情／事例／原因・費用／CTA／FAQ</t>
        </is>
      </c>
      <c r="AQ62" s="5" t="n"/>
    </row>
    <row r="63" ht="42.75" customHeight="1" s="24">
      <c r="A63" s="5" t="n">
        <v>62</v>
      </c>
      <c r="B63" s="5" t="inlineStr">
        <is>
          <t>雨樋 交換 松山市</t>
        </is>
      </c>
      <c r="C63" s="5" t="inlineStr">
        <is>
          <t>雨樋 交換 松山市</t>
        </is>
      </c>
      <c r="D63" s="5" t="inlineStr">
        <is>
          <t>松山市の雨樋交換はいつ必要？費用・修理との違いを解説</t>
        </is>
      </c>
      <c r="E63" s="5" t="inlineStr">
        <is>
          <t>付帯部</t>
        </is>
      </c>
      <c r="F63" s="5" t="inlineStr">
        <is>
          <t>付帯部型</t>
        </is>
      </c>
      <c r="G63" s="5" t="inlineStr">
        <is>
          <t>地域サービス型</t>
        </is>
      </c>
      <c r="H63" s="5" t="inlineStr">
        <is>
          <t>4,500〜6,000字</t>
        </is>
      </c>
      <c r="I63" s="5" t="n">
        <v>4500</v>
      </c>
      <c r="J63" s="5" t="n">
        <v>6000</v>
      </c>
      <c r="K63" s="5" t="inlineStr">
        <is>
          <t>中</t>
        </is>
      </c>
      <c r="L63" s="5" t="inlineStr">
        <is>
          <t>第4ロット：雨樋・軒天・付帯部系</t>
        </is>
      </c>
      <c r="M63" s="5" t="inlineStr">
        <is>
          <t>062.md</t>
        </is>
      </c>
      <c r="N63" s="5" t="inlineStr">
        <is>
          <t>062.webp</t>
        </is>
      </c>
      <c r="O63" s="5" t="inlineStr">
        <is>
          <t>gutter-replacement-matsuyama</t>
        </is>
      </c>
      <c r="P63" s="5" t="inlineStr">
        <is>
          <t>雨樋 交換 松山市について、劣化症状、補修・塗装の判断基準、費用目安、外壁塗装と同時施工するメリットを解説します。</t>
        </is>
      </c>
      <c r="Q63" s="5" t="inlineStr">
        <is>
          <t>付帯部</t>
        </is>
      </c>
      <c r="R63" s="5" t="inlineStr">
        <is>
          <t>松山市、雨樋、付帯部</t>
        </is>
      </c>
      <c r="S63" s="5" t="inlineStr">
        <is>
          <t>付帯部点検・外装劣化診断</t>
        </is>
      </c>
      <c r="T63" s="5" t="inlineStr">
        <is>
          <t>付帯部点検CTA</t>
        </is>
      </c>
      <c r="U63" s="5" t="inlineStr">
        <is>
          <t>外壁・屋根・付帯部を無料現地調査し、今すぐ必要な工事と様子を見られる箇所を分けてご案内します。</t>
        </is>
      </c>
      <c r="V63" s="5" t="inlineStr">
        <is>
          <t>雨樋 交換 松山市</t>
        </is>
      </c>
      <c r="W63" s="5" t="inlineStr">
        <is>
          <t>割れ・外れ・劣化を放置NG</t>
        </is>
      </c>
      <c r="X63" s="5" t="inlineStr">
        <is>
          <t>交換と塗装の判断ポイント</t>
        </is>
      </c>
      <c r="Y63" s="5" t="inlineStr">
        <is>
          <t>雨樋の割れ・外れ・雨水</t>
        </is>
      </c>
      <c r="Z63" s="5" t="inlineStr">
        <is>
          <t>点検する職人</t>
        </is>
      </c>
      <c r="AA63" s="5" t="inlineStr">
        <is>
          <t>松山市版</t>
        </is>
      </c>
      <c r="AB63" s="5" t="inlineStr">
        <is>
          <t>付帯部訴求</t>
        </is>
      </c>
      <c r="AC63" s="5" t="inlineStr">
        <is>
          <t>未着手</t>
        </is>
      </c>
      <c r="AD63" s="5" t="inlineStr">
        <is>
          <t>画像確認済み</t>
        </is>
      </c>
      <c r="AE63" s="5" t="inlineStr">
        <is>
          <t>未反映</t>
        </is>
      </c>
      <c r="AF63" s="5" t="inlineStr">
        <is>
          <t>posted</t>
        </is>
      </c>
      <c r="AG63" s="5" t="inlineStr">
        <is>
          <t>post/create_only</t>
        </is>
      </c>
      <c r="AH63" s="5" t="n">
        <v>22043</v>
      </c>
      <c r="AI63" s="5" t="inlineStr">
        <is>
          <t>https://www.sunadatosou.com/?p=22043</t>
        </is>
      </c>
      <c r="AJ63" s="29" t="inlineStr">
        <is>
          <t>2026-06-27 17:17:35</t>
        </is>
      </c>
      <c r="AK63" s="29" t="n"/>
      <c r="AL63" s="5" t="n">
        <v>3753</v>
      </c>
      <c r="AM63" s="5" t="inlineStr">
        <is>
          <t>不足(目安4,500〜6,000字)</t>
        </is>
      </c>
      <c r="AN63" s="5" t="n"/>
      <c r="AO63" s="5" t="inlineStr">
        <is>
          <t>関連：外壁塗装、雨樋、軒天、付帯部補修記事へリンク。</t>
        </is>
      </c>
      <c r="AP63" s="5" t="inlineStr">
        <is>
          <t>H1なし／この記事でわかること／地域事情／事例／原因・費用／CTA／FAQ</t>
        </is>
      </c>
      <c r="AQ63" s="5" t="n"/>
    </row>
    <row r="64" ht="42.75" customHeight="1" s="24">
      <c r="A64" s="5" t="n">
        <v>63</v>
      </c>
      <c r="B64" s="5" t="inlineStr">
        <is>
          <t>雨樋 色あせ</t>
        </is>
      </c>
      <c r="C64" s="5" t="inlineStr">
        <is>
          <t>雨樋 色あせ</t>
        </is>
      </c>
      <c r="D64" s="5" t="inlineStr">
        <is>
          <t>雨樋の色あせは塗装すべき？劣化サインとメンテナンス方法</t>
        </is>
      </c>
      <c r="E64" s="5" t="inlineStr">
        <is>
          <t>付帯部</t>
        </is>
      </c>
      <c r="F64" s="5" t="inlineStr">
        <is>
          <t>付帯部型</t>
        </is>
      </c>
      <c r="G64" s="5" t="inlineStr">
        <is>
          <t>地域サービス型</t>
        </is>
      </c>
      <c r="H64" s="5" t="inlineStr">
        <is>
          <t>4,000〜5,500字</t>
        </is>
      </c>
      <c r="I64" s="5" t="n">
        <v>4000</v>
      </c>
      <c r="J64" s="5" t="n">
        <v>5500</v>
      </c>
      <c r="K64" s="5" t="inlineStr">
        <is>
          <t>中</t>
        </is>
      </c>
      <c r="L64" s="5" t="inlineStr">
        <is>
          <t>第4ロット：雨樋・軒天・付帯部系</t>
        </is>
      </c>
      <c r="M64" s="5" t="inlineStr">
        <is>
          <t>063.md</t>
        </is>
      </c>
      <c r="N64" s="5" t="inlineStr">
        <is>
          <t>063.webp</t>
        </is>
      </c>
      <c r="O64" s="5" t="inlineStr">
        <is>
          <t>gutter-fading</t>
        </is>
      </c>
      <c r="P64" s="5" t="inlineStr">
        <is>
          <t>雨樋 色あせについて、劣化症状、補修・塗装の判断基準、費用目安、外壁塗装と同時施工するメリットを解説します。</t>
        </is>
      </c>
      <c r="Q64" s="5" t="inlineStr">
        <is>
          <t>付帯部</t>
        </is>
      </c>
      <c r="R64" s="5" t="inlineStr">
        <is>
          <t>雨樋、付帯部</t>
        </is>
      </c>
      <c r="S64" s="5" t="inlineStr">
        <is>
          <t>付帯部点検・外装劣化診断</t>
        </is>
      </c>
      <c r="T64" s="5" t="inlineStr">
        <is>
          <t>付帯部点検CTA</t>
        </is>
      </c>
      <c r="U64" s="5" t="inlineStr">
        <is>
          <t>外壁・屋根・付帯部を無料現地調査し、今すぐ必要な工事と様子を見られる箇所を分けてご案内します。</t>
        </is>
      </c>
      <c r="V64" s="5" t="inlineStr">
        <is>
          <t>雨樋 色あせ</t>
        </is>
      </c>
      <c r="W64" s="5" t="inlineStr">
        <is>
          <t>割れ・外れ・劣化を放置NG</t>
        </is>
      </c>
      <c r="X64" s="5" t="inlineStr">
        <is>
          <t>交換と塗装の判断ポイント</t>
        </is>
      </c>
      <c r="Y64" s="5" t="inlineStr">
        <is>
          <t>雨樋の割れ・外れ・雨水</t>
        </is>
      </c>
      <c r="Z64" s="5" t="inlineStr">
        <is>
          <t>点検する職人</t>
        </is>
      </c>
      <c r="AA64" s="5" t="inlineStr">
        <is>
          <t>松山市版</t>
        </is>
      </c>
      <c r="AB64" s="5" t="inlineStr">
        <is>
          <t>付帯部訴求</t>
        </is>
      </c>
      <c r="AC64" s="5" t="inlineStr">
        <is>
          <t>未着手</t>
        </is>
      </c>
      <c r="AD64" s="5" t="inlineStr">
        <is>
          <t>画像確認済み</t>
        </is>
      </c>
      <c r="AE64" s="5" t="inlineStr">
        <is>
          <t>未反映</t>
        </is>
      </c>
      <c r="AF64" s="5" t="inlineStr">
        <is>
          <t>posted</t>
        </is>
      </c>
      <c r="AG64" s="5" t="inlineStr">
        <is>
          <t>post/create_only</t>
        </is>
      </c>
      <c r="AH64" s="5" t="n">
        <v>22045</v>
      </c>
      <c r="AI64" s="5" t="inlineStr">
        <is>
          <t>https://www.sunadatosou.com/?p=22045</t>
        </is>
      </c>
      <c r="AJ64" s="29" t="inlineStr">
        <is>
          <t>2026-06-27 17:17:46</t>
        </is>
      </c>
      <c r="AK64" s="29" t="n"/>
      <c r="AL64" s="5" t="n">
        <v>3285</v>
      </c>
      <c r="AM64" s="5" t="inlineStr">
        <is>
          <t>不足(目安4,000〜5,500字)</t>
        </is>
      </c>
      <c r="AN64" s="5" t="n"/>
      <c r="AO64" s="5" t="inlineStr">
        <is>
          <t>関連：外壁塗装、雨樋、軒天、付帯部補修記事へリンク。</t>
        </is>
      </c>
      <c r="AP64" s="5" t="inlineStr">
        <is>
          <t>H1なし／この記事でわかること／地域事情／事例／原因・費用／CTA／FAQ</t>
        </is>
      </c>
      <c r="AQ64" s="5" t="n"/>
    </row>
    <row r="65" ht="42.75" customHeight="1" s="24">
      <c r="A65" s="5" t="n">
        <v>64</v>
      </c>
      <c r="B65" s="5" t="inlineStr">
        <is>
          <t>雨樋 塗装 必要</t>
        </is>
      </c>
      <c r="C65" s="5" t="inlineStr">
        <is>
          <t>雨樋 塗装 必要</t>
        </is>
      </c>
      <c r="D65" s="5" t="inlineStr">
        <is>
          <t>雨樋塗装は必要？塗り替えの目的・不要なケースも解説</t>
        </is>
      </c>
      <c r="E65" s="5" t="inlineStr">
        <is>
          <t>付帯部</t>
        </is>
      </c>
      <c r="F65" s="5" t="inlineStr">
        <is>
          <t>付帯部型</t>
        </is>
      </c>
      <c r="G65" s="5" t="inlineStr">
        <is>
          <t>地域サービス型</t>
        </is>
      </c>
      <c r="H65" s="5" t="inlineStr">
        <is>
          <t>4,500〜6,000字</t>
        </is>
      </c>
      <c r="I65" s="5" t="n">
        <v>4500</v>
      </c>
      <c r="J65" s="5" t="n">
        <v>6000</v>
      </c>
      <c r="K65" s="5" t="inlineStr">
        <is>
          <t>中</t>
        </is>
      </c>
      <c r="L65" s="5" t="inlineStr">
        <is>
          <t>第4ロット：雨樋・軒天・付帯部系</t>
        </is>
      </c>
      <c r="M65" s="5" t="inlineStr">
        <is>
          <t>064.md</t>
        </is>
      </c>
      <c r="N65" s="5" t="inlineStr">
        <is>
          <t>064.webp</t>
        </is>
      </c>
      <c r="O65" s="5" t="inlineStr">
        <is>
          <t>gutter-paint-necessity</t>
        </is>
      </c>
      <c r="P65" s="5" t="inlineStr">
        <is>
          <t>雨樋 塗装 必要について、劣化症状、補修・塗装の判断基準、費用目安、外壁塗装と同時施工するメリットを解説します。</t>
        </is>
      </c>
      <c r="Q65" s="5" t="inlineStr">
        <is>
          <t>付帯部</t>
        </is>
      </c>
      <c r="R65" s="5" t="inlineStr">
        <is>
          <t>雨樋、付帯部</t>
        </is>
      </c>
      <c r="S65" s="5" t="inlineStr">
        <is>
          <t>付帯部点検・外装劣化診断</t>
        </is>
      </c>
      <c r="T65" s="5" t="inlineStr">
        <is>
          <t>付帯部点検CTA</t>
        </is>
      </c>
      <c r="U65" s="5" t="inlineStr">
        <is>
          <t>外壁・屋根・付帯部を無料現地調査し、今すぐ必要な工事と様子を見られる箇所を分けてご案内します。</t>
        </is>
      </c>
      <c r="V65" s="5" t="inlineStr">
        <is>
          <t>雨樋 塗装 必要</t>
        </is>
      </c>
      <c r="W65" s="5" t="inlineStr">
        <is>
          <t>割れ・外れ・劣化を放置NG</t>
        </is>
      </c>
      <c r="X65" s="5" t="inlineStr">
        <is>
          <t>交換と塗装の判断ポイント</t>
        </is>
      </c>
      <c r="Y65" s="5" t="inlineStr">
        <is>
          <t>雨樋の割れ・外れ・雨水</t>
        </is>
      </c>
      <c r="Z65" s="5" t="inlineStr">
        <is>
          <t>点検する職人</t>
        </is>
      </c>
      <c r="AA65" s="5" t="inlineStr">
        <is>
          <t>松山市版</t>
        </is>
      </c>
      <c r="AB65" s="5" t="inlineStr">
        <is>
          <t>付帯部訴求</t>
        </is>
      </c>
      <c r="AC65" s="5" t="inlineStr">
        <is>
          <t>未着手</t>
        </is>
      </c>
      <c r="AD65" s="5" t="inlineStr">
        <is>
          <t>画像確認済み</t>
        </is>
      </c>
      <c r="AE65" s="5" t="inlineStr">
        <is>
          <t>未反映</t>
        </is>
      </c>
      <c r="AF65" s="5" t="inlineStr">
        <is>
          <t>posted</t>
        </is>
      </c>
      <c r="AG65" s="5" t="inlineStr">
        <is>
          <t>post/create_only</t>
        </is>
      </c>
      <c r="AH65" s="5" t="n">
        <v>22047</v>
      </c>
      <c r="AI65" s="5" t="inlineStr">
        <is>
          <t>https://www.sunadatosou.com/?p=22047</t>
        </is>
      </c>
      <c r="AJ65" s="29" t="inlineStr">
        <is>
          <t>2026-06-27 17:17:58</t>
        </is>
      </c>
      <c r="AK65" s="29" t="n"/>
      <c r="AL65" s="5" t="n">
        <v>3771</v>
      </c>
      <c r="AM65" s="5" t="inlineStr">
        <is>
          <t>不足(目安4,500〜6,000字)</t>
        </is>
      </c>
      <c r="AN65" s="5" t="n"/>
      <c r="AO65" s="5" t="inlineStr">
        <is>
          <t>関連：外壁塗装、雨樋、軒天、付帯部補修記事へリンク。</t>
        </is>
      </c>
      <c r="AP65" s="5" t="inlineStr">
        <is>
          <t>H1なし／この記事でわかること／地域事情／事例／原因・費用／CTA／FAQ</t>
        </is>
      </c>
      <c r="AQ65" s="5" t="n"/>
    </row>
    <row r="66" ht="42.75" customHeight="1" s="24">
      <c r="A66" s="5" t="n">
        <v>65</v>
      </c>
      <c r="B66" s="5" t="inlineStr">
        <is>
          <t>雨樋 塗装 費用</t>
        </is>
      </c>
      <c r="C66" s="5" t="inlineStr">
        <is>
          <t>雨樋 塗装 費用</t>
        </is>
      </c>
      <c r="D66" s="5" t="inlineStr">
        <is>
          <t>雨樋塗装の費用相場はいくら？単価・足場代・注意点を解説</t>
        </is>
      </c>
      <c r="E66" s="5" t="inlineStr">
        <is>
          <t>付帯部</t>
        </is>
      </c>
      <c r="F66" s="5" t="inlineStr">
        <is>
          <t>費用・相場型</t>
        </is>
      </c>
      <c r="G66" s="5" t="inlineStr">
        <is>
          <t>費用・相場型</t>
        </is>
      </c>
      <c r="H66" s="5" t="inlineStr">
        <is>
          <t>4,500〜6,000字</t>
        </is>
      </c>
      <c r="I66" s="5" t="n">
        <v>4500</v>
      </c>
      <c r="J66" s="5" t="n">
        <v>6000</v>
      </c>
      <c r="K66" s="5" t="inlineStr">
        <is>
          <t>中</t>
        </is>
      </c>
      <c r="L66" s="5" t="inlineStr">
        <is>
          <t>第4ロット：雨樋・軒天・付帯部系</t>
        </is>
      </c>
      <c r="M66" s="5" t="inlineStr">
        <is>
          <t>065.md</t>
        </is>
      </c>
      <c r="N66" s="5" t="inlineStr">
        <is>
          <t>065.webp</t>
        </is>
      </c>
      <c r="O66" s="5" t="inlineStr">
        <is>
          <t>gutter-paint-cost</t>
        </is>
      </c>
      <c r="P66" s="5" t="inlineStr">
        <is>
          <t>雨樋 塗装 費用について、費用相場、内訳、金額が変わる要因、見積もり時の注意点をわかりやすく解説します。</t>
        </is>
      </c>
      <c r="Q66" s="5" t="inlineStr">
        <is>
          <t>付帯部</t>
        </is>
      </c>
      <c r="R66" s="5" t="inlineStr">
        <is>
          <t>雨樋、費用、付帯部</t>
        </is>
      </c>
      <c r="S66" s="5" t="inlineStr">
        <is>
          <t>無料見積り・費用根拠の見える化</t>
        </is>
      </c>
      <c r="T66" s="5" t="inlineStr">
        <is>
          <t>無料見積りCTA</t>
        </is>
      </c>
      <c r="U66" s="5" t="inlineStr">
        <is>
          <t>費用は原因箇所や補修範囲で変わります。現地調査で状態を確認し、見積もりの根拠を写真付きでご説明します。</t>
        </is>
      </c>
      <c r="V66" s="5" t="inlineStr">
        <is>
          <t>雨樋 塗装 費用</t>
        </is>
      </c>
      <c r="W66" s="5" t="inlineStr">
        <is>
          <t>割れ・外れ・劣化を放置NG</t>
        </is>
      </c>
      <c r="X66" s="5" t="inlineStr">
        <is>
          <t>交換と塗装の判断ポイント</t>
        </is>
      </c>
      <c r="Y66" s="5" t="inlineStr">
        <is>
          <t>雨樋の割れ・外れ・雨水</t>
        </is>
      </c>
      <c r="Z66" s="5" t="inlineStr">
        <is>
          <t>点検する職人</t>
        </is>
      </c>
      <c r="AA66" s="5" t="inlineStr">
        <is>
          <t>松山市版</t>
        </is>
      </c>
      <c r="AB66" s="5" t="inlineStr">
        <is>
          <t>付帯部訴求</t>
        </is>
      </c>
      <c r="AC66" s="5" t="inlineStr">
        <is>
          <t>未着手</t>
        </is>
      </c>
      <c r="AD66" s="5" t="inlineStr">
        <is>
          <t>画像確認済み</t>
        </is>
      </c>
      <c r="AE66" s="5" t="inlineStr">
        <is>
          <t>未反映</t>
        </is>
      </c>
      <c r="AF66" s="5" t="inlineStr">
        <is>
          <t>posted</t>
        </is>
      </c>
      <c r="AG66" s="5" t="inlineStr">
        <is>
          <t>post/create_only</t>
        </is>
      </c>
      <c r="AH66" s="5" t="n">
        <v>22049</v>
      </c>
      <c r="AI66" s="5" t="inlineStr">
        <is>
          <t>https://www.sunadatosou.com/?p=22049</t>
        </is>
      </c>
      <c r="AJ66" s="29" t="inlineStr">
        <is>
          <t>2026-06-27 17:18:08</t>
        </is>
      </c>
      <c r="AK66" s="29" t="n"/>
      <c r="AL66" s="5" t="n">
        <v>3764</v>
      </c>
      <c r="AM66" s="5" t="inlineStr">
        <is>
          <t>不足(目安4,500〜6,000字)</t>
        </is>
      </c>
      <c r="AN66" s="5" t="n"/>
      <c r="AO66" s="5" t="inlineStr">
        <is>
          <t>関連：外壁塗装、雨樋、軒天、付帯部補修記事へリンク。</t>
        </is>
      </c>
      <c r="AP66" s="5" t="inlineStr">
        <is>
          <t>H1なし／この記事でわかること／地域事情／事例／原因・費用／CTA／FAQ</t>
        </is>
      </c>
      <c r="AQ66" s="5" t="n"/>
    </row>
    <row r="67" ht="42.75" customHeight="1" s="24">
      <c r="A67" s="5" t="n">
        <v>66</v>
      </c>
      <c r="B67" s="5" t="inlineStr">
        <is>
          <t>雨樋 割れ 補修</t>
        </is>
      </c>
      <c r="C67" s="5" t="inlineStr">
        <is>
          <t>雨樋 割れ 補修</t>
        </is>
      </c>
      <c r="D67" s="5" t="inlineStr">
        <is>
          <t>雨樋の割れは補修できる？修理・交換の判断ポイント</t>
        </is>
      </c>
      <c r="E67" s="5" t="inlineStr">
        <is>
          <t>付帯部</t>
        </is>
      </c>
      <c r="F67" s="5" t="inlineStr">
        <is>
          <t>付帯部型</t>
        </is>
      </c>
      <c r="G67" s="5" t="inlineStr">
        <is>
          <t>地域サービス型</t>
        </is>
      </c>
      <c r="H67" s="5" t="inlineStr">
        <is>
          <t>4,500〜6,000字</t>
        </is>
      </c>
      <c r="I67" s="5" t="n">
        <v>4500</v>
      </c>
      <c r="J67" s="5" t="n">
        <v>6000</v>
      </c>
      <c r="K67" s="5" t="inlineStr">
        <is>
          <t>中</t>
        </is>
      </c>
      <c r="L67" s="5" t="inlineStr">
        <is>
          <t>第4ロット：雨樋・軒天・付帯部系</t>
        </is>
      </c>
      <c r="M67" s="5" t="inlineStr">
        <is>
          <t>066.md</t>
        </is>
      </c>
      <c r="N67" s="5" t="inlineStr">
        <is>
          <t>066.webp</t>
        </is>
      </c>
      <c r="O67" s="5" t="inlineStr">
        <is>
          <t>gutter-crack-repair</t>
        </is>
      </c>
      <c r="P67" s="5" t="inlineStr">
        <is>
          <t>雨樋 割れ 補修について、劣化症状、補修・塗装の判断基準、費用目安、外壁塗装と同時施工するメリットを解説します。</t>
        </is>
      </c>
      <c r="Q67" s="5" t="inlineStr">
        <is>
          <t>付帯部</t>
        </is>
      </c>
      <c r="R67" s="5" t="inlineStr">
        <is>
          <t>雨樋、付帯部</t>
        </is>
      </c>
      <c r="S67" s="5" t="inlineStr">
        <is>
          <t>付帯部点検・外装劣化診断</t>
        </is>
      </c>
      <c r="T67" s="5" t="inlineStr">
        <is>
          <t>付帯部点検CTA</t>
        </is>
      </c>
      <c r="U67" s="5" t="inlineStr">
        <is>
          <t>外壁・屋根・付帯部を無料現地調査し、今すぐ必要な工事と様子を見られる箇所を分けてご案内します。</t>
        </is>
      </c>
      <c r="V67" s="5" t="inlineStr">
        <is>
          <t>雨樋 割れ 補修</t>
        </is>
      </c>
      <c r="W67" s="5" t="inlineStr">
        <is>
          <t>割れ・外れ・劣化を放置NG</t>
        </is>
      </c>
      <c r="X67" s="5" t="inlineStr">
        <is>
          <t>交換と塗装の判断ポイント</t>
        </is>
      </c>
      <c r="Y67" s="5" t="inlineStr">
        <is>
          <t>雨樋の割れ・外れ・雨水</t>
        </is>
      </c>
      <c r="Z67" s="5" t="inlineStr">
        <is>
          <t>点検する職人</t>
        </is>
      </c>
      <c r="AA67" s="5" t="inlineStr">
        <is>
          <t>松山市版</t>
        </is>
      </c>
      <c r="AB67" s="5" t="inlineStr">
        <is>
          <t>付帯部訴求</t>
        </is>
      </c>
      <c r="AC67" s="5" t="inlineStr">
        <is>
          <t>未着手</t>
        </is>
      </c>
      <c r="AD67" s="5" t="inlineStr">
        <is>
          <t>画像確認済み</t>
        </is>
      </c>
      <c r="AE67" s="5" t="inlineStr">
        <is>
          <t>未反映</t>
        </is>
      </c>
      <c r="AF67" s="5" t="inlineStr">
        <is>
          <t>posted</t>
        </is>
      </c>
      <c r="AG67" s="5" t="inlineStr">
        <is>
          <t>post/create_only</t>
        </is>
      </c>
      <c r="AH67" s="5" t="n">
        <v>22051</v>
      </c>
      <c r="AI67" s="5" t="inlineStr">
        <is>
          <t>https://www.sunadatosou.com/?p=22051</t>
        </is>
      </c>
      <c r="AJ67" s="29" t="inlineStr">
        <is>
          <t>2026-06-27 17:18:17</t>
        </is>
      </c>
      <c r="AK67" s="29" t="n"/>
      <c r="AL67" s="5" t="n">
        <v>3762</v>
      </c>
      <c r="AM67" s="5" t="inlineStr">
        <is>
          <t>不足(目安4,500〜6,000字)</t>
        </is>
      </c>
      <c r="AN67" s="5" t="n"/>
      <c r="AO67" s="5" t="inlineStr">
        <is>
          <t>関連：外壁塗装、雨樋、軒天、付帯部補修記事へリンク。</t>
        </is>
      </c>
      <c r="AP67" s="5" t="inlineStr">
        <is>
          <t>H1なし／この記事でわかること／地域事情／事例／原因・費用／CTA／FAQ</t>
        </is>
      </c>
      <c r="AQ67" s="5" t="n"/>
    </row>
    <row r="68" ht="42.75" customHeight="1" s="24">
      <c r="A68" s="5" t="n">
        <v>67</v>
      </c>
      <c r="B68" s="5" t="inlineStr">
        <is>
          <t>雨樋 外れ 修理</t>
        </is>
      </c>
      <c r="C68" s="5" t="inlineStr">
        <is>
          <t>雨樋 外れ 修理</t>
        </is>
      </c>
      <c r="D68" s="5" t="inlineStr">
        <is>
          <t>雨樋が外れたときの修理方法｜原因・費用・放置リスク</t>
        </is>
      </c>
      <c r="E68" s="5" t="inlineStr">
        <is>
          <t>付帯部</t>
        </is>
      </c>
      <c r="F68" s="5" t="inlineStr">
        <is>
          <t>付帯部型</t>
        </is>
      </c>
      <c r="G68" s="5" t="inlineStr">
        <is>
          <t>地域サービス型</t>
        </is>
      </c>
      <c r="H68" s="5" t="inlineStr">
        <is>
          <t>4,500〜6,000字</t>
        </is>
      </c>
      <c r="I68" s="5" t="n">
        <v>4500</v>
      </c>
      <c r="J68" s="5" t="n">
        <v>6000</v>
      </c>
      <c r="K68" s="5" t="inlineStr">
        <is>
          <t>中</t>
        </is>
      </c>
      <c r="L68" s="5" t="inlineStr">
        <is>
          <t>第4ロット：雨樋・軒天・付帯部系</t>
        </is>
      </c>
      <c r="M68" s="5" t="inlineStr">
        <is>
          <t>067.md</t>
        </is>
      </c>
      <c r="N68" s="5" t="inlineStr">
        <is>
          <t>067.webp</t>
        </is>
      </c>
      <c r="O68" s="5" t="inlineStr">
        <is>
          <t>gutter-detached-repair</t>
        </is>
      </c>
      <c r="P68" s="5" t="inlineStr">
        <is>
          <t>雨樋 外れ 修理について、劣化症状、補修・塗装の判断基準、費用目安、外壁塗装と同時施工するメリットを解説します。</t>
        </is>
      </c>
      <c r="Q68" s="5" t="inlineStr">
        <is>
          <t>付帯部</t>
        </is>
      </c>
      <c r="R68" s="5" t="inlineStr">
        <is>
          <t>雨樋、付帯部</t>
        </is>
      </c>
      <c r="S68" s="5" t="inlineStr">
        <is>
          <t>付帯部点検・外装劣化診断</t>
        </is>
      </c>
      <c r="T68" s="5" t="inlineStr">
        <is>
          <t>付帯部点検CTA</t>
        </is>
      </c>
      <c r="U68" s="5" t="inlineStr">
        <is>
          <t>外壁・屋根・付帯部を無料現地調査し、今すぐ必要な工事と様子を見られる箇所を分けてご案内します。</t>
        </is>
      </c>
      <c r="V68" s="5" t="inlineStr">
        <is>
          <t>雨樋 外れ 修理</t>
        </is>
      </c>
      <c r="W68" s="5" t="inlineStr">
        <is>
          <t>割れ・外れ・劣化を放置NG</t>
        </is>
      </c>
      <c r="X68" s="5" t="inlineStr">
        <is>
          <t>交換と塗装の判断ポイント</t>
        </is>
      </c>
      <c r="Y68" s="5" t="inlineStr">
        <is>
          <t>雨樋の割れ・外れ・雨水</t>
        </is>
      </c>
      <c r="Z68" s="5" t="inlineStr">
        <is>
          <t>点検する職人</t>
        </is>
      </c>
      <c r="AA68" s="5" t="inlineStr">
        <is>
          <t>松山市版</t>
        </is>
      </c>
      <c r="AB68" s="5" t="inlineStr">
        <is>
          <t>付帯部訴求</t>
        </is>
      </c>
      <c r="AC68" s="5" t="inlineStr">
        <is>
          <t>未着手</t>
        </is>
      </c>
      <c r="AD68" s="5" t="inlineStr">
        <is>
          <t>画像確認済み</t>
        </is>
      </c>
      <c r="AE68" s="5" t="inlineStr">
        <is>
          <t>未反映</t>
        </is>
      </c>
      <c r="AF68" s="5" t="inlineStr">
        <is>
          <t>posted</t>
        </is>
      </c>
      <c r="AG68" s="5" t="inlineStr">
        <is>
          <t>post/create_only</t>
        </is>
      </c>
      <c r="AH68" s="5" t="n">
        <v>22053</v>
      </c>
      <c r="AI68" s="5" t="inlineStr">
        <is>
          <t>https://www.sunadatosou.com/?p=22053</t>
        </is>
      </c>
      <c r="AJ68" s="29" t="inlineStr">
        <is>
          <t>2026-06-27 17:18:27</t>
        </is>
      </c>
      <c r="AK68" s="29" t="n"/>
      <c r="AL68" s="5" t="n">
        <v>3752</v>
      </c>
      <c r="AM68" s="5" t="inlineStr">
        <is>
          <t>不足(目安4,500〜6,000字)</t>
        </is>
      </c>
      <c r="AN68" s="5" t="n"/>
      <c r="AO68" s="5" t="inlineStr">
        <is>
          <t>関連：外壁塗装、雨樋、軒天、付帯部補修記事へリンク。</t>
        </is>
      </c>
      <c r="AP68" s="5" t="inlineStr">
        <is>
          <t>H1なし／この記事でわかること／地域事情／事例／原因・費用／CTA／FAQ</t>
        </is>
      </c>
      <c r="AQ68" s="5" t="n"/>
    </row>
    <row r="69" ht="42.75" customHeight="1" s="24">
      <c r="A69" s="5" t="n">
        <v>68</v>
      </c>
      <c r="B69" s="5" t="inlineStr">
        <is>
          <t>雨樋 劣化 症状</t>
        </is>
      </c>
      <c r="C69" s="5" t="inlineStr">
        <is>
          <t>雨樋 劣化 症状</t>
        </is>
      </c>
      <c r="D69" s="5" t="inlineStr">
        <is>
          <t>雨樋の劣化症状とは？塗装・補修・交換の判断基準</t>
        </is>
      </c>
      <c r="E69" s="5" t="inlineStr">
        <is>
          <t>付帯部</t>
        </is>
      </c>
      <c r="F69" s="5" t="inlineStr">
        <is>
          <t>付帯部型</t>
        </is>
      </c>
      <c r="G69" s="5" t="inlineStr">
        <is>
          <t>原因・症状解説型</t>
        </is>
      </c>
      <c r="H69" s="5" t="inlineStr">
        <is>
          <t>4,500〜6,000字</t>
        </is>
      </c>
      <c r="I69" s="5" t="n">
        <v>4500</v>
      </c>
      <c r="J69" s="5" t="n">
        <v>6000</v>
      </c>
      <c r="K69" s="5" t="inlineStr">
        <is>
          <t>中</t>
        </is>
      </c>
      <c r="L69" s="5" t="inlineStr">
        <is>
          <t>第4ロット：雨樋・軒天・付帯部系</t>
        </is>
      </c>
      <c r="M69" s="5" t="inlineStr">
        <is>
          <t>068.md</t>
        </is>
      </c>
      <c r="N69" s="5" t="inlineStr">
        <is>
          <t>068.webp</t>
        </is>
      </c>
      <c r="O69" s="5" t="inlineStr">
        <is>
          <t>gutter-deterioration-symptoms</t>
        </is>
      </c>
      <c r="P69" s="5" t="inlineStr">
        <is>
          <t>雨樋 劣化 症状について、劣化症状、補修・塗装の判断基準、費用目安、外壁塗装と同時施工するメリットを解説します。</t>
        </is>
      </c>
      <c r="Q69" s="5" t="inlineStr">
        <is>
          <t>付帯部</t>
        </is>
      </c>
      <c r="R69" s="5" t="inlineStr">
        <is>
          <t>雨樋、付帯部</t>
        </is>
      </c>
      <c r="S69" s="5" t="inlineStr">
        <is>
          <t>付帯部点検・外装劣化診断</t>
        </is>
      </c>
      <c r="T69" s="5" t="inlineStr">
        <is>
          <t>付帯部点検CTA</t>
        </is>
      </c>
      <c r="U69" s="5" t="inlineStr">
        <is>
          <t>外壁・屋根・付帯部を無料現地調査し、今すぐ必要な工事と様子を見られる箇所を分けてご案内します。</t>
        </is>
      </c>
      <c r="V69" s="5" t="inlineStr">
        <is>
          <t>雨樋 劣化 症状</t>
        </is>
      </c>
      <c r="W69" s="5" t="inlineStr">
        <is>
          <t>割れ・外れ・劣化を放置NG</t>
        </is>
      </c>
      <c r="X69" s="5" t="inlineStr">
        <is>
          <t>交換と塗装の判断ポイント</t>
        </is>
      </c>
      <c r="Y69" s="5" t="inlineStr">
        <is>
          <t>雨樋の割れ・外れ・雨水</t>
        </is>
      </c>
      <c r="Z69" s="5" t="inlineStr">
        <is>
          <t>点検する職人</t>
        </is>
      </c>
      <c r="AA69" s="5" t="inlineStr">
        <is>
          <t>松山市版</t>
        </is>
      </c>
      <c r="AB69" s="5" t="inlineStr">
        <is>
          <t>付帯部訴求</t>
        </is>
      </c>
      <c r="AC69" s="5" t="inlineStr">
        <is>
          <t>未着手</t>
        </is>
      </c>
      <c r="AD69" s="5" t="inlineStr">
        <is>
          <t>画像確認済み</t>
        </is>
      </c>
      <c r="AE69" s="5" t="inlineStr">
        <is>
          <t>未反映</t>
        </is>
      </c>
      <c r="AF69" s="5" t="inlineStr">
        <is>
          <t>posted</t>
        </is>
      </c>
      <c r="AG69" s="5" t="inlineStr">
        <is>
          <t>post/create_only</t>
        </is>
      </c>
      <c r="AH69" s="5" t="n">
        <v>22055</v>
      </c>
      <c r="AI69" s="5" t="inlineStr">
        <is>
          <t>https://www.sunadatosou.com/?p=22055</t>
        </is>
      </c>
      <c r="AJ69" s="29" t="inlineStr">
        <is>
          <t>2026-06-27 17:18:34</t>
        </is>
      </c>
      <c r="AK69" s="29" t="n"/>
      <c r="AL69" s="5" t="n">
        <v>3761</v>
      </c>
      <c r="AM69" s="5" t="inlineStr">
        <is>
          <t>不足(目安4,500〜6,000字)</t>
        </is>
      </c>
      <c r="AN69" s="5" t="n"/>
      <c r="AO69" s="5" t="inlineStr">
        <is>
          <t>関連：外壁塗装、雨樋、軒天、付帯部補修記事へリンク。</t>
        </is>
      </c>
      <c r="AP69" s="5" t="inlineStr">
        <is>
          <t>H1なし／この記事でわかること／地域事情／事例／原因・費用／CTA／FAQ</t>
        </is>
      </c>
      <c r="AQ69" s="5" t="n"/>
    </row>
    <row r="70" ht="42.75" customHeight="1" s="24">
      <c r="A70" s="5" t="n">
        <v>69</v>
      </c>
      <c r="B70" s="5" t="inlineStr">
        <is>
          <t>雨樋 チョーキング</t>
        </is>
      </c>
      <c r="C70" s="5" t="inlineStr">
        <is>
          <t>雨樋 チョーキング</t>
        </is>
      </c>
      <c r="D70" s="5" t="inlineStr">
        <is>
          <t>雨樋のチョーキングとは？塗装時期と劣化の見分け方</t>
        </is>
      </c>
      <c r="E70" s="5" t="inlineStr">
        <is>
          <t>付帯部</t>
        </is>
      </c>
      <c r="F70" s="5" t="inlineStr">
        <is>
          <t>付帯部型</t>
        </is>
      </c>
      <c r="G70" s="5" t="inlineStr">
        <is>
          <t>地域サービス型</t>
        </is>
      </c>
      <c r="H70" s="5" t="inlineStr">
        <is>
          <t>4,000〜5,500字</t>
        </is>
      </c>
      <c r="I70" s="5" t="n">
        <v>4000</v>
      </c>
      <c r="J70" s="5" t="n">
        <v>5500</v>
      </c>
      <c r="K70" s="5" t="inlineStr">
        <is>
          <t>中</t>
        </is>
      </c>
      <c r="L70" s="5" t="inlineStr">
        <is>
          <t>第4ロット：雨樋・軒天・付帯部系</t>
        </is>
      </c>
      <c r="M70" s="5" t="inlineStr">
        <is>
          <t>069.md</t>
        </is>
      </c>
      <c r="N70" s="5" t="inlineStr">
        <is>
          <t>069.webp</t>
        </is>
      </c>
      <c r="O70" s="5" t="inlineStr">
        <is>
          <t>gutter-chalking</t>
        </is>
      </c>
      <c r="P70" s="5" t="inlineStr">
        <is>
          <t>雨樋 チョーキングについて、劣化症状、補修・塗装の判断基準、費用目安、外壁塗装と同時施工するメリットを解説します。</t>
        </is>
      </c>
      <c r="Q70" s="5" t="inlineStr">
        <is>
          <t>付帯部</t>
        </is>
      </c>
      <c r="R70" s="5" t="inlineStr">
        <is>
          <t>雨樋、付帯部</t>
        </is>
      </c>
      <c r="S70" s="5" t="inlineStr">
        <is>
          <t>付帯部点検・外装劣化診断</t>
        </is>
      </c>
      <c r="T70" s="5" t="inlineStr">
        <is>
          <t>付帯部点検CTA</t>
        </is>
      </c>
      <c r="U70" s="5" t="inlineStr">
        <is>
          <t>外壁・屋根・付帯部を無料現地調査し、今すぐ必要な工事と様子を見られる箇所を分けてご案内します。</t>
        </is>
      </c>
      <c r="V70" s="5" t="inlineStr">
        <is>
          <t>雨樋 チョーキング</t>
        </is>
      </c>
      <c r="W70" s="5" t="inlineStr">
        <is>
          <t>割れ・外れ・劣化を放置NG</t>
        </is>
      </c>
      <c r="X70" s="5" t="inlineStr">
        <is>
          <t>交換と塗装の判断ポイント</t>
        </is>
      </c>
      <c r="Y70" s="5" t="inlineStr">
        <is>
          <t>雨樋の割れ・外れ・雨水</t>
        </is>
      </c>
      <c r="Z70" s="5" t="inlineStr">
        <is>
          <t>点検する職人</t>
        </is>
      </c>
      <c r="AA70" s="5" t="inlineStr">
        <is>
          <t>松山市版</t>
        </is>
      </c>
      <c r="AB70" s="5" t="inlineStr">
        <is>
          <t>付帯部訴求</t>
        </is>
      </c>
      <c r="AC70" s="5" t="inlineStr">
        <is>
          <t>未着手</t>
        </is>
      </c>
      <c r="AD70" s="5" t="inlineStr">
        <is>
          <t>画像確認済み</t>
        </is>
      </c>
      <c r="AE70" s="5" t="inlineStr">
        <is>
          <t>未反映</t>
        </is>
      </c>
      <c r="AF70" s="5" t="inlineStr">
        <is>
          <t>posted</t>
        </is>
      </c>
      <c r="AG70" s="5" t="inlineStr">
        <is>
          <t>post/create_only</t>
        </is>
      </c>
      <c r="AH70" s="5" t="n">
        <v>22057</v>
      </c>
      <c r="AI70" s="5" t="inlineStr">
        <is>
          <t>https://www.sunadatosou.com/?p=22057</t>
        </is>
      </c>
      <c r="AJ70" s="29" t="inlineStr">
        <is>
          <t>2026-06-27 17:18:44</t>
        </is>
      </c>
      <c r="AK70" s="29" t="n"/>
      <c r="AL70" s="5" t="n">
        <v>3314</v>
      </c>
      <c r="AM70" s="5" t="inlineStr">
        <is>
          <t>不足(目安4,000〜5,500字)</t>
        </is>
      </c>
      <c r="AN70" s="5" t="n"/>
      <c r="AO70" s="5" t="inlineStr">
        <is>
          <t>関連：外壁塗装、雨樋、軒天、付帯部補修記事へリンク。</t>
        </is>
      </c>
      <c r="AP70" s="5" t="inlineStr">
        <is>
          <t>H1なし／この記事でわかること／地域事情／事例／原因・費用／CTA／FAQ</t>
        </is>
      </c>
      <c r="AQ70" s="5" t="n"/>
    </row>
    <row r="71" ht="42.75" customHeight="1" s="24">
      <c r="A71" s="5" t="n">
        <v>70</v>
      </c>
      <c r="B71" s="5" t="inlineStr">
        <is>
          <t>雨樋 塗り替え時期</t>
        </is>
      </c>
      <c r="C71" s="5" t="inlineStr">
        <is>
          <t>雨樋 塗り替え時期</t>
        </is>
      </c>
      <c r="D71" s="5" t="inlineStr">
        <is>
          <t>雨樋の塗り替え時期はいつ？劣化サインと費用目安</t>
        </is>
      </c>
      <c r="E71" s="5" t="inlineStr">
        <is>
          <t>付帯部</t>
        </is>
      </c>
      <c r="F71" s="5" t="inlineStr">
        <is>
          <t>付帯部型</t>
        </is>
      </c>
      <c r="G71" s="5" t="inlineStr">
        <is>
          <t>地域サービス型</t>
        </is>
      </c>
      <c r="H71" s="5" t="inlineStr">
        <is>
          <t>4,500〜6,000字</t>
        </is>
      </c>
      <c r="I71" s="5" t="n">
        <v>4500</v>
      </c>
      <c r="J71" s="5" t="n">
        <v>6000</v>
      </c>
      <c r="K71" s="5" t="inlineStr">
        <is>
          <t>中</t>
        </is>
      </c>
      <c r="L71" s="5" t="inlineStr">
        <is>
          <t>第4ロット：雨樋・軒天・付帯部系</t>
        </is>
      </c>
      <c r="M71" s="5" t="inlineStr">
        <is>
          <t>070.md</t>
        </is>
      </c>
      <c r="N71" s="5" t="inlineStr">
        <is>
          <t>070.webp</t>
        </is>
      </c>
      <c r="O71" s="5" t="inlineStr">
        <is>
          <t>gutter-repaint-timing</t>
        </is>
      </c>
      <c r="P71" s="5" t="inlineStr">
        <is>
          <t>雨樋 塗り替え時期について、劣化症状、補修・塗装の判断基準、費用目安、外壁塗装と同時施工するメリットを解説します。</t>
        </is>
      </c>
      <c r="Q71" s="5" t="inlineStr">
        <is>
          <t>付帯部</t>
        </is>
      </c>
      <c r="R71" s="5" t="inlineStr">
        <is>
          <t>雨樋、付帯部</t>
        </is>
      </c>
      <c r="S71" s="5" t="inlineStr">
        <is>
          <t>付帯部点検・外装劣化診断</t>
        </is>
      </c>
      <c r="T71" s="5" t="inlineStr">
        <is>
          <t>付帯部点検CTA</t>
        </is>
      </c>
      <c r="U71" s="5" t="inlineStr">
        <is>
          <t>外壁・屋根・付帯部を無料現地調査し、今すぐ必要な工事と様子を見られる箇所を分けてご案内します。</t>
        </is>
      </c>
      <c r="V71" s="5" t="inlineStr">
        <is>
          <t>雨樋 塗り替え時期</t>
        </is>
      </c>
      <c r="W71" s="5" t="inlineStr">
        <is>
          <t>割れ・外れ・劣化を放置NG</t>
        </is>
      </c>
      <c r="X71" s="5" t="inlineStr">
        <is>
          <t>交換と塗装の判断ポイント</t>
        </is>
      </c>
      <c r="Y71" s="5" t="inlineStr">
        <is>
          <t>雨樋の割れ・外れ・雨水</t>
        </is>
      </c>
      <c r="Z71" s="5" t="inlineStr">
        <is>
          <t>点検する職人</t>
        </is>
      </c>
      <c r="AA71" s="5" t="inlineStr">
        <is>
          <t>松山市版</t>
        </is>
      </c>
      <c r="AB71" s="5" t="inlineStr">
        <is>
          <t>付帯部訴求</t>
        </is>
      </c>
      <c r="AC71" s="5" t="inlineStr">
        <is>
          <t>未着手</t>
        </is>
      </c>
      <c r="AD71" s="5" t="inlineStr">
        <is>
          <t>画像確認済み</t>
        </is>
      </c>
      <c r="AE71" s="5" t="inlineStr">
        <is>
          <t>未反映</t>
        </is>
      </c>
      <c r="AF71" s="5" t="inlineStr">
        <is>
          <t>posted</t>
        </is>
      </c>
      <c r="AG71" s="5" t="inlineStr">
        <is>
          <t>post/create_only</t>
        </is>
      </c>
      <c r="AH71" s="5" t="n">
        <v>22059</v>
      </c>
      <c r="AI71" s="5" t="inlineStr">
        <is>
          <t>https://www.sunadatosou.com/?p=22059</t>
        </is>
      </c>
      <c r="AJ71" s="29" t="inlineStr">
        <is>
          <t>2026-06-27 17:18:53</t>
        </is>
      </c>
      <c r="AK71" s="29" t="n"/>
      <c r="AL71" s="5" t="n">
        <v>3791</v>
      </c>
      <c r="AM71" s="5" t="inlineStr">
        <is>
          <t>不足(目安4,500〜6,000字)</t>
        </is>
      </c>
      <c r="AN71" s="5" t="n"/>
      <c r="AO71" s="5" t="inlineStr">
        <is>
          <t>関連：外壁塗装、雨樋、軒天、付帯部補修記事へリンク。</t>
        </is>
      </c>
      <c r="AP71" s="5" t="inlineStr">
        <is>
          <t>H1なし／この記事でわかること／地域事情／事例／原因・費用／CTA／FAQ</t>
        </is>
      </c>
      <c r="AQ71" s="5" t="n"/>
    </row>
    <row r="72" ht="42.75" customHeight="1" s="24">
      <c r="A72" s="5" t="n">
        <v>71</v>
      </c>
      <c r="B72" s="5" t="inlineStr">
        <is>
          <t>軒天 塗装 松山市</t>
        </is>
      </c>
      <c r="C72" s="5" t="inlineStr">
        <is>
          <t>軒天 塗装 松山市</t>
        </is>
      </c>
      <c r="D72" s="5" t="inlineStr">
        <is>
          <t>松山市の軒天塗装はいつ必要？費用・劣化症状・注意点</t>
        </is>
      </c>
      <c r="E72" s="5" t="inlineStr">
        <is>
          <t>付帯部</t>
        </is>
      </c>
      <c r="F72" s="5" t="inlineStr">
        <is>
          <t>付帯部型</t>
        </is>
      </c>
      <c r="G72" s="5" t="inlineStr">
        <is>
          <t>地域サービス型</t>
        </is>
      </c>
      <c r="H72" s="5" t="inlineStr">
        <is>
          <t>4,500〜6,000字</t>
        </is>
      </c>
      <c r="I72" s="5" t="n">
        <v>4500</v>
      </c>
      <c r="J72" s="5" t="n">
        <v>6000</v>
      </c>
      <c r="K72" s="5" t="inlineStr">
        <is>
          <t>中</t>
        </is>
      </c>
      <c r="L72" s="5" t="inlineStr">
        <is>
          <t>第4ロット：雨樋・軒天・付帯部系</t>
        </is>
      </c>
      <c r="M72" s="5" t="inlineStr">
        <is>
          <t>071.md</t>
        </is>
      </c>
      <c r="N72" s="5" t="inlineStr">
        <is>
          <t>071.webp</t>
        </is>
      </c>
      <c r="O72" s="5" t="inlineStr">
        <is>
          <t>soffit-paint-matsuyama</t>
        </is>
      </c>
      <c r="P72" s="5" t="inlineStr">
        <is>
          <t>軒天 塗装 松山市について、劣化症状、補修・塗装の判断基準、費用目安、外壁塗装と同時施工するメリットを解説します。</t>
        </is>
      </c>
      <c r="Q72" s="5" t="inlineStr">
        <is>
          <t>付帯部</t>
        </is>
      </c>
      <c r="R72" s="5" t="inlineStr">
        <is>
          <t>松山市、軒天、付帯部</t>
        </is>
      </c>
      <c r="S72" s="5" t="inlineStr">
        <is>
          <t>付帯部点検・外装劣化診断</t>
        </is>
      </c>
      <c r="T72" s="5" t="inlineStr">
        <is>
          <t>付帯部点検CTA</t>
        </is>
      </c>
      <c r="U72" s="5" t="inlineStr">
        <is>
          <t>外壁・屋根・付帯部を無料現地調査し、今すぐ必要な工事と様子を見られる箇所を分けてご案内します。</t>
        </is>
      </c>
      <c r="V72" s="5" t="inlineStr">
        <is>
          <t>軒天 塗装 松山市</t>
        </is>
      </c>
      <c r="W72" s="5" t="inlineStr">
        <is>
          <t>シミ・黒ずみ・剥がれは要注意</t>
        </is>
      </c>
      <c r="X72" s="5" t="inlineStr">
        <is>
          <t>補修と塗装の判断ポイント</t>
        </is>
      </c>
      <c r="Y72" s="5" t="inlineStr">
        <is>
          <t>軒天シミ・黒ずみ・住宅軒下</t>
        </is>
      </c>
      <c r="Z72" s="5" t="inlineStr">
        <is>
          <t>見上げる住人＋職人</t>
        </is>
      </c>
      <c r="AA72" s="5" t="inlineStr">
        <is>
          <t>松山市版</t>
        </is>
      </c>
      <c r="AB72" s="5" t="inlineStr">
        <is>
          <t>軒天訴求</t>
        </is>
      </c>
      <c r="AC72" s="5" t="inlineStr">
        <is>
          <t>未着手</t>
        </is>
      </c>
      <c r="AD72" s="5" t="inlineStr">
        <is>
          <t>画像確認済み</t>
        </is>
      </c>
      <c r="AE72" s="5" t="inlineStr">
        <is>
          <t>未反映</t>
        </is>
      </c>
      <c r="AF72" s="5" t="inlineStr">
        <is>
          <t>posted</t>
        </is>
      </c>
      <c r="AG72" s="5" t="inlineStr">
        <is>
          <t>post/create_only</t>
        </is>
      </c>
      <c r="AH72" s="5" t="n">
        <v>22068</v>
      </c>
      <c r="AI72" s="5" t="inlineStr">
        <is>
          <t>https://www.sunadatosou.com/?p=22068</t>
        </is>
      </c>
      <c r="AJ72" s="29" t="inlineStr">
        <is>
          <t>2026-06-28 10:55:55</t>
        </is>
      </c>
      <c r="AK72" s="29" t="n"/>
      <c r="AL72" s="5" t="n">
        <v>3551</v>
      </c>
      <c r="AM72" s="5" t="inlineStr">
        <is>
          <t>不足(目安4,500〜6,000字)</t>
        </is>
      </c>
      <c r="AN72" s="5" t="n"/>
      <c r="AO72" s="5" t="inlineStr">
        <is>
          <t>関連：外壁塗装、雨樋、軒天、付帯部補修記事へリンク。</t>
        </is>
      </c>
      <c r="AP72" s="5" t="inlineStr">
        <is>
          <t>H1なし／この記事でわかること／地域事情／事例／原因・費用／CTA／FAQ</t>
        </is>
      </c>
      <c r="AQ72" s="5" t="n"/>
    </row>
    <row r="73" ht="42.75" customHeight="1" s="24">
      <c r="A73" s="5" t="n">
        <v>72</v>
      </c>
      <c r="B73" s="5" t="inlineStr">
        <is>
          <t>軒天 シミ 原因</t>
        </is>
      </c>
      <c r="C73" s="5" t="inlineStr">
        <is>
          <t>軒天 シミ 原因</t>
        </is>
      </c>
      <c r="D73" s="5" t="inlineStr">
        <is>
          <t>軒天のシミの原因とは？雨漏りとの関係と補修方法</t>
        </is>
      </c>
      <c r="E73" s="5" t="inlineStr">
        <is>
          <t>付帯部</t>
        </is>
      </c>
      <c r="F73" s="5" t="inlineStr">
        <is>
          <t>付帯部型</t>
        </is>
      </c>
      <c r="G73" s="5" t="inlineStr">
        <is>
          <t>原因・症状解説型</t>
        </is>
      </c>
      <c r="H73" s="5" t="inlineStr">
        <is>
          <t>4,500〜6,000字</t>
        </is>
      </c>
      <c r="I73" s="5" t="n">
        <v>4500</v>
      </c>
      <c r="J73" s="5" t="n">
        <v>6000</v>
      </c>
      <c r="K73" s="5" t="inlineStr">
        <is>
          <t>中</t>
        </is>
      </c>
      <c r="L73" s="5" t="inlineStr">
        <is>
          <t>第4ロット：雨樋・軒天・付帯部系</t>
        </is>
      </c>
      <c r="M73" s="5" t="inlineStr">
        <is>
          <t>072.md</t>
        </is>
      </c>
      <c r="N73" s="5" t="inlineStr">
        <is>
          <t>072.webp</t>
        </is>
      </c>
      <c r="O73" s="5" t="inlineStr">
        <is>
          <t>soffit-stain-cause</t>
        </is>
      </c>
      <c r="P73" s="5" t="inlineStr">
        <is>
          <t>軒天 シミ 原因について、劣化症状、補修・塗装の判断基準、費用目安、外壁塗装と同時施工するメリットを解説します。</t>
        </is>
      </c>
      <c r="Q73" s="5" t="inlineStr">
        <is>
          <t>付帯部</t>
        </is>
      </c>
      <c r="R73" s="5" t="inlineStr">
        <is>
          <t>軒天、付帯部</t>
        </is>
      </c>
      <c r="S73" s="5" t="inlineStr">
        <is>
          <t>付帯部点検・外装劣化診断</t>
        </is>
      </c>
      <c r="T73" s="5" t="inlineStr">
        <is>
          <t>付帯部点検CTA</t>
        </is>
      </c>
      <c r="U73" s="5" t="inlineStr">
        <is>
          <t>外壁・屋根・付帯部を無料現地調査し、今すぐ必要な工事と様子を見られる箇所を分けてご案内します。</t>
        </is>
      </c>
      <c r="V73" s="5" t="inlineStr">
        <is>
          <t>軒天 シミ 原因の原因は？</t>
        </is>
      </c>
      <c r="W73" s="5" t="inlineStr">
        <is>
          <t>放置リスクと対処法を解説</t>
        </is>
      </c>
      <c r="X73" s="5" t="inlineStr">
        <is>
          <t>早めの確認が大切</t>
        </is>
      </c>
      <c r="Y73" s="5" t="inlineStr">
        <is>
          <t>劣化箇所の拡大・雨染み・ひび割れ</t>
        </is>
      </c>
      <c r="Z73" s="5" t="inlineStr">
        <is>
          <t>職人</t>
        </is>
      </c>
      <c r="AA73" s="5" t="inlineStr">
        <is>
          <t>松山市版</t>
        </is>
      </c>
      <c r="AB73" s="5" t="inlineStr">
        <is>
          <t>原因解説訴求</t>
        </is>
      </c>
      <c r="AC73" s="5" t="inlineStr">
        <is>
          <t>未着手</t>
        </is>
      </c>
      <c r="AD73" s="5" t="inlineStr">
        <is>
          <t>画像確認済み</t>
        </is>
      </c>
      <c r="AE73" s="5" t="inlineStr">
        <is>
          <t>未反映</t>
        </is>
      </c>
      <c r="AF73" s="5" t="inlineStr">
        <is>
          <t>posted</t>
        </is>
      </c>
      <c r="AG73" s="5" t="inlineStr">
        <is>
          <t>post/create_only</t>
        </is>
      </c>
      <c r="AH73" s="5" t="n">
        <v>22070</v>
      </c>
      <c r="AI73" s="5" t="inlineStr">
        <is>
          <t>https://www.sunadatosou.com/?p=22070</t>
        </is>
      </c>
      <c r="AJ73" s="29" t="inlineStr">
        <is>
          <t>2026-06-28 10:56:04</t>
        </is>
      </c>
      <c r="AK73" s="29" t="n"/>
      <c r="AL73" s="5" t="n">
        <v>3553</v>
      </c>
      <c r="AM73" s="5" t="inlineStr">
        <is>
          <t>不足(目安4,500〜6,000字)</t>
        </is>
      </c>
      <c r="AN73" s="5" t="n"/>
      <c r="AO73" s="5" t="inlineStr">
        <is>
          <t>関連：外壁塗装、雨樋、軒天、付帯部補修記事へリンク。</t>
        </is>
      </c>
      <c r="AP73" s="5" t="inlineStr">
        <is>
          <t>H1なし／この記事でわかること／地域事情／事例／原因・費用／CTA／FAQ</t>
        </is>
      </c>
      <c r="AQ73" s="5" t="n"/>
    </row>
    <row r="74" ht="42.75" customHeight="1" s="24">
      <c r="A74" s="5" t="n">
        <v>73</v>
      </c>
      <c r="B74" s="5" t="inlineStr">
        <is>
          <t>軒天 黒ずみ</t>
        </is>
      </c>
      <c r="C74" s="5" t="inlineStr">
        <is>
          <t>軒天 黒ずみ</t>
        </is>
      </c>
      <c r="D74" s="5" t="inlineStr">
        <is>
          <t>軒天の黒ずみは放置して大丈夫？原因・掃除・塗装の判断</t>
        </is>
      </c>
      <c r="E74" s="5" t="inlineStr">
        <is>
          <t>付帯部</t>
        </is>
      </c>
      <c r="F74" s="5" t="inlineStr">
        <is>
          <t>付帯部型</t>
        </is>
      </c>
      <c r="G74" s="5" t="inlineStr">
        <is>
          <t>地域サービス型</t>
        </is>
      </c>
      <c r="H74" s="5" t="inlineStr">
        <is>
          <t>4,000〜5,500字</t>
        </is>
      </c>
      <c r="I74" s="5" t="n">
        <v>4000</v>
      </c>
      <c r="J74" s="5" t="n">
        <v>5500</v>
      </c>
      <c r="K74" s="5" t="inlineStr">
        <is>
          <t>中</t>
        </is>
      </c>
      <c r="L74" s="5" t="inlineStr">
        <is>
          <t>第4ロット：雨樋・軒天・付帯部系</t>
        </is>
      </c>
      <c r="M74" s="5" t="inlineStr">
        <is>
          <t>073.md</t>
        </is>
      </c>
      <c r="N74" s="5" t="inlineStr">
        <is>
          <t>073.webp</t>
        </is>
      </c>
      <c r="O74" s="5" t="inlineStr">
        <is>
          <t>soffit-black-stain</t>
        </is>
      </c>
      <c r="P74" s="5" t="inlineStr">
        <is>
          <t>軒天 黒ずみについて、劣化症状、補修・塗装の判断基準、費用目安、外壁塗装と同時施工するメリットを解説します。</t>
        </is>
      </c>
      <c r="Q74" s="5" t="inlineStr">
        <is>
          <t>付帯部</t>
        </is>
      </c>
      <c r="R74" s="5" t="inlineStr">
        <is>
          <t>軒天、付帯部</t>
        </is>
      </c>
      <c r="S74" s="5" t="inlineStr">
        <is>
          <t>付帯部点検・外装劣化診断</t>
        </is>
      </c>
      <c r="T74" s="5" t="inlineStr">
        <is>
          <t>付帯部点検CTA</t>
        </is>
      </c>
      <c r="U74" s="5" t="inlineStr">
        <is>
          <t>外壁・屋根・付帯部を無料現地調査し、今すぐ必要な工事と様子を見られる箇所を分けてご案内します。</t>
        </is>
      </c>
      <c r="V74" s="5" t="inlineStr">
        <is>
          <t>軒天 黒ずみ</t>
        </is>
      </c>
      <c r="W74" s="5" t="inlineStr">
        <is>
          <t>シミ・黒ずみ・剥がれは要注意</t>
        </is>
      </c>
      <c r="X74" s="5" t="inlineStr">
        <is>
          <t>補修と塗装の判断ポイント</t>
        </is>
      </c>
      <c r="Y74" s="5" t="inlineStr">
        <is>
          <t>軒天シミ・黒ずみ・住宅軒下</t>
        </is>
      </c>
      <c r="Z74" s="5" t="inlineStr">
        <is>
          <t>見上げる住人＋職人</t>
        </is>
      </c>
      <c r="AA74" s="5" t="inlineStr">
        <is>
          <t>松山市版</t>
        </is>
      </c>
      <c r="AB74" s="5" t="inlineStr">
        <is>
          <t>軒天訴求</t>
        </is>
      </c>
      <c r="AC74" s="5" t="inlineStr">
        <is>
          <t>未着手</t>
        </is>
      </c>
      <c r="AD74" s="5" t="inlineStr">
        <is>
          <t>画像確認済み</t>
        </is>
      </c>
      <c r="AE74" s="5" t="inlineStr">
        <is>
          <t>未反映</t>
        </is>
      </c>
      <c r="AF74" s="5" t="inlineStr">
        <is>
          <t>posted</t>
        </is>
      </c>
      <c r="AG74" s="5" t="inlineStr">
        <is>
          <t>post/create_only</t>
        </is>
      </c>
      <c r="AH74" s="5" t="n">
        <v>22072</v>
      </c>
      <c r="AI74" s="5" t="inlineStr">
        <is>
          <t>https://www.sunadatosou.com/?p=22072</t>
        </is>
      </c>
      <c r="AJ74" s="29" t="inlineStr">
        <is>
          <t>2026-06-28 10:56:13</t>
        </is>
      </c>
      <c r="AK74" s="29" t="n"/>
      <c r="AL74" s="5" t="n">
        <v>3237</v>
      </c>
      <c r="AM74" s="5" t="inlineStr">
        <is>
          <t>不足(目安4,000〜5,500字)</t>
        </is>
      </c>
      <c r="AN74" s="5" t="n"/>
      <c r="AO74" s="5" t="inlineStr">
        <is>
          <t>関連：外壁塗装、雨樋、軒天、付帯部補修記事へリンク。</t>
        </is>
      </c>
      <c r="AP74" s="5" t="inlineStr">
        <is>
          <t>H1なし／この記事でわかること／地域事情／事例／原因・費用／CTA／FAQ</t>
        </is>
      </c>
      <c r="AQ74" s="5" t="n"/>
    </row>
    <row r="75" ht="42.75" customHeight="1" s="24">
      <c r="A75" s="5" t="n">
        <v>74</v>
      </c>
      <c r="B75" s="5" t="inlineStr">
        <is>
          <t>軒天 カビ</t>
        </is>
      </c>
      <c r="C75" s="5" t="inlineStr">
        <is>
          <t>軒天 カビ</t>
        </is>
      </c>
      <c r="D75" s="5" t="inlineStr">
        <is>
          <t>軒天のカビの原因とは？雨漏りリスクと補修方法を解説</t>
        </is>
      </c>
      <c r="E75" s="5" t="inlineStr">
        <is>
          <t>付帯部</t>
        </is>
      </c>
      <c r="F75" s="5" t="inlineStr">
        <is>
          <t>付帯部型</t>
        </is>
      </c>
      <c r="G75" s="5" t="inlineStr">
        <is>
          <t>地域サービス型</t>
        </is>
      </c>
      <c r="H75" s="5" t="inlineStr">
        <is>
          <t>4,000〜5,500字</t>
        </is>
      </c>
      <c r="I75" s="5" t="n">
        <v>4000</v>
      </c>
      <c r="J75" s="5" t="n">
        <v>5500</v>
      </c>
      <c r="K75" s="5" t="inlineStr">
        <is>
          <t>中</t>
        </is>
      </c>
      <c r="L75" s="5" t="inlineStr">
        <is>
          <t>第4ロット：雨樋・軒天・付帯部系</t>
        </is>
      </c>
      <c r="M75" s="5" t="inlineStr">
        <is>
          <t>074.md</t>
        </is>
      </c>
      <c r="N75" s="5" t="inlineStr">
        <is>
          <t>074.webp</t>
        </is>
      </c>
      <c r="O75" s="5" t="inlineStr">
        <is>
          <t>soffit-mold</t>
        </is>
      </c>
      <c r="P75" s="5" t="inlineStr">
        <is>
          <t>軒天 カビについて、劣化症状、補修・塗装の判断基準、費用目安、外壁塗装と同時施工するメリットを解説します。</t>
        </is>
      </c>
      <c r="Q75" s="5" t="inlineStr">
        <is>
          <t>付帯部</t>
        </is>
      </c>
      <c r="R75" s="5" t="inlineStr">
        <is>
          <t>軒天、付帯部</t>
        </is>
      </c>
      <c r="S75" s="5" t="inlineStr">
        <is>
          <t>付帯部点検・外装劣化診断</t>
        </is>
      </c>
      <c r="T75" s="5" t="inlineStr">
        <is>
          <t>付帯部点検CTA</t>
        </is>
      </c>
      <c r="U75" s="5" t="inlineStr">
        <is>
          <t>外壁・屋根・付帯部を無料現地調査し、今すぐ必要な工事と様子を見られる箇所を分けてご案内します。</t>
        </is>
      </c>
      <c r="V75" s="5" t="inlineStr">
        <is>
          <t>軒天 カビ</t>
        </is>
      </c>
      <c r="W75" s="5" t="inlineStr">
        <is>
          <t>シミ・黒ずみ・剥がれは要注意</t>
        </is>
      </c>
      <c r="X75" s="5" t="inlineStr">
        <is>
          <t>補修と塗装の判断ポイント</t>
        </is>
      </c>
      <c r="Y75" s="5" t="inlineStr">
        <is>
          <t>軒天シミ・黒ずみ・住宅軒下</t>
        </is>
      </c>
      <c r="Z75" s="5" t="inlineStr">
        <is>
          <t>見上げる住人＋職人</t>
        </is>
      </c>
      <c r="AA75" s="5" t="inlineStr">
        <is>
          <t>松山市版</t>
        </is>
      </c>
      <c r="AB75" s="5" t="inlineStr">
        <is>
          <t>軒天訴求</t>
        </is>
      </c>
      <c r="AC75" s="5" t="inlineStr">
        <is>
          <t>未着手</t>
        </is>
      </c>
      <c r="AD75" s="5" t="inlineStr">
        <is>
          <t>画像確認済み</t>
        </is>
      </c>
      <c r="AE75" s="5" t="inlineStr">
        <is>
          <t>未反映</t>
        </is>
      </c>
      <c r="AF75" s="5" t="inlineStr">
        <is>
          <t>posted</t>
        </is>
      </c>
      <c r="AG75" s="5" t="inlineStr">
        <is>
          <t>post/create_only</t>
        </is>
      </c>
      <c r="AH75" s="5" t="n">
        <v>22074</v>
      </c>
      <c r="AI75" s="5" t="inlineStr">
        <is>
          <t>https://www.sunadatosou.com/?p=22074</t>
        </is>
      </c>
      <c r="AJ75" s="29" t="inlineStr">
        <is>
          <t>2026-06-28 10:56:23</t>
        </is>
      </c>
      <c r="AK75" s="29" t="n"/>
      <c r="AL75" s="5" t="n">
        <v>3228</v>
      </c>
      <c r="AM75" s="5" t="inlineStr">
        <is>
          <t>不足(目安4,000〜5,500字)</t>
        </is>
      </c>
      <c r="AN75" s="5" t="n"/>
      <c r="AO75" s="5" t="inlineStr">
        <is>
          <t>関連：外壁塗装、雨樋、軒天、付帯部補修記事へリンク。</t>
        </is>
      </c>
      <c r="AP75" s="5" t="inlineStr">
        <is>
          <t>H1なし／この記事でわかること／地域事情／事例／原因・費用／CTA／FAQ</t>
        </is>
      </c>
      <c r="AQ75" s="5" t="n"/>
    </row>
    <row r="76" ht="42.75" customHeight="1" s="24">
      <c r="A76" s="5" t="n">
        <v>75</v>
      </c>
      <c r="B76" s="5" t="inlineStr">
        <is>
          <t>軒天 剥がれ</t>
        </is>
      </c>
      <c r="C76" s="5" t="inlineStr">
        <is>
          <t>軒天 剥がれ</t>
        </is>
      </c>
      <c r="D76" s="5" t="inlineStr">
        <is>
          <t>軒天の剥がれは補修が必要？原因・費用・放置リスク</t>
        </is>
      </c>
      <c r="E76" s="5" t="inlineStr">
        <is>
          <t>付帯部</t>
        </is>
      </c>
      <c r="F76" s="5" t="inlineStr">
        <is>
          <t>付帯部型</t>
        </is>
      </c>
      <c r="G76" s="5" t="inlineStr">
        <is>
          <t>地域サービス型</t>
        </is>
      </c>
      <c r="H76" s="5" t="inlineStr">
        <is>
          <t>4,500〜6,000字</t>
        </is>
      </c>
      <c r="I76" s="5" t="n">
        <v>4500</v>
      </c>
      <c r="J76" s="5" t="n">
        <v>6000</v>
      </c>
      <c r="K76" s="5" t="inlineStr">
        <is>
          <t>中</t>
        </is>
      </c>
      <c r="L76" s="5" t="inlineStr">
        <is>
          <t>第4ロット：雨樋・軒天・付帯部系</t>
        </is>
      </c>
      <c r="M76" s="5" t="inlineStr">
        <is>
          <t>075.md</t>
        </is>
      </c>
      <c r="N76" s="5" t="inlineStr">
        <is>
          <t>075.webp</t>
        </is>
      </c>
      <c r="O76" s="5" t="inlineStr">
        <is>
          <t>soffit-peeling</t>
        </is>
      </c>
      <c r="P76" s="5" t="inlineStr">
        <is>
          <t>軒天 剥がれについて、劣化症状、補修・塗装の判断基準、費用目安、外壁塗装と同時施工するメリットを解説します。</t>
        </is>
      </c>
      <c r="Q76" s="5" t="inlineStr">
        <is>
          <t>付帯部</t>
        </is>
      </c>
      <c r="R76" s="5" t="inlineStr">
        <is>
          <t>軒天、付帯部</t>
        </is>
      </c>
      <c r="S76" s="5" t="inlineStr">
        <is>
          <t>付帯部点検・外装劣化診断</t>
        </is>
      </c>
      <c r="T76" s="5" t="inlineStr">
        <is>
          <t>付帯部点検CTA</t>
        </is>
      </c>
      <c r="U76" s="5" t="inlineStr">
        <is>
          <t>外壁・屋根・付帯部を無料現地調査し、今すぐ必要な工事と様子を見られる箇所を分けてご案内します。</t>
        </is>
      </c>
      <c r="V76" s="5" t="inlineStr">
        <is>
          <t>軒天 剥がれ</t>
        </is>
      </c>
      <c r="W76" s="5" t="inlineStr">
        <is>
          <t>シミ・黒ずみ・剥がれは要注意</t>
        </is>
      </c>
      <c r="X76" s="5" t="inlineStr">
        <is>
          <t>補修と塗装の判断ポイント</t>
        </is>
      </c>
      <c r="Y76" s="5" t="inlineStr">
        <is>
          <t>軒天シミ・黒ずみ・住宅軒下</t>
        </is>
      </c>
      <c r="Z76" s="5" t="inlineStr">
        <is>
          <t>見上げる住人＋職人</t>
        </is>
      </c>
      <c r="AA76" s="5" t="inlineStr">
        <is>
          <t>松山市版</t>
        </is>
      </c>
      <c r="AB76" s="5" t="inlineStr">
        <is>
          <t>軒天訴求</t>
        </is>
      </c>
      <c r="AC76" s="5" t="inlineStr">
        <is>
          <t>未着手</t>
        </is>
      </c>
      <c r="AD76" s="5" t="inlineStr">
        <is>
          <t>画像確認済み</t>
        </is>
      </c>
      <c r="AE76" s="5" t="inlineStr">
        <is>
          <t>未反映</t>
        </is>
      </c>
      <c r="AF76" s="5" t="inlineStr">
        <is>
          <t>posted</t>
        </is>
      </c>
      <c r="AG76" s="5" t="inlineStr">
        <is>
          <t>post/create_only</t>
        </is>
      </c>
      <c r="AH76" s="5" t="n">
        <v>22076</v>
      </c>
      <c r="AI76" s="5" t="inlineStr">
        <is>
          <t>https://www.sunadatosou.com/?p=22076</t>
        </is>
      </c>
      <c r="AJ76" s="29" t="inlineStr">
        <is>
          <t>2026-06-28 10:56:33</t>
        </is>
      </c>
      <c r="AK76" s="29" t="n"/>
      <c r="AL76" s="5" t="n">
        <v>3552</v>
      </c>
      <c r="AM76" s="5" t="inlineStr">
        <is>
          <t>不足(目安4,500〜6,000字)</t>
        </is>
      </c>
      <c r="AN76" s="5" t="n"/>
      <c r="AO76" s="5" t="inlineStr">
        <is>
          <t>関連：外壁塗装、雨樋、軒天、付帯部補修記事へリンク。</t>
        </is>
      </c>
      <c r="AP76" s="5" t="inlineStr">
        <is>
          <t>H1なし／この記事でわかること／地域事情／事例／原因・費用／CTA／FAQ</t>
        </is>
      </c>
      <c r="AQ76" s="5" t="n"/>
    </row>
    <row r="77" ht="42.75" customHeight="1" s="24">
      <c r="A77" s="5" t="n">
        <v>76</v>
      </c>
      <c r="B77" s="5" t="inlineStr">
        <is>
          <t>軒天 ベニヤ 張り替え</t>
        </is>
      </c>
      <c r="C77" s="5" t="inlineStr">
        <is>
          <t>軒天 ベニヤ 張り替え</t>
        </is>
      </c>
      <c r="D77" s="5" t="inlineStr">
        <is>
          <t>軒天ベニヤの張り替えはいつ必要？費用・材料・注意点</t>
        </is>
      </c>
      <c r="E77" s="5" t="inlineStr">
        <is>
          <t>付帯部</t>
        </is>
      </c>
      <c r="F77" s="5" t="inlineStr">
        <is>
          <t>付帯部型</t>
        </is>
      </c>
      <c r="G77" s="5" t="inlineStr">
        <is>
          <t>地域サービス型</t>
        </is>
      </c>
      <c r="H77" s="5" t="inlineStr">
        <is>
          <t>4,500〜6,000字</t>
        </is>
      </c>
      <c r="I77" s="5" t="n">
        <v>4500</v>
      </c>
      <c r="J77" s="5" t="n">
        <v>6000</v>
      </c>
      <c r="K77" s="5" t="inlineStr">
        <is>
          <t>中</t>
        </is>
      </c>
      <c r="L77" s="5" t="inlineStr">
        <is>
          <t>第4ロット：雨樋・軒天・付帯部系</t>
        </is>
      </c>
      <c r="M77" s="5" t="inlineStr">
        <is>
          <t>076.md</t>
        </is>
      </c>
      <c r="N77" s="5" t="inlineStr">
        <is>
          <t>076.webp</t>
        </is>
      </c>
      <c r="O77" s="5" t="inlineStr">
        <is>
          <t>soffit-leak-cause</t>
        </is>
      </c>
      <c r="P77" s="5" t="inlineStr">
        <is>
          <t>軒天 ベニヤ 張り替えについて、劣化症状、補修・塗装の判断基準、費用目安、外壁塗装と同時施工するメリットを解説します。</t>
        </is>
      </c>
      <c r="Q77" s="5" t="inlineStr">
        <is>
          <t>付帯部</t>
        </is>
      </c>
      <c r="R77" s="5" t="inlineStr">
        <is>
          <t>軒天、付帯部</t>
        </is>
      </c>
      <c r="S77" s="5" t="inlineStr">
        <is>
          <t>付帯部点検・外装劣化診断</t>
        </is>
      </c>
      <c r="T77" s="5" t="inlineStr">
        <is>
          <t>付帯部点検CTA</t>
        </is>
      </c>
      <c r="U77" s="5" t="inlineStr">
        <is>
          <t>外壁・屋根・付帯部を無料現地調査し、今すぐ必要な工事と様子を見られる箇所を分けてご案内します。</t>
        </is>
      </c>
      <c r="V77" s="5" t="inlineStr">
        <is>
          <t>軒天 ベニヤ 張り替え</t>
        </is>
      </c>
      <c r="W77" s="5" t="inlineStr">
        <is>
          <t>シミ・黒ずみ・剥がれは要注意</t>
        </is>
      </c>
      <c r="X77" s="5" t="inlineStr">
        <is>
          <t>補修と塗装の判断ポイント</t>
        </is>
      </c>
      <c r="Y77" s="5" t="inlineStr">
        <is>
          <t>軒天シミ・黒ずみ・住宅軒下</t>
        </is>
      </c>
      <c r="Z77" s="5" t="inlineStr">
        <is>
          <t>見上げる住人＋職人</t>
        </is>
      </c>
      <c r="AA77" s="5" t="inlineStr">
        <is>
          <t>松山市版</t>
        </is>
      </c>
      <c r="AB77" s="5" t="inlineStr">
        <is>
          <t>軒天訴求</t>
        </is>
      </c>
      <c r="AC77" s="5" t="inlineStr">
        <is>
          <t>未着手</t>
        </is>
      </c>
      <c r="AD77" s="5" t="inlineStr">
        <is>
          <t>画像確認済み</t>
        </is>
      </c>
      <c r="AE77" s="5" t="inlineStr">
        <is>
          <t>未反映</t>
        </is>
      </c>
      <c r="AF77" s="5" t="inlineStr">
        <is>
          <t>posted</t>
        </is>
      </c>
      <c r="AG77" s="5" t="inlineStr">
        <is>
          <t>post/create_only</t>
        </is>
      </c>
      <c r="AH77" s="5" t="n">
        <v>22079</v>
      </c>
      <c r="AI77" s="5" t="inlineStr">
        <is>
          <t>https://www.sunadatosou.com/?p=22079</t>
        </is>
      </c>
      <c r="AJ77" s="29" t="inlineStr">
        <is>
          <t>2026-06-28 10:56:46</t>
        </is>
      </c>
      <c r="AK77" s="29" t="n"/>
      <c r="AL77" s="5" t="n">
        <v>3568</v>
      </c>
      <c r="AM77" s="5" t="inlineStr">
        <is>
          <t>不足(目安4,500〜6,000字)</t>
        </is>
      </c>
      <c r="AN77" s="5" t="n"/>
      <c r="AO77" s="5" t="inlineStr">
        <is>
          <t>関連：外壁塗装、雨樋、軒天、付帯部補修記事へリンク。</t>
        </is>
      </c>
      <c r="AP77" s="5" t="inlineStr">
        <is>
          <t>H1なし／この記事でわかること／地域事情／事例／原因・費用／CTA／FAQ</t>
        </is>
      </c>
      <c r="AQ77" s="5" t="n"/>
    </row>
    <row r="78" ht="42.75" customHeight="1" s="24">
      <c r="A78" s="5" t="n">
        <v>77</v>
      </c>
      <c r="B78" s="5" t="inlineStr">
        <is>
          <t>軒天 雨漏り</t>
        </is>
      </c>
      <c r="C78" s="5" t="inlineStr">
        <is>
          <t>軒天 雨漏り</t>
        </is>
      </c>
      <c r="D78" s="5" t="inlineStr">
        <is>
          <t>軒天の雨漏りはどこから？原因調査と補修方法を解説</t>
        </is>
      </c>
      <c r="E78" s="5" t="inlineStr">
        <is>
          <t>付帯部</t>
        </is>
      </c>
      <c r="F78" s="5" t="inlineStr">
        <is>
          <t>付帯部型</t>
        </is>
      </c>
      <c r="G78" s="5" t="inlineStr">
        <is>
          <t>地域サービス型</t>
        </is>
      </c>
      <c r="H78" s="5" t="inlineStr">
        <is>
          <t>4,500〜6,000字</t>
        </is>
      </c>
      <c r="I78" s="5" t="n">
        <v>4500</v>
      </c>
      <c r="J78" s="5" t="n">
        <v>6000</v>
      </c>
      <c r="K78" s="5" t="inlineStr">
        <is>
          <t>中</t>
        </is>
      </c>
      <c r="L78" s="5" t="inlineStr">
        <is>
          <t>第4ロット：雨樋・軒天・付帯部系</t>
        </is>
      </c>
      <c r="M78" s="5" t="inlineStr">
        <is>
          <t>077.md</t>
        </is>
      </c>
      <c r="N78" s="5" t="inlineStr">
        <is>
          <t>077.webp</t>
        </is>
      </c>
      <c r="O78" s="5" t="inlineStr">
        <is>
          <t>soffit-leak-cause</t>
        </is>
      </c>
      <c r="P78" s="5" t="inlineStr">
        <is>
          <t>軒天 雨漏りについて、劣化症状、補修・塗装の判断基準、費用目安、外壁塗装と同時施工するメリットを解説します。</t>
        </is>
      </c>
      <c r="Q78" s="5" t="inlineStr">
        <is>
          <t>付帯部</t>
        </is>
      </c>
      <c r="R78" s="5" t="inlineStr">
        <is>
          <t>雨漏り、軒天、付帯部</t>
        </is>
      </c>
      <c r="S78" s="5" t="inlineStr">
        <is>
          <t>雨漏り無料点検・無料見積り</t>
        </is>
      </c>
      <c r="T78" s="5" t="inlineStr">
        <is>
          <t>雨漏り無料点検CTA</t>
        </is>
      </c>
      <c r="U78" s="5" t="inlineStr">
        <is>
          <t>松山市で雨漏りが気になる方は、まずは無料点検・無料見積りをご利用ください。原因を確認し、必要な工事だけをご提案します。</t>
        </is>
      </c>
      <c r="V78" s="5" t="inlineStr">
        <is>
          <t>軒天 雨漏り</t>
        </is>
      </c>
      <c r="W78" s="5" t="inlineStr">
        <is>
          <t>シミ・黒ずみ・剥がれは要注意</t>
        </is>
      </c>
      <c r="X78" s="5" t="inlineStr">
        <is>
          <t>補修と塗装の判断ポイント</t>
        </is>
      </c>
      <c r="Y78" s="5" t="inlineStr">
        <is>
          <t>軒天シミ・黒ずみ・住宅軒下</t>
        </is>
      </c>
      <c r="Z78" s="5" t="inlineStr">
        <is>
          <t>見上げる住人＋職人</t>
        </is>
      </c>
      <c r="AA78" s="5" t="inlineStr">
        <is>
          <t>松山市版</t>
        </is>
      </c>
      <c r="AB78" s="5" t="inlineStr">
        <is>
          <t>軒天訴求</t>
        </is>
      </c>
      <c r="AC78" s="5" t="inlineStr">
        <is>
          <t>未着手</t>
        </is>
      </c>
      <c r="AD78" s="5" t="inlineStr">
        <is>
          <t>画像確認済み</t>
        </is>
      </c>
      <c r="AE78" s="5" t="inlineStr">
        <is>
          <t>未反映</t>
        </is>
      </c>
      <c r="AF78" s="5" t="inlineStr">
        <is>
          <t>updated</t>
        </is>
      </c>
      <c r="AG78" s="5" t="inlineStr">
        <is>
          <t>post/update_only</t>
        </is>
      </c>
      <c r="AH78" s="5" t="n">
        <v>21983</v>
      </c>
      <c r="AI78" s="5" t="inlineStr">
        <is>
          <t>https://www.sunadatosou.com/?p=21983</t>
        </is>
      </c>
      <c r="AJ78" s="29" t="n"/>
      <c r="AK78" s="29" t="inlineStr">
        <is>
          <t>2026-06-28 11:24:08</t>
        </is>
      </c>
      <c r="AL78" s="5" t="n">
        <v>3551</v>
      </c>
      <c r="AM78" s="5" t="inlineStr">
        <is>
          <t>不足(目安4,500〜6,000字)</t>
        </is>
      </c>
      <c r="AN78" s="5" t="inlineStr"/>
      <c r="AO78" s="5" t="inlineStr">
        <is>
          <t>関連：外壁塗装、雨樋、軒天、付帯部補修記事へリンク。</t>
        </is>
      </c>
      <c r="AP78" s="5" t="inlineStr">
        <is>
          <t>H1なし／この記事でわかること／地域事情／事例／原因・費用／CTA／FAQ</t>
        </is>
      </c>
      <c r="AQ78" s="5" t="n"/>
    </row>
    <row r="79" ht="42.75" customHeight="1" s="24">
      <c r="A79" s="5" t="n">
        <v>78</v>
      </c>
      <c r="B79" s="5" t="inlineStr">
        <is>
          <t>軒天 塗装 費用</t>
        </is>
      </c>
      <c r="C79" s="5" t="inlineStr">
        <is>
          <t>軒天 塗装 費用</t>
        </is>
      </c>
      <c r="D79" s="5" t="inlineStr">
        <is>
          <t>軒天塗装の費用相場はいくら？単価・足場代・注意点</t>
        </is>
      </c>
      <c r="E79" s="5" t="inlineStr">
        <is>
          <t>付帯部</t>
        </is>
      </c>
      <c r="F79" s="5" t="inlineStr">
        <is>
          <t>費用・相場型</t>
        </is>
      </c>
      <c r="G79" s="5" t="inlineStr">
        <is>
          <t>費用・相場型</t>
        </is>
      </c>
      <c r="H79" s="5" t="inlineStr">
        <is>
          <t>4,500〜6,000字</t>
        </is>
      </c>
      <c r="I79" s="5" t="n">
        <v>4500</v>
      </c>
      <c r="J79" s="5" t="n">
        <v>6000</v>
      </c>
      <c r="K79" s="5" t="inlineStr">
        <is>
          <t>中</t>
        </is>
      </c>
      <c r="L79" s="5" t="inlineStr">
        <is>
          <t>第4ロット：雨樋・軒天・付帯部系</t>
        </is>
      </c>
      <c r="M79" s="5" t="inlineStr">
        <is>
          <t>078.md</t>
        </is>
      </c>
      <c r="N79" s="5" t="inlineStr">
        <is>
          <t>078.webp</t>
        </is>
      </c>
      <c r="O79" s="5" t="inlineStr">
        <is>
          <t>soffit-paint-cost</t>
        </is>
      </c>
      <c r="P79" s="5" t="inlineStr">
        <is>
          <t>軒天 塗装 費用について、費用相場、内訳、金額が変わる要因、見積もり時の注意点をわかりやすく解説します。</t>
        </is>
      </c>
      <c r="Q79" s="5" t="inlineStr">
        <is>
          <t>付帯部</t>
        </is>
      </c>
      <c r="R79" s="5" t="inlineStr">
        <is>
          <t>軒天、費用、付帯部</t>
        </is>
      </c>
      <c r="S79" s="5" t="inlineStr">
        <is>
          <t>無料見積り・費用根拠の見える化</t>
        </is>
      </c>
      <c r="T79" s="5" t="inlineStr">
        <is>
          <t>無料見積りCTA</t>
        </is>
      </c>
      <c r="U79" s="5" t="inlineStr">
        <is>
          <t>費用は原因箇所や補修範囲で変わります。現地調査で状態を確認し、見積もりの根拠を写真付きでご説明します。</t>
        </is>
      </c>
      <c r="V79" s="5" t="inlineStr">
        <is>
          <t>軒天 塗装 費用</t>
        </is>
      </c>
      <c r="W79" s="5" t="inlineStr">
        <is>
          <t>シミ・黒ずみ・剥がれは要注意</t>
        </is>
      </c>
      <c r="X79" s="5" t="inlineStr">
        <is>
          <t>補修と塗装の判断ポイント</t>
        </is>
      </c>
      <c r="Y79" s="5" t="inlineStr">
        <is>
          <t>軒天シミ・黒ずみ・住宅軒下</t>
        </is>
      </c>
      <c r="Z79" s="5" t="inlineStr">
        <is>
          <t>見上げる住人＋職人</t>
        </is>
      </c>
      <c r="AA79" s="5" t="inlineStr">
        <is>
          <t>松山市版</t>
        </is>
      </c>
      <c r="AB79" s="5" t="inlineStr">
        <is>
          <t>軒天訴求</t>
        </is>
      </c>
      <c r="AC79" s="5" t="inlineStr">
        <is>
          <t>未着手</t>
        </is>
      </c>
      <c r="AD79" s="5" t="inlineStr">
        <is>
          <t>画像確認済み</t>
        </is>
      </c>
      <c r="AE79" s="5" t="inlineStr">
        <is>
          <t>未反映</t>
        </is>
      </c>
      <c r="AF79" s="5" t="inlineStr">
        <is>
          <t>posted</t>
        </is>
      </c>
      <c r="AG79" s="5" t="inlineStr">
        <is>
          <t>post/create_only</t>
        </is>
      </c>
      <c r="AH79" s="5" t="n">
        <v>22081</v>
      </c>
      <c r="AI79" s="5" t="inlineStr">
        <is>
          <t>https://www.sunadatosou.com/?p=22081</t>
        </is>
      </c>
      <c r="AJ79" s="29" t="inlineStr">
        <is>
          <t>2026-06-28 10:56:57</t>
        </is>
      </c>
      <c r="AK79" s="29" t="n"/>
      <c r="AL79" s="5" t="n">
        <v>3554</v>
      </c>
      <c r="AM79" s="5" t="inlineStr">
        <is>
          <t>不足(目安4,500〜6,000字)</t>
        </is>
      </c>
      <c r="AN79" s="5" t="n"/>
      <c r="AO79" s="5" t="inlineStr">
        <is>
          <t>関連：外壁塗装、雨樋、軒天、付帯部補修記事へリンク。</t>
        </is>
      </c>
      <c r="AP79" s="5" t="inlineStr">
        <is>
          <t>H1なし／この記事でわかること／地域事情／事例／原因・費用／CTA／FAQ</t>
        </is>
      </c>
      <c r="AQ79" s="5" t="n"/>
    </row>
    <row r="80" ht="42.75" customHeight="1" s="24">
      <c r="A80" s="5" t="n">
        <v>79</v>
      </c>
      <c r="B80" s="5" t="inlineStr">
        <is>
          <t>軒天 補修</t>
        </is>
      </c>
      <c r="C80" s="5" t="inlineStr">
        <is>
          <t>軒天 補修</t>
        </is>
      </c>
      <c r="D80" s="5" t="inlineStr">
        <is>
          <t>軒天補修の方法とは？剥がれ・シミ・雨漏り症状別に解説</t>
        </is>
      </c>
      <c r="E80" s="5" t="inlineStr">
        <is>
          <t>付帯部</t>
        </is>
      </c>
      <c r="F80" s="5" t="inlineStr">
        <is>
          <t>付帯部型</t>
        </is>
      </c>
      <c r="G80" s="5" t="inlineStr">
        <is>
          <t>地域サービス型</t>
        </is>
      </c>
      <c r="H80" s="5" t="inlineStr">
        <is>
          <t>4,500〜6,000字</t>
        </is>
      </c>
      <c r="I80" s="5" t="n">
        <v>4500</v>
      </c>
      <c r="J80" s="5" t="n">
        <v>6000</v>
      </c>
      <c r="K80" s="5" t="inlineStr">
        <is>
          <t>中</t>
        </is>
      </c>
      <c r="L80" s="5" t="inlineStr">
        <is>
          <t>第4ロット：雨樋・軒天・付帯部系</t>
        </is>
      </c>
      <c r="M80" s="5" t="inlineStr">
        <is>
          <t>079.md</t>
        </is>
      </c>
      <c r="N80" s="5" t="inlineStr">
        <is>
          <t>079.webp</t>
        </is>
      </c>
      <c r="O80" s="5" t="inlineStr">
        <is>
          <t>soffit-repair</t>
        </is>
      </c>
      <c r="P80" s="5" t="inlineStr">
        <is>
          <t>軒天 補修について、劣化症状、補修・塗装の判断基準、費用目安、外壁塗装と同時施工するメリットを解説します。</t>
        </is>
      </c>
      <c r="Q80" s="5" t="inlineStr">
        <is>
          <t>付帯部</t>
        </is>
      </c>
      <c r="R80" s="5" t="inlineStr">
        <is>
          <t>軒天、付帯部</t>
        </is>
      </c>
      <c r="S80" s="5" t="inlineStr">
        <is>
          <t>付帯部点検・外装劣化診断</t>
        </is>
      </c>
      <c r="T80" s="5" t="inlineStr">
        <is>
          <t>付帯部点検CTA</t>
        </is>
      </c>
      <c r="U80" s="5" t="inlineStr">
        <is>
          <t>外壁・屋根・付帯部を無料現地調査し、今すぐ必要な工事と様子を見られる箇所を分けてご案内します。</t>
        </is>
      </c>
      <c r="V80" s="5" t="inlineStr">
        <is>
          <t>軒天 補修</t>
        </is>
      </c>
      <c r="W80" s="5" t="inlineStr">
        <is>
          <t>シミ・黒ずみ・剥がれは要注意</t>
        </is>
      </c>
      <c r="X80" s="5" t="inlineStr">
        <is>
          <t>補修と塗装の判断ポイント</t>
        </is>
      </c>
      <c r="Y80" s="5" t="inlineStr">
        <is>
          <t>軒天シミ・黒ずみ・住宅軒下</t>
        </is>
      </c>
      <c r="Z80" s="5" t="inlineStr">
        <is>
          <t>見上げる住人＋職人</t>
        </is>
      </c>
      <c r="AA80" s="5" t="inlineStr">
        <is>
          <t>松山市版</t>
        </is>
      </c>
      <c r="AB80" s="5" t="inlineStr">
        <is>
          <t>軒天訴求</t>
        </is>
      </c>
      <c r="AC80" s="5" t="inlineStr">
        <is>
          <t>未着手</t>
        </is>
      </c>
      <c r="AD80" s="5" t="inlineStr">
        <is>
          <t>画像確認済み</t>
        </is>
      </c>
      <c r="AE80" s="5" t="inlineStr">
        <is>
          <t>未反映</t>
        </is>
      </c>
      <c r="AF80" s="5" t="inlineStr">
        <is>
          <t>posted</t>
        </is>
      </c>
      <c r="AG80" s="5" t="inlineStr">
        <is>
          <t>post/create_only</t>
        </is>
      </c>
      <c r="AH80" s="5" t="n">
        <v>22083</v>
      </c>
      <c r="AI80" s="5" t="inlineStr">
        <is>
          <t>https://www.sunadatosou.com/?p=22083</t>
        </is>
      </c>
      <c r="AJ80" s="29" t="inlineStr">
        <is>
          <t>2026-06-28 10:57:07</t>
        </is>
      </c>
      <c r="AK80" s="29" t="n"/>
      <c r="AL80" s="5" t="n">
        <v>3554</v>
      </c>
      <c r="AM80" s="5" t="inlineStr">
        <is>
          <t>不足(目安4,500〜6,000字)</t>
        </is>
      </c>
      <c r="AN80" s="5" t="n"/>
      <c r="AO80" s="5" t="inlineStr">
        <is>
          <t>関連：外壁塗装、雨樋、軒天、付帯部補修記事へリンク。</t>
        </is>
      </c>
      <c r="AP80" s="5" t="inlineStr">
        <is>
          <t>H1なし／この記事でわかること／地域事情／事例／原因・費用／CTA／FAQ</t>
        </is>
      </c>
      <c r="AQ80" s="5" t="n"/>
    </row>
    <row r="81" ht="42.75" customHeight="1" s="24">
      <c r="A81" s="5" t="n">
        <v>80</v>
      </c>
      <c r="B81" s="5" t="inlineStr">
        <is>
          <t>軒天 材料 種類</t>
        </is>
      </c>
      <c r="C81" s="5" t="inlineStr">
        <is>
          <t>軒天 材料 種類</t>
        </is>
      </c>
      <c r="D81" s="5" t="inlineStr">
        <is>
          <t>軒天の材料には何がある？種類・特徴・選び方を解説</t>
        </is>
      </c>
      <c r="E81" s="5" t="inlineStr">
        <is>
          <t>付帯部</t>
        </is>
      </c>
      <c r="F81" s="5" t="inlineStr">
        <is>
          <t>付帯部型</t>
        </is>
      </c>
      <c r="G81" s="5" t="inlineStr">
        <is>
          <t>地域サービス型</t>
        </is>
      </c>
      <c r="H81" s="5" t="inlineStr">
        <is>
          <t>4,500〜6,000字</t>
        </is>
      </c>
      <c r="I81" s="5" t="n">
        <v>4500</v>
      </c>
      <c r="J81" s="5" t="n">
        <v>6000</v>
      </c>
      <c r="K81" s="5" t="inlineStr">
        <is>
          <t>中</t>
        </is>
      </c>
      <c r="L81" s="5" t="inlineStr">
        <is>
          <t>第4ロット：雨樋・軒天・付帯部系</t>
        </is>
      </c>
      <c r="M81" s="5" t="inlineStr">
        <is>
          <t>080.md</t>
        </is>
      </c>
      <c r="N81" s="5" t="inlineStr">
        <is>
          <t>080.webp</t>
        </is>
      </c>
      <c r="O81" s="5" t="inlineStr">
        <is>
          <t>soffit-material-types</t>
        </is>
      </c>
      <c r="P81" s="5" t="inlineStr">
        <is>
          <t>軒天 材料 種類について、劣化症状、補修・塗装の判断基準、費用目安、外壁塗装と同時施工するメリットを解説します。</t>
        </is>
      </c>
      <c r="Q81" s="5" t="inlineStr">
        <is>
          <t>付帯部</t>
        </is>
      </c>
      <c r="R81" s="5" t="inlineStr">
        <is>
          <t>軒天、付帯部</t>
        </is>
      </c>
      <c r="S81" s="5" t="inlineStr">
        <is>
          <t>付帯部点検・外装劣化診断</t>
        </is>
      </c>
      <c r="T81" s="5" t="inlineStr">
        <is>
          <t>付帯部点検CTA</t>
        </is>
      </c>
      <c r="U81" s="5" t="inlineStr">
        <is>
          <t>外壁・屋根・付帯部を無料現地調査し、今すぐ必要な工事と様子を見られる箇所を分けてご案内します。</t>
        </is>
      </c>
      <c r="V81" s="5" t="inlineStr">
        <is>
          <t>軒天 材料 種類</t>
        </is>
      </c>
      <c r="W81" s="5" t="inlineStr">
        <is>
          <t>シミ・黒ずみ・剥がれは要注意</t>
        </is>
      </c>
      <c r="X81" s="5" t="inlineStr">
        <is>
          <t>補修と塗装の判断ポイント</t>
        </is>
      </c>
      <c r="Y81" s="5" t="inlineStr">
        <is>
          <t>軒天シミ・黒ずみ・住宅軒下</t>
        </is>
      </c>
      <c r="Z81" s="5" t="inlineStr">
        <is>
          <t>見上げる住人＋職人</t>
        </is>
      </c>
      <c r="AA81" s="5" t="inlineStr">
        <is>
          <t>松山市版</t>
        </is>
      </c>
      <c r="AB81" s="5" t="inlineStr">
        <is>
          <t>軒天訴求</t>
        </is>
      </c>
      <c r="AC81" s="5" t="inlineStr">
        <is>
          <t>未着手</t>
        </is>
      </c>
      <c r="AD81" s="5" t="inlineStr">
        <is>
          <t>画像確認済み</t>
        </is>
      </c>
      <c r="AE81" s="5" t="inlineStr">
        <is>
          <t>未反映</t>
        </is>
      </c>
      <c r="AF81" s="5" t="inlineStr">
        <is>
          <t>posted</t>
        </is>
      </c>
      <c r="AG81" s="5" t="inlineStr">
        <is>
          <t>post/create_only</t>
        </is>
      </c>
      <c r="AH81" s="5" t="n">
        <v>22085</v>
      </c>
      <c r="AI81" s="5" t="inlineStr">
        <is>
          <t>https://www.sunadatosou.com/?p=22085</t>
        </is>
      </c>
      <c r="AJ81" s="29" t="inlineStr">
        <is>
          <t>2026-06-28 10:57:17</t>
        </is>
      </c>
      <c r="AK81" s="29" t="n"/>
      <c r="AL81" s="5" t="n">
        <v>3567</v>
      </c>
      <c r="AM81" s="5" t="inlineStr">
        <is>
          <t>不足(目安4,500〜6,000字)</t>
        </is>
      </c>
      <c r="AN81" s="5" t="n"/>
      <c r="AO81" s="5" t="inlineStr">
        <is>
          <t>関連：外壁塗装、雨樋、軒天、付帯部補修記事へリンク。</t>
        </is>
      </c>
      <c r="AP81" s="5" t="inlineStr">
        <is>
          <t>H1なし／この記事でわかること／地域事情／事例／原因・費用／CTA／FAQ</t>
        </is>
      </c>
      <c r="AQ81" s="5" t="n"/>
    </row>
  </sheetData>
  <conditionalFormatting sqref="AC2:AC81">
    <cfRule type="expression" priority="1" dxfId="5">
      <formula>AC2="完了"</formula>
    </cfRule>
    <cfRule type="expression" priority="2" dxfId="5">
      <formula>AC2="OK"</formula>
    </cfRule>
    <cfRule type="expression" priority="3" dxfId="2">
      <formula>AC2="error"</formula>
    </cfRule>
    <cfRule type="expression" priority="4" dxfId="0">
      <formula>AC2="不足"</formula>
    </cfRule>
    <cfRule type="expression" priority="5" dxfId="2">
      <formula>AC2="超過"</formula>
    </cfRule>
    <cfRule type="expression" priority="6" dxfId="0">
      <formula>AC2="差替必要"</formula>
    </cfRule>
    <cfRule type="expression" priority="7" dxfId="0">
      <formula>AC2="要再編集"</formula>
    </cfRule>
  </conditionalFormatting>
  <conditionalFormatting sqref="AD2:AD81">
    <cfRule type="expression" priority="8" dxfId="5">
      <formula>AD2="完了"</formula>
    </cfRule>
    <cfRule type="expression" priority="9" dxfId="5">
      <formula>AD2="OK"</formula>
    </cfRule>
    <cfRule type="expression" priority="10" dxfId="2">
      <formula>AD2="error"</formula>
    </cfRule>
    <cfRule type="expression" priority="11" dxfId="0">
      <formula>AD2="不足"</formula>
    </cfRule>
    <cfRule type="expression" priority="12" dxfId="2">
      <formula>AD2="超過"</formula>
    </cfRule>
    <cfRule type="expression" priority="13" dxfId="0">
      <formula>AD2="差替必要"</formula>
    </cfRule>
    <cfRule type="expression" priority="14" dxfId="0">
      <formula>AD2="要再編集"</formula>
    </cfRule>
  </conditionalFormatting>
  <conditionalFormatting sqref="AE2:AE81">
    <cfRule type="expression" priority="15" dxfId="5">
      <formula>AE2="完了"</formula>
    </cfRule>
    <cfRule type="expression" priority="16" dxfId="5">
      <formula>AE2="OK"</formula>
    </cfRule>
    <cfRule type="expression" priority="17" dxfId="2">
      <formula>AE2="error"</formula>
    </cfRule>
    <cfRule type="expression" priority="18" dxfId="0">
      <formula>AE2="不足"</formula>
    </cfRule>
    <cfRule type="expression" priority="19" dxfId="2">
      <formula>AE2="超過"</formula>
    </cfRule>
    <cfRule type="expression" priority="20" dxfId="0">
      <formula>AE2="差替必要"</formula>
    </cfRule>
    <cfRule type="expression" priority="21" dxfId="0">
      <formula>AE2="要再編集"</formula>
    </cfRule>
  </conditionalFormatting>
  <conditionalFormatting sqref="AF2:AF81">
    <cfRule type="expression" priority="22" dxfId="5">
      <formula>AF2="完了"</formula>
    </cfRule>
    <cfRule type="expression" priority="23" dxfId="5">
      <formula>AF2="OK"</formula>
    </cfRule>
    <cfRule type="expression" priority="24" dxfId="2">
      <formula>AF2="error"</formula>
    </cfRule>
    <cfRule type="expression" priority="25" dxfId="0">
      <formula>AF2="不足"</formula>
    </cfRule>
    <cfRule type="expression" priority="26" dxfId="2">
      <formula>AF2="超過"</formula>
    </cfRule>
    <cfRule type="expression" priority="27" dxfId="0">
      <formula>AF2="差替必要"</formula>
    </cfRule>
    <cfRule type="expression" priority="28" dxfId="0">
      <formula>AF2="要再編集"</formula>
    </cfRule>
  </conditionalFormatting>
  <conditionalFormatting sqref="AM2:AM81">
    <cfRule type="expression" priority="29" dxfId="5">
      <formula>AM2="完了"</formula>
    </cfRule>
    <cfRule type="expression" priority="30" dxfId="5">
      <formula>AM2="OK"</formula>
    </cfRule>
    <cfRule type="expression" priority="31" dxfId="2">
      <formula>AM2="error"</formula>
    </cfRule>
    <cfRule type="expression" priority="32" dxfId="0">
      <formula>AM2="不足"</formula>
    </cfRule>
    <cfRule type="expression" priority="33" dxfId="2">
      <formula>AM2="超過"</formula>
    </cfRule>
    <cfRule type="expression" priority="34" dxfId="0">
      <formula>AM2="差替必要"</formula>
    </cfRule>
    <cfRule type="expression" priority="35" dxfId="0">
      <formula>AM2="要再編集"</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4.25"/>
  <cols>
    <col width="6" customWidth="1" style="24" min="1" max="1"/>
    <col width="24" customWidth="1" style="24" min="2" max="2"/>
    <col width="12" customWidth="1" style="24" min="3" max="3"/>
    <col width="28" customWidth="1" style="24" min="4" max="4"/>
    <col width="36" customWidth="1" style="24" min="5" max="5"/>
    <col width="32" customWidth="1" style="24" min="6" max="6"/>
    <col width="38" customWidth="1" style="24" min="7" max="7"/>
    <col width="26" customWidth="1" style="24" min="8" max="8"/>
    <col width="14" customWidth="1" style="24" min="9" max="9"/>
    <col width="24" customWidth="1" style="24" min="10" max="10"/>
    <col width="20" customWidth="1" style="24" min="11" max="11"/>
  </cols>
  <sheetData>
    <row r="1" ht="30" customHeight="1" s="24">
      <c r="A1" s="10" t="inlineStr">
        <is>
          <t>No</t>
        </is>
      </c>
      <c r="B1" s="10" t="inlineStr">
        <is>
          <t>指定KW</t>
        </is>
      </c>
      <c r="C1" s="10" t="inlineStr">
        <is>
          <t>画像ファイル名</t>
        </is>
      </c>
      <c r="D1" s="10" t="inlineStr">
        <is>
          <t>アイキャッチ主コピー</t>
        </is>
      </c>
      <c r="E1" s="10" t="inlineStr">
        <is>
          <t>アイキャッチサブコピー</t>
        </is>
      </c>
      <c r="F1" s="10" t="inlineStr">
        <is>
          <t>補助コピー</t>
        </is>
      </c>
      <c r="G1" s="10" t="inlineStr">
        <is>
          <t>背景モチーフ</t>
        </is>
      </c>
      <c r="H1" s="10" t="inlineStr">
        <is>
          <t>人物モチーフ</t>
        </is>
      </c>
      <c r="I1" s="10" t="inlineStr">
        <is>
          <t>地域要素</t>
        </is>
      </c>
      <c r="J1" s="10" t="inlineStr">
        <is>
          <t>方向性</t>
        </is>
      </c>
      <c r="K1" s="10" t="inlineStr">
        <is>
          <t>備考</t>
        </is>
      </c>
    </row>
    <row r="2">
      <c r="A2" s="3" t="n">
        <v>1</v>
      </c>
      <c r="B2" s="3" t="inlineStr">
        <is>
          <t>松山市 雨漏り修理</t>
        </is>
      </c>
      <c r="C2" s="3" t="inlineStr">
        <is>
          <t>001.webp</t>
        </is>
      </c>
      <c r="D2" s="3" t="inlineStr">
        <is>
          <t>松山市の雨漏り修理</t>
        </is>
      </c>
      <c r="E2" s="3" t="inlineStr">
        <is>
          <t>原因・費用・業者選びをプロが解説</t>
        </is>
      </c>
      <c r="F2" s="3" t="inlineStr">
        <is>
          <t>無料点検受付中</t>
        </is>
      </c>
      <c r="G2" s="3" t="inlineStr">
        <is>
          <t>天井シミ・雨だれ・屋根点検</t>
        </is>
      </c>
      <c r="H2" s="3" t="inlineStr">
        <is>
          <t>ヘルメットの職人</t>
        </is>
      </c>
      <c r="I2" s="3" t="inlineStr">
        <is>
          <t>松山市版</t>
        </is>
      </c>
      <c r="J2" s="3" t="inlineStr">
        <is>
          <t>強めサムネ・雨漏り訴求</t>
        </is>
      </c>
      <c r="K2" s="3" t="n"/>
    </row>
    <row r="3">
      <c r="A3" s="3" t="n">
        <v>2</v>
      </c>
      <c r="B3" s="3" t="inlineStr">
        <is>
          <t>松山市 雨漏り調査</t>
        </is>
      </c>
      <c r="C3" s="3" t="inlineStr">
        <is>
          <t>002.webp</t>
        </is>
      </c>
      <c r="D3" s="3" t="inlineStr">
        <is>
          <t>雨漏り調査は原因特定が命</t>
        </is>
      </c>
      <c r="E3" s="3" t="inlineStr">
        <is>
          <t>散水調査・写真付き診断を解説</t>
        </is>
      </c>
      <c r="F3" s="3" t="inlineStr">
        <is>
          <t>見えない侵入口を確認</t>
        </is>
      </c>
      <c r="G3" s="3" t="inlineStr">
        <is>
          <t>外壁ひび割れ・サッシ・虫眼鏡</t>
        </is>
      </c>
      <c r="H3" s="3" t="inlineStr">
        <is>
          <t>虫眼鏡を持つ職人</t>
        </is>
      </c>
      <c r="I3" s="3" t="inlineStr">
        <is>
          <t>松山市版</t>
        </is>
      </c>
      <c r="J3" s="3" t="inlineStr">
        <is>
          <t>調査訴求・原因特定</t>
        </is>
      </c>
      <c r="K3" s="3" t="n"/>
    </row>
    <row r="4">
      <c r="A4" s="3" t="n">
        <v>3</v>
      </c>
      <c r="B4" s="3" t="inlineStr">
        <is>
          <t>松山市 雨漏り診断</t>
        </is>
      </c>
      <c r="C4" s="3" t="inlineStr">
        <is>
          <t>003.webp</t>
        </is>
      </c>
      <c r="D4" s="3" t="inlineStr">
        <is>
          <t>これって雨漏り？</t>
        </is>
      </c>
      <c r="E4" s="3" t="inlineStr">
        <is>
          <t>天井シミ・壁紙浮き・カビ臭を確認</t>
        </is>
      </c>
      <c r="F4" s="3" t="inlineStr">
        <is>
          <t>無料現地診断でチェック</t>
        </is>
      </c>
      <c r="G4" s="3" t="inlineStr">
        <is>
          <t>住宅外観・チェックリスト・雨染み</t>
        </is>
      </c>
      <c r="H4" s="3" t="inlineStr">
        <is>
          <t>困った住人＋職人</t>
        </is>
      </c>
      <c r="I4" s="3" t="inlineStr">
        <is>
          <t>松山市版</t>
        </is>
      </c>
      <c r="J4" s="3" t="inlineStr">
        <is>
          <t>診断訴求・不安解消</t>
        </is>
      </c>
      <c r="K4" s="3" t="n"/>
    </row>
    <row r="5">
      <c r="A5" s="3" t="n">
        <v>4</v>
      </c>
      <c r="B5" s="3" t="inlineStr">
        <is>
          <t>松山市 雨漏り業者</t>
        </is>
      </c>
      <c r="C5" s="3" t="inlineStr">
        <is>
          <t>004.webp</t>
        </is>
      </c>
      <c r="D5" s="3" t="inlineStr">
        <is>
          <t>雨漏り業者の選び方</t>
        </is>
      </c>
      <c r="E5" s="3" t="inlineStr">
        <is>
          <t>安さだけで選ぶと危険!?</t>
        </is>
      </c>
      <c r="F5" s="3" t="inlineStr">
        <is>
          <t>見積り・保証・原因説明</t>
        </is>
      </c>
      <c r="G5" s="3" t="inlineStr">
        <is>
          <t>見積書・住宅外観・比較表</t>
        </is>
      </c>
      <c r="H5" s="3" t="inlineStr">
        <is>
          <t>考える住人＋職人</t>
        </is>
      </c>
      <c r="I5" s="3" t="inlineStr">
        <is>
          <t>松山市版</t>
        </is>
      </c>
      <c r="J5" s="3" t="inlineStr">
        <is>
          <t>業者選び訴求</t>
        </is>
      </c>
      <c r="K5" s="3" t="n"/>
    </row>
    <row r="6">
      <c r="A6" s="3" t="n">
        <v>5</v>
      </c>
      <c r="B6" s="3" t="inlineStr">
        <is>
          <t>松山市 雨漏り修理 費用</t>
        </is>
      </c>
      <c r="C6" s="3" t="inlineStr">
        <is>
          <t>005.webp</t>
        </is>
      </c>
      <c r="D6" s="3" t="inlineStr">
        <is>
          <t>雨漏り修理の費用はいくら？</t>
        </is>
      </c>
      <c r="E6" s="3" t="inlineStr">
        <is>
          <t>相場と内訳を職人が解説</t>
        </is>
      </c>
      <c r="F6" s="3" t="inlineStr">
        <is>
          <t>応急処置／屋根補修／防水工事</t>
        </is>
      </c>
      <c r="G6" s="3" t="inlineStr">
        <is>
          <t>見積書・天井シミ・屋根修理の現場</t>
        </is>
      </c>
      <c r="H6" s="3" t="inlineStr">
        <is>
          <t>不安そうな住人＋職人</t>
        </is>
      </c>
      <c r="I6" s="3" t="inlineStr">
        <is>
          <t>松山市版</t>
        </is>
      </c>
      <c r="J6" s="3" t="inlineStr">
        <is>
          <t>強めサムネ・費用訴求</t>
        </is>
      </c>
      <c r="K6" s="3" t="n"/>
    </row>
    <row r="7">
      <c r="A7" s="3" t="n">
        <v>6</v>
      </c>
      <c r="B7" s="3" t="inlineStr">
        <is>
          <t>松山市 雨漏り 原因</t>
        </is>
      </c>
      <c r="C7" s="3" t="inlineStr">
        <is>
          <t>006.webp</t>
        </is>
      </c>
      <c r="D7" s="3" t="inlineStr">
        <is>
          <t>雨漏り 原因の原因は？</t>
        </is>
      </c>
      <c r="E7" s="3" t="inlineStr">
        <is>
          <t>放置リスクと対処法を解説</t>
        </is>
      </c>
      <c r="F7" s="3" t="inlineStr">
        <is>
          <t>早めの確認が大切</t>
        </is>
      </c>
      <c r="G7" s="3" t="inlineStr">
        <is>
          <t>劣化箇所の拡大・雨染み・ひび割れ</t>
        </is>
      </c>
      <c r="H7" s="3" t="inlineStr">
        <is>
          <t>職人</t>
        </is>
      </c>
      <c r="I7" s="3" t="inlineStr">
        <is>
          <t>松山市版</t>
        </is>
      </c>
      <c r="J7" s="3" t="inlineStr">
        <is>
          <t>原因解説訴求</t>
        </is>
      </c>
      <c r="K7" s="3" t="n"/>
    </row>
    <row r="8">
      <c r="A8" s="3" t="n">
        <v>7</v>
      </c>
      <c r="B8" s="3" t="inlineStr">
        <is>
          <t>松山市 ベランダ雨漏り</t>
        </is>
      </c>
      <c r="C8" s="3" t="inlineStr">
        <is>
          <t>007.webp</t>
        </is>
      </c>
      <c r="D8" s="3" t="inlineStr">
        <is>
          <t>ベランダ雨漏り</t>
        </is>
      </c>
      <c r="E8" s="3" t="inlineStr">
        <is>
          <t>雨漏り前に防水状態をチェック</t>
        </is>
      </c>
      <c r="F8" s="3" t="inlineStr">
        <is>
          <t>費用・耐用年数を解説</t>
        </is>
      </c>
      <c r="G8" s="3" t="inlineStr">
        <is>
          <t>ベランダ床・防水層・排水口</t>
        </is>
      </c>
      <c r="H8" s="3" t="inlineStr">
        <is>
          <t>点検する職人</t>
        </is>
      </c>
      <c r="I8" s="3" t="inlineStr">
        <is>
          <t>松山市版</t>
        </is>
      </c>
      <c r="J8" s="3" t="inlineStr">
        <is>
          <t>防水訴求</t>
        </is>
      </c>
      <c r="K8" s="3" t="n"/>
    </row>
    <row r="9">
      <c r="A9" s="3" t="n">
        <v>8</v>
      </c>
      <c r="B9" s="3" t="inlineStr">
        <is>
          <t>松山市 サッシ雨漏り</t>
        </is>
      </c>
      <c r="C9" s="3" t="inlineStr">
        <is>
          <t>008.webp</t>
        </is>
      </c>
      <c r="D9" s="3" t="inlineStr">
        <is>
          <t>サッシ雨漏り</t>
        </is>
      </c>
      <c r="E9" s="3" t="inlineStr">
        <is>
          <t>症状・費用・注意点を解説</t>
        </is>
      </c>
      <c r="F9" s="3" t="inlineStr">
        <is>
          <t>プロが分かりやすく解説</t>
        </is>
      </c>
      <c r="G9" s="3" t="inlineStr">
        <is>
          <t>住宅外観・劣化箇所</t>
        </is>
      </c>
      <c r="H9" s="3" t="inlineStr">
        <is>
          <t>職人</t>
        </is>
      </c>
      <c r="I9" s="3" t="inlineStr">
        <is>
          <t>松山市版</t>
        </is>
      </c>
      <c r="J9" s="3" t="inlineStr">
        <is>
          <t>汎用外装訴求</t>
        </is>
      </c>
      <c r="K9" s="3" t="n"/>
    </row>
    <row r="10">
      <c r="A10" s="3" t="n">
        <v>9</v>
      </c>
      <c r="B10" s="3" t="inlineStr">
        <is>
          <t>松山市 外壁雨漏り</t>
        </is>
      </c>
      <c r="C10" s="3" t="inlineStr">
        <is>
          <t>009.webp</t>
        </is>
      </c>
      <c r="D10" s="3" t="inlineStr">
        <is>
          <t>外壁雨漏り</t>
        </is>
      </c>
      <c r="E10" s="3" t="inlineStr">
        <is>
          <t>症状・費用・注意点を解説</t>
        </is>
      </c>
      <c r="F10" s="3" t="inlineStr">
        <is>
          <t>プロが分かりやすく解説</t>
        </is>
      </c>
      <c r="G10" s="3" t="inlineStr">
        <is>
          <t>住宅外観・劣化箇所</t>
        </is>
      </c>
      <c r="H10" s="3" t="inlineStr">
        <is>
          <t>職人</t>
        </is>
      </c>
      <c r="I10" s="3" t="inlineStr">
        <is>
          <t>松山市版</t>
        </is>
      </c>
      <c r="J10" s="3" t="inlineStr">
        <is>
          <t>汎用外装訴求</t>
        </is>
      </c>
      <c r="K10" s="3" t="n"/>
    </row>
    <row r="11">
      <c r="A11" s="3" t="n">
        <v>10</v>
      </c>
      <c r="B11" s="3" t="inlineStr">
        <is>
          <t>松山市 屋根雨漏り</t>
        </is>
      </c>
      <c r="C11" s="3" t="inlineStr">
        <is>
          <t>010.webp</t>
        </is>
      </c>
      <c r="D11" s="3" t="inlineStr">
        <is>
          <t>屋根雨漏り</t>
        </is>
      </c>
      <c r="E11" s="3" t="inlineStr">
        <is>
          <t>雨漏り前に劣化を確認</t>
        </is>
      </c>
      <c r="F11" s="3" t="inlineStr">
        <is>
          <t>屋根点検・修理方法を解説</t>
        </is>
      </c>
      <c r="G11" s="3" t="inlineStr">
        <is>
          <t>屋根材・瓦・板金・雨空</t>
        </is>
      </c>
      <c r="H11" s="3" t="inlineStr">
        <is>
          <t>屋根を点検する職人</t>
        </is>
      </c>
      <c r="I11" s="3" t="inlineStr">
        <is>
          <t>松山市版</t>
        </is>
      </c>
      <c r="J11" s="3" t="inlineStr">
        <is>
          <t>屋根修理訴求</t>
        </is>
      </c>
      <c r="K11" s="3" t="n"/>
    </row>
    <row r="12">
      <c r="A12" s="3" t="n">
        <v>11</v>
      </c>
      <c r="B12" s="3" t="inlineStr">
        <is>
          <t>松山市 屋根修理</t>
        </is>
      </c>
      <c r="C12" s="3" t="inlineStr">
        <is>
          <t>011.webp</t>
        </is>
      </c>
      <c r="D12" s="3" t="inlineStr">
        <is>
          <t>屋根修理</t>
        </is>
      </c>
      <c r="E12" s="3" t="inlineStr">
        <is>
          <t>雨漏り前に劣化を確認</t>
        </is>
      </c>
      <c r="F12" s="3" t="inlineStr">
        <is>
          <t>屋根点検・修理方法を解説</t>
        </is>
      </c>
      <c r="G12" s="3" t="inlineStr">
        <is>
          <t>屋根材・瓦・板金・雨空</t>
        </is>
      </c>
      <c r="H12" s="3" t="inlineStr">
        <is>
          <t>屋根を点検する職人</t>
        </is>
      </c>
      <c r="I12" s="3" t="inlineStr">
        <is>
          <t>松山市版</t>
        </is>
      </c>
      <c r="J12" s="3" t="inlineStr">
        <is>
          <t>屋根修理訴求</t>
        </is>
      </c>
      <c r="K12" s="3" t="n"/>
    </row>
    <row r="13">
      <c r="A13" s="3" t="n">
        <v>12</v>
      </c>
      <c r="B13" s="3" t="inlineStr">
        <is>
          <t>松山市 棟板金修理</t>
        </is>
      </c>
      <c r="C13" s="3" t="inlineStr">
        <is>
          <t>012.webp</t>
        </is>
      </c>
      <c r="D13" s="3" t="inlineStr">
        <is>
          <t>棟板金修理</t>
        </is>
      </c>
      <c r="E13" s="3" t="inlineStr">
        <is>
          <t>雨漏り前に劣化を確認</t>
        </is>
      </c>
      <c r="F13" s="3" t="inlineStr">
        <is>
          <t>屋根点検・修理方法を解説</t>
        </is>
      </c>
      <c r="G13" s="3" t="inlineStr">
        <is>
          <t>屋根材・瓦・板金・雨空</t>
        </is>
      </c>
      <c r="H13" s="3" t="inlineStr">
        <is>
          <t>屋根を点検する職人</t>
        </is>
      </c>
      <c r="I13" s="3" t="inlineStr">
        <is>
          <t>松山市版</t>
        </is>
      </c>
      <c r="J13" s="3" t="inlineStr">
        <is>
          <t>屋根修理訴求</t>
        </is>
      </c>
      <c r="K13" s="3" t="n"/>
    </row>
    <row r="14">
      <c r="A14" s="3" t="n">
        <v>13</v>
      </c>
      <c r="B14" s="3" t="inlineStr">
        <is>
          <t>松山市 谷板金修理</t>
        </is>
      </c>
      <c r="C14" s="3" t="inlineStr">
        <is>
          <t>013.webp</t>
        </is>
      </c>
      <c r="D14" s="3" t="inlineStr">
        <is>
          <t>谷板金修理</t>
        </is>
      </c>
      <c r="E14" s="3" t="inlineStr">
        <is>
          <t>雨漏り前に劣化を確認</t>
        </is>
      </c>
      <c r="F14" s="3" t="inlineStr">
        <is>
          <t>屋根点検・修理方法を解説</t>
        </is>
      </c>
      <c r="G14" s="3" t="inlineStr">
        <is>
          <t>屋根材・瓦・板金・雨空</t>
        </is>
      </c>
      <c r="H14" s="3" t="inlineStr">
        <is>
          <t>屋根を点検する職人</t>
        </is>
      </c>
      <c r="I14" s="3" t="inlineStr">
        <is>
          <t>松山市版</t>
        </is>
      </c>
      <c r="J14" s="3" t="inlineStr">
        <is>
          <t>屋根修理訴求</t>
        </is>
      </c>
      <c r="K14" s="3" t="n"/>
    </row>
    <row r="15">
      <c r="A15" s="3" t="n">
        <v>14</v>
      </c>
      <c r="B15" s="3" t="inlineStr">
        <is>
          <t>松山市 瓦修理</t>
        </is>
      </c>
      <c r="C15" s="3" t="inlineStr">
        <is>
          <t>014.webp</t>
        </is>
      </c>
      <c r="D15" s="3" t="inlineStr">
        <is>
          <t>瓦修理</t>
        </is>
      </c>
      <c r="E15" s="3" t="inlineStr">
        <is>
          <t>雨漏り前に劣化を確認</t>
        </is>
      </c>
      <c r="F15" s="3" t="inlineStr">
        <is>
          <t>屋根点検・修理方法を解説</t>
        </is>
      </c>
      <c r="G15" s="3" t="inlineStr">
        <is>
          <t>屋根材・瓦・板金・雨空</t>
        </is>
      </c>
      <c r="H15" s="3" t="inlineStr">
        <is>
          <t>屋根を点検する職人</t>
        </is>
      </c>
      <c r="I15" s="3" t="inlineStr">
        <is>
          <t>松山市版</t>
        </is>
      </c>
      <c r="J15" s="3" t="inlineStr">
        <is>
          <t>屋根修理訴求</t>
        </is>
      </c>
      <c r="K15" s="3" t="n"/>
    </row>
    <row r="16">
      <c r="A16" s="3" t="n">
        <v>15</v>
      </c>
      <c r="B16" s="3" t="inlineStr">
        <is>
          <t>松山市 漆喰補修</t>
        </is>
      </c>
      <c r="C16" s="3" t="inlineStr">
        <is>
          <t>015.webp</t>
        </is>
      </c>
      <c r="D16" s="3" t="inlineStr">
        <is>
          <t>漆喰補修</t>
        </is>
      </c>
      <c r="E16" s="3" t="inlineStr">
        <is>
          <t>雨漏り前に劣化を確認</t>
        </is>
      </c>
      <c r="F16" s="3" t="inlineStr">
        <is>
          <t>屋根点検・修理方法を解説</t>
        </is>
      </c>
      <c r="G16" s="3" t="inlineStr">
        <is>
          <t>屋根材・瓦・板金・雨空</t>
        </is>
      </c>
      <c r="H16" s="3" t="inlineStr">
        <is>
          <t>屋根を点検する職人</t>
        </is>
      </c>
      <c r="I16" s="3" t="inlineStr">
        <is>
          <t>松山市版</t>
        </is>
      </c>
      <c r="J16" s="3" t="inlineStr">
        <is>
          <t>屋根修理訴求</t>
        </is>
      </c>
      <c r="K16" s="3" t="n"/>
    </row>
    <row r="17">
      <c r="A17" s="3" t="n">
        <v>16</v>
      </c>
      <c r="B17" s="3" t="inlineStr">
        <is>
          <t>松山市 屋根リフォーム</t>
        </is>
      </c>
      <c r="C17" s="3" t="inlineStr">
        <is>
          <t>016.webp</t>
        </is>
      </c>
      <c r="D17" s="3" t="inlineStr">
        <is>
          <t>屋根リフォーム</t>
        </is>
      </c>
      <c r="E17" s="3" t="inlineStr">
        <is>
          <t>雨漏り前に劣化を確認</t>
        </is>
      </c>
      <c r="F17" s="3" t="inlineStr">
        <is>
          <t>屋根点検・修理方法を解説</t>
        </is>
      </c>
      <c r="G17" s="3" t="inlineStr">
        <is>
          <t>屋根材・瓦・板金・雨空</t>
        </is>
      </c>
      <c r="H17" s="3" t="inlineStr">
        <is>
          <t>屋根を点検する職人</t>
        </is>
      </c>
      <c r="I17" s="3" t="inlineStr">
        <is>
          <t>松山市版</t>
        </is>
      </c>
      <c r="J17" s="3" t="inlineStr">
        <is>
          <t>屋根修理訴求</t>
        </is>
      </c>
      <c r="K17" s="3" t="n"/>
    </row>
    <row r="18">
      <c r="A18" s="3" t="n">
        <v>17</v>
      </c>
      <c r="B18" s="3" t="inlineStr">
        <is>
          <t>松山市 ガルテクト</t>
        </is>
      </c>
      <c r="C18" s="3" t="inlineStr">
        <is>
          <t>017.webp</t>
        </is>
      </c>
      <c r="D18" s="3" t="inlineStr">
        <is>
          <t>ガルテクト</t>
        </is>
      </c>
      <c r="E18" s="3" t="inlineStr">
        <is>
          <t>雨漏り前に劣化を確認</t>
        </is>
      </c>
      <c r="F18" s="3" t="inlineStr">
        <is>
          <t>屋根点検・修理方法を解説</t>
        </is>
      </c>
      <c r="G18" s="3" t="inlineStr">
        <is>
          <t>屋根材・瓦・板金・雨空</t>
        </is>
      </c>
      <c r="H18" s="3" t="inlineStr">
        <is>
          <t>屋根を点検する職人</t>
        </is>
      </c>
      <c r="I18" s="3" t="inlineStr">
        <is>
          <t>松山市版</t>
        </is>
      </c>
      <c r="J18" s="3" t="inlineStr">
        <is>
          <t>屋根修理訴求</t>
        </is>
      </c>
      <c r="K18" s="3" t="n"/>
    </row>
    <row r="19">
      <c r="A19" s="3" t="n">
        <v>18</v>
      </c>
      <c r="B19" s="3" t="inlineStr">
        <is>
          <t>松山市 ヴェルウッド</t>
        </is>
      </c>
      <c r="C19" s="3" t="inlineStr">
        <is>
          <t>018.webp</t>
        </is>
      </c>
      <c r="D19" s="3" t="inlineStr">
        <is>
          <t>ヴェルウッド</t>
        </is>
      </c>
      <c r="E19" s="3" t="inlineStr">
        <is>
          <t>雨漏り前に劣化を確認</t>
        </is>
      </c>
      <c r="F19" s="3" t="inlineStr">
        <is>
          <t>屋根点検・修理方法を解説</t>
        </is>
      </c>
      <c r="G19" s="3" t="inlineStr">
        <is>
          <t>屋根材・瓦・板金・雨空</t>
        </is>
      </c>
      <c r="H19" s="3" t="inlineStr">
        <is>
          <t>屋根を点検する職人</t>
        </is>
      </c>
      <c r="I19" s="3" t="inlineStr">
        <is>
          <t>松山市版</t>
        </is>
      </c>
      <c r="J19" s="3" t="inlineStr">
        <is>
          <t>屋根修理訴求</t>
        </is>
      </c>
      <c r="K19" s="3" t="n"/>
    </row>
    <row r="20">
      <c r="A20" s="3" t="n">
        <v>19</v>
      </c>
      <c r="B20" s="3" t="inlineStr">
        <is>
          <t>松山市 パミール屋根</t>
        </is>
      </c>
      <c r="C20" s="3" t="inlineStr">
        <is>
          <t>019.webp</t>
        </is>
      </c>
      <c r="D20" s="3" t="inlineStr">
        <is>
          <t>パミール屋根</t>
        </is>
      </c>
      <c r="E20" s="3" t="inlineStr">
        <is>
          <t>雨漏り前に劣化を確認</t>
        </is>
      </c>
      <c r="F20" s="3" t="inlineStr">
        <is>
          <t>屋根点検・修理方法を解説</t>
        </is>
      </c>
      <c r="G20" s="3" t="inlineStr">
        <is>
          <t>屋根材・瓦・板金・雨空</t>
        </is>
      </c>
      <c r="H20" s="3" t="inlineStr">
        <is>
          <t>屋根を点検する職人</t>
        </is>
      </c>
      <c r="I20" s="3" t="inlineStr">
        <is>
          <t>松山市版</t>
        </is>
      </c>
      <c r="J20" s="3" t="inlineStr">
        <is>
          <t>屋根修理訴求</t>
        </is>
      </c>
      <c r="K20" s="3" t="n"/>
    </row>
    <row r="21" ht="28.5" customHeight="1" s="24">
      <c r="A21" s="3" t="n">
        <v>20</v>
      </c>
      <c r="B21" s="3" t="inlineStr">
        <is>
          <t>パナソニックホームズ 外壁塗装 松山市</t>
        </is>
      </c>
      <c r="C21" s="3" t="inlineStr">
        <is>
          <t>020.webp</t>
        </is>
      </c>
      <c r="D21" s="3" t="inlineStr">
        <is>
          <t>パナソニックホームズ 外壁塗装 松山市</t>
        </is>
      </c>
      <c r="E21" s="3" t="inlineStr">
        <is>
          <t>放置リスクと判断基準を解説</t>
        </is>
      </c>
      <c r="F21" s="3" t="inlineStr">
        <is>
          <t>無料診断で状態確認</t>
        </is>
      </c>
      <c r="G21" s="3" t="inlineStr">
        <is>
          <t>外壁ひび割れ・チョーキング・住宅外観</t>
        </is>
      </c>
      <c r="H21" s="3" t="inlineStr">
        <is>
          <t>職人＋困った住人</t>
        </is>
      </c>
      <c r="I21" s="3" t="inlineStr">
        <is>
          <t>松山市版</t>
        </is>
      </c>
      <c r="J21" s="3" t="inlineStr">
        <is>
          <t>外壁塗装訴求</t>
        </is>
      </c>
      <c r="K21" s="3" t="n"/>
    </row>
    <row r="22" ht="28.5" customHeight="1" s="24">
      <c r="A22" s="3" t="n">
        <v>21</v>
      </c>
      <c r="B22" s="3" t="inlineStr">
        <is>
          <t>レオハウス 外壁塗装 松山市</t>
        </is>
      </c>
      <c r="C22" s="3" t="inlineStr">
        <is>
          <t>021.webp</t>
        </is>
      </c>
      <c r="D22" s="3" t="inlineStr">
        <is>
          <t>レオハウス 外壁塗装 松山市</t>
        </is>
      </c>
      <c r="E22" s="3" t="inlineStr">
        <is>
          <t>放置リスクと判断基準を解説</t>
        </is>
      </c>
      <c r="F22" s="3" t="inlineStr">
        <is>
          <t>無料診断で状態確認</t>
        </is>
      </c>
      <c r="G22" s="3" t="inlineStr">
        <is>
          <t>外壁ひび割れ・チョーキング・住宅外観</t>
        </is>
      </c>
      <c r="H22" s="3" t="inlineStr">
        <is>
          <t>職人＋困った住人</t>
        </is>
      </c>
      <c r="I22" s="3" t="inlineStr">
        <is>
          <t>松山市版</t>
        </is>
      </c>
      <c r="J22" s="3" t="inlineStr">
        <is>
          <t>外壁塗装訴求</t>
        </is>
      </c>
      <c r="K22" s="3" t="n"/>
    </row>
    <row r="23" ht="28.5" customHeight="1" s="24">
      <c r="A23" s="3" t="n">
        <v>22</v>
      </c>
      <c r="B23" s="3" t="inlineStr">
        <is>
          <t>アットハウジング 外壁塗装 松山市</t>
        </is>
      </c>
      <c r="C23" s="3" t="inlineStr">
        <is>
          <t>022.webp</t>
        </is>
      </c>
      <c r="D23" s="3" t="inlineStr">
        <is>
          <t>アットハウジング 外壁塗装 松山市</t>
        </is>
      </c>
      <c r="E23" s="3" t="inlineStr">
        <is>
          <t>放置リスクと判断基準を解説</t>
        </is>
      </c>
      <c r="F23" s="3" t="inlineStr">
        <is>
          <t>無料診断で状態確認</t>
        </is>
      </c>
      <c r="G23" s="3" t="inlineStr">
        <is>
          <t>外壁ひび割れ・チョーキング・住宅外観</t>
        </is>
      </c>
      <c r="H23" s="3" t="inlineStr">
        <is>
          <t>職人＋困った住人</t>
        </is>
      </c>
      <c r="I23" s="3" t="inlineStr">
        <is>
          <t>松山市版</t>
        </is>
      </c>
      <c r="J23" s="3" t="inlineStr">
        <is>
          <t>外壁塗装訴求</t>
        </is>
      </c>
      <c r="K23" s="3" t="n"/>
    </row>
    <row r="24" ht="28.5" customHeight="1" s="24">
      <c r="A24" s="3" t="n">
        <v>23</v>
      </c>
      <c r="B24" s="3" t="inlineStr">
        <is>
          <t>日本ハウスHD 外壁塗装 松山市</t>
        </is>
      </c>
      <c r="C24" s="3" t="inlineStr">
        <is>
          <t>023.webp</t>
        </is>
      </c>
      <c r="D24" s="3" t="inlineStr">
        <is>
          <t>日本ハウスHD 外壁塗装 松山市</t>
        </is>
      </c>
      <c r="E24" s="3" t="inlineStr">
        <is>
          <t>放置リスクと判断基準を解説</t>
        </is>
      </c>
      <c r="F24" s="3" t="inlineStr">
        <is>
          <t>無料診断で状態確認</t>
        </is>
      </c>
      <c r="G24" s="3" t="inlineStr">
        <is>
          <t>外壁ひび割れ・チョーキング・住宅外観</t>
        </is>
      </c>
      <c r="H24" s="3" t="inlineStr">
        <is>
          <t>職人＋困った住人</t>
        </is>
      </c>
      <c r="I24" s="3" t="inlineStr">
        <is>
          <t>松山市版</t>
        </is>
      </c>
      <c r="J24" s="3" t="inlineStr">
        <is>
          <t>外壁塗装訴求</t>
        </is>
      </c>
      <c r="K24" s="3" t="n"/>
    </row>
    <row r="25" ht="28.5" customHeight="1" s="24">
      <c r="A25" s="3" t="n">
        <v>24</v>
      </c>
      <c r="B25" s="3" t="inlineStr">
        <is>
          <t>アイフルホーム 外壁塗装 松山市</t>
        </is>
      </c>
      <c r="C25" s="3" t="inlineStr">
        <is>
          <t>024.webp</t>
        </is>
      </c>
      <c r="D25" s="3" t="inlineStr">
        <is>
          <t>アイフルホーム 外壁塗装 松山市</t>
        </is>
      </c>
      <c r="E25" s="3" t="inlineStr">
        <is>
          <t>放置リスクと判断基準を解説</t>
        </is>
      </c>
      <c r="F25" s="3" t="inlineStr">
        <is>
          <t>無料診断で状態確認</t>
        </is>
      </c>
      <c r="G25" s="3" t="inlineStr">
        <is>
          <t>外壁ひび割れ・チョーキング・住宅外観</t>
        </is>
      </c>
      <c r="H25" s="3" t="inlineStr">
        <is>
          <t>職人＋困った住人</t>
        </is>
      </c>
      <c r="I25" s="3" t="inlineStr">
        <is>
          <t>松山市版</t>
        </is>
      </c>
      <c r="J25" s="3" t="inlineStr">
        <is>
          <t>外壁塗装訴求</t>
        </is>
      </c>
      <c r="K25" s="3" t="n"/>
    </row>
    <row r="26" ht="28.5" customHeight="1" s="24">
      <c r="A26" s="3" t="n">
        <v>25</v>
      </c>
      <c r="B26" s="3" t="inlineStr">
        <is>
          <t>外壁から雨漏りする原因</t>
        </is>
      </c>
      <c r="C26" s="3" t="inlineStr">
        <is>
          <t>025.webp</t>
        </is>
      </c>
      <c r="D26" s="3" t="inlineStr">
        <is>
          <t>外壁から雨漏りする原因の原因は？</t>
        </is>
      </c>
      <c r="E26" s="3" t="inlineStr">
        <is>
          <t>放置リスクと対処法を解説</t>
        </is>
      </c>
      <c r="F26" s="3" t="inlineStr">
        <is>
          <t>早めの確認が大切</t>
        </is>
      </c>
      <c r="G26" s="3" t="inlineStr">
        <is>
          <t>劣化箇所の拡大・雨染み・ひび割れ</t>
        </is>
      </c>
      <c r="H26" s="3" t="inlineStr">
        <is>
          <t>職人</t>
        </is>
      </c>
      <c r="I26" s="3" t="inlineStr">
        <is>
          <t>松山市版</t>
        </is>
      </c>
      <c r="J26" s="3" t="inlineStr">
        <is>
          <t>原因解説訴求</t>
        </is>
      </c>
      <c r="K26" s="3" t="n"/>
    </row>
    <row r="27" ht="28.5" customHeight="1" s="24">
      <c r="A27" s="3" t="n">
        <v>26</v>
      </c>
      <c r="B27" s="3" t="inlineStr">
        <is>
          <t>窓枠から雨漏りする原因</t>
        </is>
      </c>
      <c r="C27" s="3" t="inlineStr">
        <is>
          <t>026.webp</t>
        </is>
      </c>
      <c r="D27" s="3" t="inlineStr">
        <is>
          <t>窓枠から雨漏りする原因の原因は？</t>
        </is>
      </c>
      <c r="E27" s="3" t="inlineStr">
        <is>
          <t>放置リスクと対処法を解説</t>
        </is>
      </c>
      <c r="F27" s="3" t="inlineStr">
        <is>
          <t>早めの確認が大切</t>
        </is>
      </c>
      <c r="G27" s="3" t="inlineStr">
        <is>
          <t>劣化箇所の拡大・雨染み・ひび割れ</t>
        </is>
      </c>
      <c r="H27" s="3" t="inlineStr">
        <is>
          <t>職人</t>
        </is>
      </c>
      <c r="I27" s="3" t="inlineStr">
        <is>
          <t>松山市版</t>
        </is>
      </c>
      <c r="J27" s="3" t="inlineStr">
        <is>
          <t>原因解説訴求</t>
        </is>
      </c>
      <c r="K27" s="3" t="n"/>
    </row>
    <row r="28">
      <c r="A28" s="3" t="n">
        <v>27</v>
      </c>
      <c r="B28" s="3" t="inlineStr">
        <is>
          <t>天窓雨漏り修理</t>
        </is>
      </c>
      <c r="C28" s="3" t="inlineStr">
        <is>
          <t>027.webp</t>
        </is>
      </c>
      <c r="D28" s="3" t="inlineStr">
        <is>
          <t>松山市の雨漏り修理</t>
        </is>
      </c>
      <c r="E28" s="3" t="inlineStr">
        <is>
          <t>原因・費用・業者選びをプロが解説</t>
        </is>
      </c>
      <c r="F28" s="3" t="inlineStr">
        <is>
          <t>無料点検受付中</t>
        </is>
      </c>
      <c r="G28" s="3" t="inlineStr">
        <is>
          <t>天井シミ・雨だれ・屋根点検</t>
        </is>
      </c>
      <c r="H28" s="3" t="inlineStr">
        <is>
          <t>ヘルメットの職人</t>
        </is>
      </c>
      <c r="I28" s="3" t="inlineStr">
        <is>
          <t>松山市版</t>
        </is>
      </c>
      <c r="J28" s="3" t="inlineStr">
        <is>
          <t>強めサムネ・雨漏り訴求</t>
        </is>
      </c>
      <c r="K28" s="3" t="n"/>
    </row>
    <row r="29">
      <c r="A29" s="3" t="n">
        <v>28</v>
      </c>
      <c r="B29" s="3" t="inlineStr">
        <is>
          <t>笠木雨漏り</t>
        </is>
      </c>
      <c r="C29" s="3" t="inlineStr">
        <is>
          <t>028.webp</t>
        </is>
      </c>
      <c r="D29" s="3" t="inlineStr">
        <is>
          <t>笠木雨漏り</t>
        </is>
      </c>
      <c r="E29" s="3" t="inlineStr">
        <is>
          <t>症状・費用・注意点を解説</t>
        </is>
      </c>
      <c r="F29" s="3" t="inlineStr">
        <is>
          <t>プロが分かりやすく解説</t>
        </is>
      </c>
      <c r="G29" s="3" t="inlineStr">
        <is>
          <t>住宅外観・劣化箇所</t>
        </is>
      </c>
      <c r="H29" s="3" t="inlineStr">
        <is>
          <t>職人</t>
        </is>
      </c>
      <c r="I29" s="3" t="inlineStr">
        <is>
          <t>松山市版</t>
        </is>
      </c>
      <c r="J29" s="3" t="inlineStr">
        <is>
          <t>汎用外装訴求</t>
        </is>
      </c>
      <c r="K29" s="3" t="n"/>
    </row>
    <row r="30">
      <c r="A30" s="3" t="n">
        <v>29</v>
      </c>
      <c r="B30" s="3" t="inlineStr">
        <is>
          <t>幕板雨漏り</t>
        </is>
      </c>
      <c r="C30" s="3" t="inlineStr">
        <is>
          <t>029.webp</t>
        </is>
      </c>
      <c r="D30" s="3" t="inlineStr">
        <is>
          <t>幕板雨漏り</t>
        </is>
      </c>
      <c r="E30" s="3" t="inlineStr">
        <is>
          <t>症状・費用・注意点を解説</t>
        </is>
      </c>
      <c r="F30" s="3" t="inlineStr">
        <is>
          <t>プロが分かりやすく解説</t>
        </is>
      </c>
      <c r="G30" s="3" t="inlineStr">
        <is>
          <t>住宅外観・劣化箇所</t>
        </is>
      </c>
      <c r="H30" s="3" t="inlineStr">
        <is>
          <t>職人</t>
        </is>
      </c>
      <c r="I30" s="3" t="inlineStr">
        <is>
          <t>松山市版</t>
        </is>
      </c>
      <c r="J30" s="3" t="inlineStr">
        <is>
          <t>汎用外装訴求</t>
        </is>
      </c>
      <c r="K30" s="3" t="n"/>
    </row>
    <row r="31">
      <c r="A31" s="3" t="n">
        <v>30</v>
      </c>
      <c r="B31" s="3" t="inlineStr">
        <is>
          <t>バルコニー雨漏り</t>
        </is>
      </c>
      <c r="C31" s="3" t="inlineStr">
        <is>
          <t>030.webp</t>
        </is>
      </c>
      <c r="D31" s="3" t="inlineStr">
        <is>
          <t>バルコニー雨漏り</t>
        </is>
      </c>
      <c r="E31" s="3" t="inlineStr">
        <is>
          <t>症状・費用・注意点を解説</t>
        </is>
      </c>
      <c r="F31" s="3" t="inlineStr">
        <is>
          <t>プロが分かりやすく解説</t>
        </is>
      </c>
      <c r="G31" s="3" t="inlineStr">
        <is>
          <t>住宅外観・劣化箇所</t>
        </is>
      </c>
      <c r="H31" s="3" t="inlineStr">
        <is>
          <t>職人</t>
        </is>
      </c>
      <c r="I31" s="3" t="inlineStr">
        <is>
          <t>松山市版</t>
        </is>
      </c>
      <c r="J31" s="3" t="inlineStr">
        <is>
          <t>汎用外装訴求</t>
        </is>
      </c>
      <c r="K31" s="3" t="n"/>
    </row>
    <row r="32">
      <c r="A32" s="3" t="n">
        <v>31</v>
      </c>
      <c r="B32" s="3" t="inlineStr">
        <is>
          <t>軒天雨漏り</t>
        </is>
      </c>
      <c r="C32" s="3" t="inlineStr">
        <is>
          <t>031.webp</t>
        </is>
      </c>
      <c r="D32" s="3" t="inlineStr">
        <is>
          <t>軒天雨漏り</t>
        </is>
      </c>
      <c r="E32" s="3" t="inlineStr">
        <is>
          <t>シミ・黒ずみ・剥がれは要注意</t>
        </is>
      </c>
      <c r="F32" s="3" t="inlineStr">
        <is>
          <t>補修と塗装の判断ポイント</t>
        </is>
      </c>
      <c r="G32" s="3" t="inlineStr">
        <is>
          <t>軒天シミ・黒ずみ・住宅軒下</t>
        </is>
      </c>
      <c r="H32" s="3" t="inlineStr">
        <is>
          <t>見上げる住人＋職人</t>
        </is>
      </c>
      <c r="I32" s="3" t="inlineStr">
        <is>
          <t>松山市版</t>
        </is>
      </c>
      <c r="J32" s="3" t="inlineStr">
        <is>
          <t>軒天訴求</t>
        </is>
      </c>
      <c r="K32" s="3" t="n"/>
    </row>
    <row r="33">
      <c r="A33" s="3" t="n">
        <v>32</v>
      </c>
      <c r="B33" s="3" t="inlineStr">
        <is>
          <t>雨漏り火災保険</t>
        </is>
      </c>
      <c r="C33" s="3" t="inlineStr">
        <is>
          <t>032.webp</t>
        </is>
      </c>
      <c r="D33" s="3" t="inlineStr">
        <is>
          <t>雨漏り火災保険</t>
        </is>
      </c>
      <c r="E33" s="3" t="inlineStr">
        <is>
          <t>症状・費用・注意点を解説</t>
        </is>
      </c>
      <c r="F33" s="3" t="inlineStr">
        <is>
          <t>プロが分かりやすく解説</t>
        </is>
      </c>
      <c r="G33" s="3" t="inlineStr">
        <is>
          <t>住宅外観・劣化箇所</t>
        </is>
      </c>
      <c r="H33" s="3" t="inlineStr">
        <is>
          <t>職人</t>
        </is>
      </c>
      <c r="I33" s="3" t="inlineStr">
        <is>
          <t>松山市版</t>
        </is>
      </c>
      <c r="J33" s="3" t="inlineStr">
        <is>
          <t>汎用外装訴求</t>
        </is>
      </c>
      <c r="K33" s="3" t="n"/>
    </row>
    <row r="34">
      <c r="A34" s="3" t="n">
        <v>33</v>
      </c>
      <c r="B34" s="3" t="inlineStr">
        <is>
          <t>コーキング劣化 雨漏り</t>
        </is>
      </c>
      <c r="C34" s="3" t="inlineStr">
        <is>
          <t>033.webp</t>
        </is>
      </c>
      <c r="D34" s="3" t="inlineStr">
        <is>
          <t>コーキング劣化 雨漏り</t>
        </is>
      </c>
      <c r="E34" s="3" t="inlineStr">
        <is>
          <t>雨漏り前に防水状態をチェック</t>
        </is>
      </c>
      <c r="F34" s="3" t="inlineStr">
        <is>
          <t>費用・耐用年数を解説</t>
        </is>
      </c>
      <c r="G34" s="3" t="inlineStr">
        <is>
          <t>ベランダ床・防水層・排水口</t>
        </is>
      </c>
      <c r="H34" s="3" t="inlineStr">
        <is>
          <t>点検する職人</t>
        </is>
      </c>
      <c r="I34" s="3" t="inlineStr">
        <is>
          <t>松山市版</t>
        </is>
      </c>
      <c r="J34" s="3" t="inlineStr">
        <is>
          <t>防水訴求</t>
        </is>
      </c>
      <c r="K34" s="3" t="n"/>
    </row>
    <row r="35">
      <c r="A35" s="3" t="n">
        <v>34</v>
      </c>
      <c r="B35" s="3" t="inlineStr">
        <is>
          <t>外壁ひび割れ 雨漏り</t>
        </is>
      </c>
      <c r="C35" s="3" t="inlineStr">
        <is>
          <t>034.webp</t>
        </is>
      </c>
      <c r="D35" s="3" t="inlineStr">
        <is>
          <t>外壁ひび割れ 雨漏り</t>
        </is>
      </c>
      <c r="E35" s="3" t="inlineStr">
        <is>
          <t>雨漏り前に防水状態をチェック</t>
        </is>
      </c>
      <c r="F35" s="3" t="inlineStr">
        <is>
          <t>費用・耐用年数を解説</t>
        </is>
      </c>
      <c r="G35" s="3" t="inlineStr">
        <is>
          <t>ベランダ床・防水層・排水口</t>
        </is>
      </c>
      <c r="H35" s="3" t="inlineStr">
        <is>
          <t>点検する職人</t>
        </is>
      </c>
      <c r="I35" s="3" t="inlineStr">
        <is>
          <t>松山市版</t>
        </is>
      </c>
      <c r="J35" s="3" t="inlineStr">
        <is>
          <t>防水訴求</t>
        </is>
      </c>
      <c r="K35" s="3" t="n"/>
    </row>
    <row r="36">
      <c r="A36" s="3" t="n">
        <v>35</v>
      </c>
      <c r="B36" s="3" t="inlineStr">
        <is>
          <t>シーリング打ち替え 費用</t>
        </is>
      </c>
      <c r="C36" s="3" t="inlineStr">
        <is>
          <t>035.webp</t>
        </is>
      </c>
      <c r="D36" s="3" t="inlineStr">
        <is>
          <t>シーリング打ち替え 費用</t>
        </is>
      </c>
      <c r="E36" s="3" t="inlineStr">
        <is>
          <t>雨漏り前に防水状態をチェック</t>
        </is>
      </c>
      <c r="F36" s="3" t="inlineStr">
        <is>
          <t>費用・耐用年数を解説</t>
        </is>
      </c>
      <c r="G36" s="3" t="inlineStr">
        <is>
          <t>ベランダ床・防水層・排水口</t>
        </is>
      </c>
      <c r="H36" s="3" t="inlineStr">
        <is>
          <t>点検する職人</t>
        </is>
      </c>
      <c r="I36" s="3" t="inlineStr">
        <is>
          <t>松山市版</t>
        </is>
      </c>
      <c r="J36" s="3" t="inlineStr">
        <is>
          <t>防水訴求</t>
        </is>
      </c>
      <c r="K36" s="3" t="n"/>
    </row>
    <row r="37">
      <c r="A37" s="3" t="n">
        <v>36</v>
      </c>
      <c r="B37" s="3" t="inlineStr">
        <is>
          <t>オートンイクシード 費用</t>
        </is>
      </c>
      <c r="C37" s="3" t="inlineStr">
        <is>
          <t>036.webp</t>
        </is>
      </c>
      <c r="D37" s="3" t="inlineStr">
        <is>
          <t>オートンイクシード 費用</t>
        </is>
      </c>
      <c r="E37" s="3" t="inlineStr">
        <is>
          <t>雨漏り前に防水状態をチェック</t>
        </is>
      </c>
      <c r="F37" s="3" t="inlineStr">
        <is>
          <t>費用・耐用年数を解説</t>
        </is>
      </c>
      <c r="G37" s="3" t="inlineStr">
        <is>
          <t>ベランダ床・防水層・排水口</t>
        </is>
      </c>
      <c r="H37" s="3" t="inlineStr">
        <is>
          <t>点検する職人</t>
        </is>
      </c>
      <c r="I37" s="3" t="inlineStr">
        <is>
          <t>松山市版</t>
        </is>
      </c>
      <c r="J37" s="3" t="inlineStr">
        <is>
          <t>防水訴求</t>
        </is>
      </c>
      <c r="K37" s="3" t="n"/>
    </row>
    <row r="38">
      <c r="A38" s="3" t="n">
        <v>37</v>
      </c>
      <c r="B38" s="3" t="inlineStr">
        <is>
          <t>ベランダ防水 費用</t>
        </is>
      </c>
      <c r="C38" s="3" t="inlineStr">
        <is>
          <t>037.webp</t>
        </is>
      </c>
      <c r="D38" s="3" t="inlineStr">
        <is>
          <t>ベランダ防水 費用</t>
        </is>
      </c>
      <c r="E38" s="3" t="inlineStr">
        <is>
          <t>雨漏り前に防水状態をチェック</t>
        </is>
      </c>
      <c r="F38" s="3" t="inlineStr">
        <is>
          <t>費用・耐用年数を解説</t>
        </is>
      </c>
      <c r="G38" s="3" t="inlineStr">
        <is>
          <t>ベランダ床・防水層・排水口</t>
        </is>
      </c>
      <c r="H38" s="3" t="inlineStr">
        <is>
          <t>点検する職人</t>
        </is>
      </c>
      <c r="I38" s="3" t="inlineStr">
        <is>
          <t>松山市版</t>
        </is>
      </c>
      <c r="J38" s="3" t="inlineStr">
        <is>
          <t>防水訴求</t>
        </is>
      </c>
      <c r="K38" s="3" t="n"/>
    </row>
    <row r="39">
      <c r="A39" s="3" t="n">
        <v>38</v>
      </c>
      <c r="B39" s="3" t="inlineStr">
        <is>
          <t>FRP防水 耐用年数</t>
        </is>
      </c>
      <c r="C39" s="3" t="inlineStr">
        <is>
          <t>038.webp</t>
        </is>
      </c>
      <c r="D39" s="3" t="inlineStr">
        <is>
          <t>FRP防水 耐用年数</t>
        </is>
      </c>
      <c r="E39" s="3" t="inlineStr">
        <is>
          <t>雨漏り前に防水状態をチェック</t>
        </is>
      </c>
      <c r="F39" s="3" t="inlineStr">
        <is>
          <t>費用・耐用年数を解説</t>
        </is>
      </c>
      <c r="G39" s="3" t="inlineStr">
        <is>
          <t>ベランダ床・防水層・排水口</t>
        </is>
      </c>
      <c r="H39" s="3" t="inlineStr">
        <is>
          <t>点検する職人</t>
        </is>
      </c>
      <c r="I39" s="3" t="inlineStr">
        <is>
          <t>松山市版</t>
        </is>
      </c>
      <c r="J39" s="3" t="inlineStr">
        <is>
          <t>防水訴求</t>
        </is>
      </c>
      <c r="K39" s="3" t="n"/>
    </row>
    <row r="40">
      <c r="A40" s="3" t="n">
        <v>39</v>
      </c>
      <c r="B40" s="3" t="inlineStr">
        <is>
          <t>ウレタン防水 耐用年数</t>
        </is>
      </c>
      <c r="C40" s="3" t="inlineStr">
        <is>
          <t>039.webp</t>
        </is>
      </c>
      <c r="D40" s="3" t="inlineStr">
        <is>
          <t>ウレタン防水 耐用年数</t>
        </is>
      </c>
      <c r="E40" s="3" t="inlineStr">
        <is>
          <t>雨漏り前に防水状態をチェック</t>
        </is>
      </c>
      <c r="F40" s="3" t="inlineStr">
        <is>
          <t>費用・耐用年数を解説</t>
        </is>
      </c>
      <c r="G40" s="3" t="inlineStr">
        <is>
          <t>ベランダ床・防水層・排水口</t>
        </is>
      </c>
      <c r="H40" s="3" t="inlineStr">
        <is>
          <t>点検する職人</t>
        </is>
      </c>
      <c r="I40" s="3" t="inlineStr">
        <is>
          <t>松山市版</t>
        </is>
      </c>
      <c r="J40" s="3" t="inlineStr">
        <is>
          <t>防水訴求</t>
        </is>
      </c>
      <c r="K40" s="3" t="n"/>
    </row>
    <row r="41">
      <c r="A41" s="3" t="n">
        <v>40</v>
      </c>
      <c r="B41" s="3" t="inlineStr">
        <is>
          <t>塩ビシート防水 耐用年数</t>
        </is>
      </c>
      <c r="C41" s="3" t="inlineStr">
        <is>
          <t>040.webp</t>
        </is>
      </c>
      <c r="D41" s="3" t="inlineStr">
        <is>
          <t>塩ビシート防水 耐用年数</t>
        </is>
      </c>
      <c r="E41" s="3" t="inlineStr">
        <is>
          <t>雨漏り前に防水状態をチェック</t>
        </is>
      </c>
      <c r="F41" s="3" t="inlineStr">
        <is>
          <t>費用・耐用年数を解説</t>
        </is>
      </c>
      <c r="G41" s="3" t="inlineStr">
        <is>
          <t>ベランダ床・防水層・排水口</t>
        </is>
      </c>
      <c r="H41" s="3" t="inlineStr">
        <is>
          <t>点検する職人</t>
        </is>
      </c>
      <c r="I41" s="3" t="inlineStr">
        <is>
          <t>松山市版</t>
        </is>
      </c>
      <c r="J41" s="3" t="inlineStr">
        <is>
          <t>防水訴求</t>
        </is>
      </c>
      <c r="K41" s="3" t="n"/>
    </row>
    <row r="42">
      <c r="A42" s="3" t="n">
        <v>41</v>
      </c>
      <c r="B42" s="3" t="inlineStr">
        <is>
          <t>屋根カバー メリット</t>
        </is>
      </c>
      <c r="C42" s="3" t="inlineStr">
        <is>
          <t>041.webp</t>
        </is>
      </c>
      <c r="D42" s="3" t="inlineStr">
        <is>
          <t>屋根カバー メリット</t>
        </is>
      </c>
      <c r="E42" s="3" t="inlineStr">
        <is>
          <t>雨漏り前に劣化を確認</t>
        </is>
      </c>
      <c r="F42" s="3" t="inlineStr">
        <is>
          <t>屋根点検・修理方法を解説</t>
        </is>
      </c>
      <c r="G42" s="3" t="inlineStr">
        <is>
          <t>屋根材・瓦・板金・雨空</t>
        </is>
      </c>
      <c r="H42" s="3" t="inlineStr">
        <is>
          <t>屋根を点検する職人</t>
        </is>
      </c>
      <c r="I42" s="3" t="inlineStr">
        <is>
          <t>松山市版</t>
        </is>
      </c>
      <c r="J42" s="3" t="inlineStr">
        <is>
          <t>屋根修理訴求</t>
        </is>
      </c>
      <c r="K42" s="3" t="n"/>
    </row>
    <row r="43">
      <c r="A43" s="3" t="n">
        <v>42</v>
      </c>
      <c r="B43" s="3" t="inlineStr">
        <is>
          <t>ガルテクト デメリット</t>
        </is>
      </c>
      <c r="C43" s="3" t="inlineStr">
        <is>
          <t>042.webp</t>
        </is>
      </c>
      <c r="D43" s="3" t="inlineStr">
        <is>
          <t>ガルテクト デメリット</t>
        </is>
      </c>
      <c r="E43" s="3" t="inlineStr">
        <is>
          <t>雨漏り前に劣化を確認</t>
        </is>
      </c>
      <c r="F43" s="3" t="inlineStr">
        <is>
          <t>屋根点検・修理方法を解説</t>
        </is>
      </c>
      <c r="G43" s="3" t="inlineStr">
        <is>
          <t>屋根材・瓦・板金・雨空</t>
        </is>
      </c>
      <c r="H43" s="3" t="inlineStr">
        <is>
          <t>屋根を点検する職人</t>
        </is>
      </c>
      <c r="I43" s="3" t="inlineStr">
        <is>
          <t>松山市版</t>
        </is>
      </c>
      <c r="J43" s="3" t="inlineStr">
        <is>
          <t>屋根修理訴求</t>
        </is>
      </c>
      <c r="K43" s="3" t="n"/>
    </row>
    <row r="44">
      <c r="A44" s="3" t="n">
        <v>43</v>
      </c>
      <c r="B44" s="3" t="inlineStr">
        <is>
          <t>ヴェルウッド デメリット</t>
        </is>
      </c>
      <c r="C44" s="3" t="inlineStr">
        <is>
          <t>043.webp</t>
        </is>
      </c>
      <c r="D44" s="3" t="inlineStr">
        <is>
          <t>ヴェルウッド デメリット</t>
        </is>
      </c>
      <c r="E44" s="3" t="inlineStr">
        <is>
          <t>雨漏り前に劣化を確認</t>
        </is>
      </c>
      <c r="F44" s="3" t="inlineStr">
        <is>
          <t>屋根点検・修理方法を解説</t>
        </is>
      </c>
      <c r="G44" s="3" t="inlineStr">
        <is>
          <t>屋根材・瓦・板金・雨空</t>
        </is>
      </c>
      <c r="H44" s="3" t="inlineStr">
        <is>
          <t>屋根を点検する職人</t>
        </is>
      </c>
      <c r="I44" s="3" t="inlineStr">
        <is>
          <t>松山市版</t>
        </is>
      </c>
      <c r="J44" s="3" t="inlineStr">
        <is>
          <t>屋根修理訴求</t>
        </is>
      </c>
      <c r="K44" s="3" t="n"/>
    </row>
    <row r="45">
      <c r="A45" s="3" t="n">
        <v>44</v>
      </c>
      <c r="B45" s="3" t="inlineStr">
        <is>
          <t>パミール 屋根 対策</t>
        </is>
      </c>
      <c r="C45" s="3" t="inlineStr">
        <is>
          <t>044.webp</t>
        </is>
      </c>
      <c r="D45" s="3" t="inlineStr">
        <is>
          <t>パミール 屋根 対策</t>
        </is>
      </c>
      <c r="E45" s="3" t="inlineStr">
        <is>
          <t>雨漏り前に劣化を確認</t>
        </is>
      </c>
      <c r="F45" s="3" t="inlineStr">
        <is>
          <t>屋根点検・修理方法を解説</t>
        </is>
      </c>
      <c r="G45" s="3" t="inlineStr">
        <is>
          <t>屋根材・瓦・板金・雨空</t>
        </is>
      </c>
      <c r="H45" s="3" t="inlineStr">
        <is>
          <t>屋根を点検する職人</t>
        </is>
      </c>
      <c r="I45" s="3" t="inlineStr">
        <is>
          <t>松山市版</t>
        </is>
      </c>
      <c r="J45" s="3" t="inlineStr">
        <is>
          <t>屋根修理訴求</t>
        </is>
      </c>
      <c r="K45" s="3" t="n"/>
    </row>
    <row r="46">
      <c r="A46" s="3" t="n">
        <v>45</v>
      </c>
      <c r="B46" s="3" t="inlineStr">
        <is>
          <t>コロニアルNEO 雨漏り</t>
        </is>
      </c>
      <c r="C46" s="3" t="inlineStr">
        <is>
          <t>045.webp</t>
        </is>
      </c>
      <c r="D46" s="3" t="inlineStr">
        <is>
          <t>コロニアルNEO 雨漏り</t>
        </is>
      </c>
      <c r="E46" s="3" t="inlineStr">
        <is>
          <t>雨漏り前に劣化を確認</t>
        </is>
      </c>
      <c r="F46" s="3" t="inlineStr">
        <is>
          <t>屋根点検・修理方法を解説</t>
        </is>
      </c>
      <c r="G46" s="3" t="inlineStr">
        <is>
          <t>屋根材・瓦・板金・雨空</t>
        </is>
      </c>
      <c r="H46" s="3" t="inlineStr">
        <is>
          <t>屋根を点検する職人</t>
        </is>
      </c>
      <c r="I46" s="3" t="inlineStr">
        <is>
          <t>松山市版</t>
        </is>
      </c>
      <c r="J46" s="3" t="inlineStr">
        <is>
          <t>屋根修理訴求</t>
        </is>
      </c>
      <c r="K46" s="3" t="n"/>
    </row>
    <row r="47">
      <c r="A47" s="3" t="n">
        <v>46</v>
      </c>
      <c r="B47" s="3" t="inlineStr">
        <is>
          <t>アーバニー 屋根 修理</t>
        </is>
      </c>
      <c r="C47" s="3" t="inlineStr">
        <is>
          <t>046.webp</t>
        </is>
      </c>
      <c r="D47" s="3" t="inlineStr">
        <is>
          <t>アーバニー 屋根 修理</t>
        </is>
      </c>
      <c r="E47" s="3" t="inlineStr">
        <is>
          <t>雨漏り前に劣化を確認</t>
        </is>
      </c>
      <c r="F47" s="3" t="inlineStr">
        <is>
          <t>屋根点検・修理方法を解説</t>
        </is>
      </c>
      <c r="G47" s="3" t="inlineStr">
        <is>
          <t>屋根材・瓦・板金・雨空</t>
        </is>
      </c>
      <c r="H47" s="3" t="inlineStr">
        <is>
          <t>屋根を点検する職人</t>
        </is>
      </c>
      <c r="I47" s="3" t="inlineStr">
        <is>
          <t>松山市版</t>
        </is>
      </c>
      <c r="J47" s="3" t="inlineStr">
        <is>
          <t>屋根修理訴求</t>
        </is>
      </c>
      <c r="K47" s="3" t="n"/>
    </row>
    <row r="48">
      <c r="A48" s="3" t="n">
        <v>47</v>
      </c>
      <c r="B48" s="3" t="inlineStr">
        <is>
          <t>セキスイかわらU 修理</t>
        </is>
      </c>
      <c r="C48" s="3" t="inlineStr">
        <is>
          <t>047.webp</t>
        </is>
      </c>
      <c r="D48" s="3" t="inlineStr">
        <is>
          <t>セキスイかわらU 修理</t>
        </is>
      </c>
      <c r="E48" s="3" t="inlineStr">
        <is>
          <t>雨漏り前に劣化を確認</t>
        </is>
      </c>
      <c r="F48" s="3" t="inlineStr">
        <is>
          <t>屋根点検・修理方法を解説</t>
        </is>
      </c>
      <c r="G48" s="3" t="inlineStr">
        <is>
          <t>屋根材・瓦・板金・雨空</t>
        </is>
      </c>
      <c r="H48" s="3" t="inlineStr">
        <is>
          <t>屋根を点検する職人</t>
        </is>
      </c>
      <c r="I48" s="3" t="inlineStr">
        <is>
          <t>松山市版</t>
        </is>
      </c>
      <c r="J48" s="3" t="inlineStr">
        <is>
          <t>屋根修理訴求</t>
        </is>
      </c>
      <c r="K48" s="3" t="n"/>
    </row>
    <row r="49">
      <c r="A49" s="3" t="n">
        <v>48</v>
      </c>
      <c r="B49" s="3" t="inlineStr">
        <is>
          <t>モニエル瓦 塗装</t>
        </is>
      </c>
      <c r="C49" s="3" t="inlineStr">
        <is>
          <t>048.webp</t>
        </is>
      </c>
      <c r="D49" s="3" t="inlineStr">
        <is>
          <t>モニエル瓦 塗装</t>
        </is>
      </c>
      <c r="E49" s="3" t="inlineStr">
        <is>
          <t>雨漏り前に劣化を確認</t>
        </is>
      </c>
      <c r="F49" s="3" t="inlineStr">
        <is>
          <t>屋根点検・修理方法を解説</t>
        </is>
      </c>
      <c r="G49" s="3" t="inlineStr">
        <is>
          <t>屋根材・瓦・板金・雨空</t>
        </is>
      </c>
      <c r="H49" s="3" t="inlineStr">
        <is>
          <t>屋根を点検する職人</t>
        </is>
      </c>
      <c r="I49" s="3" t="inlineStr">
        <is>
          <t>松山市版</t>
        </is>
      </c>
      <c r="J49" s="3" t="inlineStr">
        <is>
          <t>屋根修理訴求</t>
        </is>
      </c>
      <c r="K49" s="3" t="n"/>
    </row>
    <row r="50" ht="28.5" customHeight="1" s="24">
      <c r="A50" s="3" t="n">
        <v>49</v>
      </c>
      <c r="B50" s="3" t="inlineStr">
        <is>
          <t>屋根塗装しない方がいい屋根</t>
        </is>
      </c>
      <c r="C50" s="3" t="inlineStr">
        <is>
          <t>049.webp</t>
        </is>
      </c>
      <c r="D50" s="3" t="inlineStr">
        <is>
          <t>屋根塗装しない方がいい屋根</t>
        </is>
      </c>
      <c r="E50" s="3" t="inlineStr">
        <is>
          <t>雨漏り前に劣化を確認</t>
        </is>
      </c>
      <c r="F50" s="3" t="inlineStr">
        <is>
          <t>屋根点検・修理方法を解説</t>
        </is>
      </c>
      <c r="G50" s="3" t="inlineStr">
        <is>
          <t>屋根材・瓦・板金・雨空</t>
        </is>
      </c>
      <c r="H50" s="3" t="inlineStr">
        <is>
          <t>屋根を点検する職人</t>
        </is>
      </c>
      <c r="I50" s="3" t="inlineStr">
        <is>
          <t>松山市版</t>
        </is>
      </c>
      <c r="J50" s="3" t="inlineStr">
        <is>
          <t>屋根修理訴求</t>
        </is>
      </c>
      <c r="K50" s="3" t="n"/>
    </row>
    <row r="51">
      <c r="A51" s="3" t="n">
        <v>50</v>
      </c>
      <c r="B51" s="3" t="inlineStr">
        <is>
          <t>外壁塗装と防水工事</t>
        </is>
      </c>
      <c r="C51" s="3" t="inlineStr">
        <is>
          <t>050.webp</t>
        </is>
      </c>
      <c r="D51" s="3" t="inlineStr">
        <is>
          <t>外壁塗装と防水工事</t>
        </is>
      </c>
      <c r="E51" s="3" t="inlineStr">
        <is>
          <t>雨漏り前に防水状態をチェック</t>
        </is>
      </c>
      <c r="F51" s="3" t="inlineStr">
        <is>
          <t>費用・耐用年数を解説</t>
        </is>
      </c>
      <c r="G51" s="3" t="inlineStr">
        <is>
          <t>ベランダ床・防水層・排水口</t>
        </is>
      </c>
      <c r="H51" s="3" t="inlineStr">
        <is>
          <t>点検する職人</t>
        </is>
      </c>
      <c r="I51" s="3" t="inlineStr">
        <is>
          <t>松山市版</t>
        </is>
      </c>
      <c r="J51" s="3" t="inlineStr">
        <is>
          <t>防水訴求</t>
        </is>
      </c>
      <c r="K51" s="3" t="n"/>
    </row>
    <row r="52">
      <c r="A52" s="3" t="n">
        <v>51</v>
      </c>
      <c r="B52" s="3" t="inlineStr">
        <is>
          <t>外壁塗装と屋根カバー</t>
        </is>
      </c>
      <c r="C52" s="3" t="inlineStr">
        <is>
          <t>051.webp</t>
        </is>
      </c>
      <c r="D52" s="3" t="inlineStr">
        <is>
          <t>外壁塗装と屋根カバー</t>
        </is>
      </c>
      <c r="E52" s="3" t="inlineStr">
        <is>
          <t>雨漏り前に劣化を確認</t>
        </is>
      </c>
      <c r="F52" s="3" t="inlineStr">
        <is>
          <t>屋根点検・修理方法を解説</t>
        </is>
      </c>
      <c r="G52" s="3" t="inlineStr">
        <is>
          <t>屋根材・瓦・板金・雨空</t>
        </is>
      </c>
      <c r="H52" s="3" t="inlineStr">
        <is>
          <t>屋根を点検する職人</t>
        </is>
      </c>
      <c r="I52" s="3" t="inlineStr">
        <is>
          <t>松山市版</t>
        </is>
      </c>
      <c r="J52" s="3" t="inlineStr">
        <is>
          <t>屋根修理訴求</t>
        </is>
      </c>
      <c r="K52" s="3" t="n"/>
    </row>
    <row r="53">
      <c r="A53" s="3" t="n">
        <v>52</v>
      </c>
      <c r="B53" s="3" t="inlineStr">
        <is>
          <t>外壁塗装 雨の日</t>
        </is>
      </c>
      <c r="C53" s="3" t="inlineStr">
        <is>
          <t>052.webp</t>
        </is>
      </c>
      <c r="D53" s="3" t="inlineStr">
        <is>
          <t>外壁塗装 雨の日</t>
        </is>
      </c>
      <c r="E53" s="3" t="inlineStr">
        <is>
          <t>放置リスクと判断基準を解説</t>
        </is>
      </c>
      <c r="F53" s="3" t="inlineStr">
        <is>
          <t>無料診断で状態確認</t>
        </is>
      </c>
      <c r="G53" s="3" t="inlineStr">
        <is>
          <t>外壁ひび割れ・チョーキング・住宅外観</t>
        </is>
      </c>
      <c r="H53" s="3" t="inlineStr">
        <is>
          <t>職人＋困った住人</t>
        </is>
      </c>
      <c r="I53" s="3" t="inlineStr">
        <is>
          <t>松山市版</t>
        </is>
      </c>
      <c r="J53" s="3" t="inlineStr">
        <is>
          <t>外壁塗装訴求</t>
        </is>
      </c>
      <c r="K53" s="3" t="n"/>
    </row>
    <row r="54">
      <c r="A54" s="3" t="n">
        <v>53</v>
      </c>
      <c r="B54" s="3" t="inlineStr">
        <is>
          <t>外壁塗装 梅雨</t>
        </is>
      </c>
      <c r="C54" s="3" t="inlineStr">
        <is>
          <t>053.webp</t>
        </is>
      </c>
      <c r="D54" s="3" t="inlineStr">
        <is>
          <t>外壁塗装 梅雨</t>
        </is>
      </c>
      <c r="E54" s="3" t="inlineStr">
        <is>
          <t>放置リスクと判断基準を解説</t>
        </is>
      </c>
      <c r="F54" s="3" t="inlineStr">
        <is>
          <t>無料診断で状態確認</t>
        </is>
      </c>
      <c r="G54" s="3" t="inlineStr">
        <is>
          <t>外壁ひび割れ・チョーキング・住宅外観</t>
        </is>
      </c>
      <c r="H54" s="3" t="inlineStr">
        <is>
          <t>職人＋困った住人</t>
        </is>
      </c>
      <c r="I54" s="3" t="inlineStr">
        <is>
          <t>松山市版</t>
        </is>
      </c>
      <c r="J54" s="3" t="inlineStr">
        <is>
          <t>外壁塗装訴求</t>
        </is>
      </c>
      <c r="K54" s="3" t="n"/>
    </row>
    <row r="55">
      <c r="A55" s="3" t="n">
        <v>54</v>
      </c>
      <c r="B55" s="3" t="inlineStr">
        <is>
          <t>外壁塗装 台風前</t>
        </is>
      </c>
      <c r="C55" s="3" t="inlineStr">
        <is>
          <t>054.webp</t>
        </is>
      </c>
      <c r="D55" s="3" t="inlineStr">
        <is>
          <t>外壁塗装 台風前</t>
        </is>
      </c>
      <c r="E55" s="3" t="inlineStr">
        <is>
          <t>放置リスクと判断基準を解説</t>
        </is>
      </c>
      <c r="F55" s="3" t="inlineStr">
        <is>
          <t>無料診断で状態確認</t>
        </is>
      </c>
      <c r="G55" s="3" t="inlineStr">
        <is>
          <t>外壁ひび割れ・チョーキング・住宅外観</t>
        </is>
      </c>
      <c r="H55" s="3" t="inlineStr">
        <is>
          <t>職人＋困った住人</t>
        </is>
      </c>
      <c r="I55" s="3" t="inlineStr">
        <is>
          <t>松山市版</t>
        </is>
      </c>
      <c r="J55" s="3" t="inlineStr">
        <is>
          <t>外壁塗装訴求</t>
        </is>
      </c>
      <c r="K55" s="3" t="n"/>
    </row>
    <row r="56">
      <c r="A56" s="3" t="n">
        <v>55</v>
      </c>
      <c r="B56" s="3" t="inlineStr">
        <is>
          <t>外壁塗装 冬</t>
        </is>
      </c>
      <c r="C56" s="3" t="inlineStr">
        <is>
          <t>055.webp</t>
        </is>
      </c>
      <c r="D56" s="3" t="inlineStr">
        <is>
          <t>外壁塗装 冬</t>
        </is>
      </c>
      <c r="E56" s="3" t="inlineStr">
        <is>
          <t>放置リスクと判断基準を解説</t>
        </is>
      </c>
      <c r="F56" s="3" t="inlineStr">
        <is>
          <t>無料診断で状態確認</t>
        </is>
      </c>
      <c r="G56" s="3" t="inlineStr">
        <is>
          <t>外壁ひび割れ・チョーキング・住宅外観</t>
        </is>
      </c>
      <c r="H56" s="3" t="inlineStr">
        <is>
          <t>職人＋困った住人</t>
        </is>
      </c>
      <c r="I56" s="3" t="inlineStr">
        <is>
          <t>松山市版</t>
        </is>
      </c>
      <c r="J56" s="3" t="inlineStr">
        <is>
          <t>外壁塗装訴求</t>
        </is>
      </c>
      <c r="K56" s="3" t="n"/>
    </row>
    <row r="57">
      <c r="A57" s="3" t="n">
        <v>56</v>
      </c>
      <c r="B57" s="3" t="inlineStr">
        <is>
          <t>外壁塗装 夏</t>
        </is>
      </c>
      <c r="C57" s="3" t="inlineStr">
        <is>
          <t>056.webp</t>
        </is>
      </c>
      <c r="D57" s="3" t="inlineStr">
        <is>
          <t>外壁塗装 夏</t>
        </is>
      </c>
      <c r="E57" s="3" t="inlineStr">
        <is>
          <t>放置リスクと判断基準を解説</t>
        </is>
      </c>
      <c r="F57" s="3" t="inlineStr">
        <is>
          <t>無料診断で状態確認</t>
        </is>
      </c>
      <c r="G57" s="3" t="inlineStr">
        <is>
          <t>外壁ひび割れ・チョーキング・住宅外観</t>
        </is>
      </c>
      <c r="H57" s="3" t="inlineStr">
        <is>
          <t>職人＋困った住人</t>
        </is>
      </c>
      <c r="I57" s="3" t="inlineStr">
        <is>
          <t>松山市版</t>
        </is>
      </c>
      <c r="J57" s="3" t="inlineStr">
        <is>
          <t>外壁塗装訴求</t>
        </is>
      </c>
      <c r="K57" s="3" t="n"/>
    </row>
    <row r="58">
      <c r="A58" s="3" t="n">
        <v>57</v>
      </c>
      <c r="B58" s="3" t="inlineStr">
        <is>
          <t>外壁塗装 春</t>
        </is>
      </c>
      <c r="C58" s="3" t="inlineStr">
        <is>
          <t>057.webp</t>
        </is>
      </c>
      <c r="D58" s="3" t="inlineStr">
        <is>
          <t>外壁塗装 春</t>
        </is>
      </c>
      <c r="E58" s="3" t="inlineStr">
        <is>
          <t>放置リスクと判断基準を解説</t>
        </is>
      </c>
      <c r="F58" s="3" t="inlineStr">
        <is>
          <t>無料診断で状態確認</t>
        </is>
      </c>
      <c r="G58" s="3" t="inlineStr">
        <is>
          <t>外壁ひび割れ・チョーキング・住宅外観</t>
        </is>
      </c>
      <c r="H58" s="3" t="inlineStr">
        <is>
          <t>職人＋困った住人</t>
        </is>
      </c>
      <c r="I58" s="3" t="inlineStr">
        <is>
          <t>松山市版</t>
        </is>
      </c>
      <c r="J58" s="3" t="inlineStr">
        <is>
          <t>外壁塗装訴求</t>
        </is>
      </c>
      <c r="K58" s="3" t="n"/>
    </row>
    <row r="59">
      <c r="A59" s="3" t="n">
        <v>58</v>
      </c>
      <c r="B59" s="3" t="inlineStr">
        <is>
          <t>外壁塗装 秋</t>
        </is>
      </c>
      <c r="C59" s="3" t="inlineStr">
        <is>
          <t>058.webp</t>
        </is>
      </c>
      <c r="D59" s="3" t="inlineStr">
        <is>
          <t>外壁塗装 秋</t>
        </is>
      </c>
      <c r="E59" s="3" t="inlineStr">
        <is>
          <t>放置リスクと判断基準を解説</t>
        </is>
      </c>
      <c r="F59" s="3" t="inlineStr">
        <is>
          <t>無料診断で状態確認</t>
        </is>
      </c>
      <c r="G59" s="3" t="inlineStr">
        <is>
          <t>外壁ひび割れ・チョーキング・住宅外観</t>
        </is>
      </c>
      <c r="H59" s="3" t="inlineStr">
        <is>
          <t>職人＋困った住人</t>
        </is>
      </c>
      <c r="I59" s="3" t="inlineStr">
        <is>
          <t>松山市版</t>
        </is>
      </c>
      <c r="J59" s="3" t="inlineStr">
        <is>
          <t>外壁塗装訴求</t>
        </is>
      </c>
      <c r="K59" s="3" t="n"/>
    </row>
    <row r="60">
      <c r="A60" s="3" t="n">
        <v>59</v>
      </c>
      <c r="B60" s="3" t="inlineStr">
        <is>
          <t>外壁塗装 工期</t>
        </is>
      </c>
      <c r="C60" s="3" t="inlineStr">
        <is>
          <t>059.webp</t>
        </is>
      </c>
      <c r="D60" s="3" t="inlineStr">
        <is>
          <t>外壁塗装 工期</t>
        </is>
      </c>
      <c r="E60" s="3" t="inlineStr">
        <is>
          <t>放置リスクと判断基準を解説</t>
        </is>
      </c>
      <c r="F60" s="3" t="inlineStr">
        <is>
          <t>無料診断で状態確認</t>
        </is>
      </c>
      <c r="G60" s="3" t="inlineStr">
        <is>
          <t>外壁ひび割れ・チョーキング・住宅外観</t>
        </is>
      </c>
      <c r="H60" s="3" t="inlineStr">
        <is>
          <t>職人＋困った住人</t>
        </is>
      </c>
      <c r="I60" s="3" t="inlineStr">
        <is>
          <t>松山市版</t>
        </is>
      </c>
      <c r="J60" s="3" t="inlineStr">
        <is>
          <t>外壁塗装訴求</t>
        </is>
      </c>
      <c r="K60" s="3" t="n"/>
    </row>
    <row r="61">
      <c r="A61" s="3" t="n">
        <v>60</v>
      </c>
      <c r="B61" s="3" t="inlineStr">
        <is>
          <t>外壁塗装 足場代</t>
        </is>
      </c>
      <c r="C61" s="3" t="inlineStr">
        <is>
          <t>060.webp</t>
        </is>
      </c>
      <c r="D61" s="3" t="inlineStr">
        <is>
          <t>外壁塗装 足場代</t>
        </is>
      </c>
      <c r="E61" s="3" t="inlineStr">
        <is>
          <t>放置リスクと判断基準を解説</t>
        </is>
      </c>
      <c r="F61" s="3" t="inlineStr">
        <is>
          <t>無料診断で状態確認</t>
        </is>
      </c>
      <c r="G61" s="3" t="inlineStr">
        <is>
          <t>外壁ひび割れ・チョーキング・住宅外観</t>
        </is>
      </c>
      <c r="H61" s="3" t="inlineStr">
        <is>
          <t>職人＋困った住人</t>
        </is>
      </c>
      <c r="I61" s="3" t="inlineStr">
        <is>
          <t>松山市版</t>
        </is>
      </c>
      <c r="J61" s="3" t="inlineStr">
        <is>
          <t>外壁塗装訴求</t>
        </is>
      </c>
      <c r="K61" s="3" t="n"/>
    </row>
    <row r="62">
      <c r="A62" s="3" t="n">
        <v>61</v>
      </c>
      <c r="B62" s="3" t="inlineStr">
        <is>
          <t>樋 塗装 松山市</t>
        </is>
      </c>
      <c r="C62" s="3" t="inlineStr">
        <is>
          <t>061.webp</t>
        </is>
      </c>
      <c r="D62" s="3" t="inlineStr">
        <is>
          <t>樋 塗装 松山市</t>
        </is>
      </c>
      <c r="E62" s="3" t="inlineStr">
        <is>
          <t>割れ・外れ・劣化を放置NG</t>
        </is>
      </c>
      <c r="F62" s="3" t="inlineStr">
        <is>
          <t>交換と塗装の判断ポイント</t>
        </is>
      </c>
      <c r="G62" s="3" t="inlineStr">
        <is>
          <t>雨樋の割れ・外れ・雨水</t>
        </is>
      </c>
      <c r="H62" s="3" t="inlineStr">
        <is>
          <t>点検する職人</t>
        </is>
      </c>
      <c r="I62" s="3" t="inlineStr">
        <is>
          <t>松山市版</t>
        </is>
      </c>
      <c r="J62" s="3" t="inlineStr">
        <is>
          <t>付帯部訴求</t>
        </is>
      </c>
      <c r="K62" s="3" t="n"/>
    </row>
    <row r="63">
      <c r="A63" s="3" t="n">
        <v>62</v>
      </c>
      <c r="B63" s="3" t="inlineStr">
        <is>
          <t>雨樋 交換 松山市</t>
        </is>
      </c>
      <c r="C63" s="3" t="inlineStr">
        <is>
          <t>062.webp</t>
        </is>
      </c>
      <c r="D63" s="3" t="inlineStr">
        <is>
          <t>雨樋 交換 松山市</t>
        </is>
      </c>
      <c r="E63" s="3" t="inlineStr">
        <is>
          <t>割れ・外れ・劣化を放置NG</t>
        </is>
      </c>
      <c r="F63" s="3" t="inlineStr">
        <is>
          <t>交換と塗装の判断ポイント</t>
        </is>
      </c>
      <c r="G63" s="3" t="inlineStr">
        <is>
          <t>雨樋の割れ・外れ・雨水</t>
        </is>
      </c>
      <c r="H63" s="3" t="inlineStr">
        <is>
          <t>点検する職人</t>
        </is>
      </c>
      <c r="I63" s="3" t="inlineStr">
        <is>
          <t>松山市版</t>
        </is>
      </c>
      <c r="J63" s="3" t="inlineStr">
        <is>
          <t>付帯部訴求</t>
        </is>
      </c>
      <c r="K63" s="3" t="n"/>
    </row>
    <row r="64">
      <c r="A64" s="3" t="n">
        <v>63</v>
      </c>
      <c r="B64" s="3" t="inlineStr">
        <is>
          <t>雨樋 色あせ</t>
        </is>
      </c>
      <c r="C64" s="3" t="inlineStr">
        <is>
          <t>063.webp</t>
        </is>
      </c>
      <c r="D64" s="3" t="inlineStr">
        <is>
          <t>雨樋 色あせ</t>
        </is>
      </c>
      <c r="E64" s="3" t="inlineStr">
        <is>
          <t>割れ・外れ・劣化を放置NG</t>
        </is>
      </c>
      <c r="F64" s="3" t="inlineStr">
        <is>
          <t>交換と塗装の判断ポイント</t>
        </is>
      </c>
      <c r="G64" s="3" t="inlineStr">
        <is>
          <t>雨樋の割れ・外れ・雨水</t>
        </is>
      </c>
      <c r="H64" s="3" t="inlineStr">
        <is>
          <t>点検する職人</t>
        </is>
      </c>
      <c r="I64" s="3" t="inlineStr">
        <is>
          <t>松山市版</t>
        </is>
      </c>
      <c r="J64" s="3" t="inlineStr">
        <is>
          <t>付帯部訴求</t>
        </is>
      </c>
      <c r="K64" s="3" t="n"/>
    </row>
    <row r="65">
      <c r="A65" s="3" t="n">
        <v>64</v>
      </c>
      <c r="B65" s="3" t="inlineStr">
        <is>
          <t>雨樋 塗装 必要</t>
        </is>
      </c>
      <c r="C65" s="3" t="inlineStr">
        <is>
          <t>064.webp</t>
        </is>
      </c>
      <c r="D65" s="3" t="inlineStr">
        <is>
          <t>雨樋 塗装 必要</t>
        </is>
      </c>
      <c r="E65" s="3" t="inlineStr">
        <is>
          <t>割れ・外れ・劣化を放置NG</t>
        </is>
      </c>
      <c r="F65" s="3" t="inlineStr">
        <is>
          <t>交換と塗装の判断ポイント</t>
        </is>
      </c>
      <c r="G65" s="3" t="inlineStr">
        <is>
          <t>雨樋の割れ・外れ・雨水</t>
        </is>
      </c>
      <c r="H65" s="3" t="inlineStr">
        <is>
          <t>点検する職人</t>
        </is>
      </c>
      <c r="I65" s="3" t="inlineStr">
        <is>
          <t>松山市版</t>
        </is>
      </c>
      <c r="J65" s="3" t="inlineStr">
        <is>
          <t>付帯部訴求</t>
        </is>
      </c>
      <c r="K65" s="3" t="n"/>
    </row>
    <row r="66">
      <c r="A66" s="3" t="n">
        <v>65</v>
      </c>
      <c r="B66" s="3" t="inlineStr">
        <is>
          <t>雨樋 塗装 費用</t>
        </is>
      </c>
      <c r="C66" s="3" t="inlineStr">
        <is>
          <t>065.webp</t>
        </is>
      </c>
      <c r="D66" s="3" t="inlineStr">
        <is>
          <t>雨樋 塗装 費用</t>
        </is>
      </c>
      <c r="E66" s="3" t="inlineStr">
        <is>
          <t>割れ・外れ・劣化を放置NG</t>
        </is>
      </c>
      <c r="F66" s="3" t="inlineStr">
        <is>
          <t>交換と塗装の判断ポイント</t>
        </is>
      </c>
      <c r="G66" s="3" t="inlineStr">
        <is>
          <t>雨樋の割れ・外れ・雨水</t>
        </is>
      </c>
      <c r="H66" s="3" t="inlineStr">
        <is>
          <t>点検する職人</t>
        </is>
      </c>
      <c r="I66" s="3" t="inlineStr">
        <is>
          <t>松山市版</t>
        </is>
      </c>
      <c r="J66" s="3" t="inlineStr">
        <is>
          <t>付帯部訴求</t>
        </is>
      </c>
      <c r="K66" s="3" t="n"/>
    </row>
    <row r="67">
      <c r="A67" s="3" t="n">
        <v>66</v>
      </c>
      <c r="B67" s="3" t="inlineStr">
        <is>
          <t>雨樋 割れ 補修</t>
        </is>
      </c>
      <c r="C67" s="3" t="inlineStr">
        <is>
          <t>066.webp</t>
        </is>
      </c>
      <c r="D67" s="3" t="inlineStr">
        <is>
          <t>雨樋 割れ 補修</t>
        </is>
      </c>
      <c r="E67" s="3" t="inlineStr">
        <is>
          <t>割れ・外れ・劣化を放置NG</t>
        </is>
      </c>
      <c r="F67" s="3" t="inlineStr">
        <is>
          <t>交換と塗装の判断ポイント</t>
        </is>
      </c>
      <c r="G67" s="3" t="inlineStr">
        <is>
          <t>雨樋の割れ・外れ・雨水</t>
        </is>
      </c>
      <c r="H67" s="3" t="inlineStr">
        <is>
          <t>点検する職人</t>
        </is>
      </c>
      <c r="I67" s="3" t="inlineStr">
        <is>
          <t>松山市版</t>
        </is>
      </c>
      <c r="J67" s="3" t="inlineStr">
        <is>
          <t>付帯部訴求</t>
        </is>
      </c>
      <c r="K67" s="3" t="n"/>
    </row>
    <row r="68">
      <c r="A68" s="3" t="n">
        <v>67</v>
      </c>
      <c r="B68" s="3" t="inlineStr">
        <is>
          <t>雨樋 外れ 修理</t>
        </is>
      </c>
      <c r="C68" s="3" t="inlineStr">
        <is>
          <t>067.webp</t>
        </is>
      </c>
      <c r="D68" s="3" t="inlineStr">
        <is>
          <t>雨樋 外れ 修理</t>
        </is>
      </c>
      <c r="E68" s="3" t="inlineStr">
        <is>
          <t>割れ・外れ・劣化を放置NG</t>
        </is>
      </c>
      <c r="F68" s="3" t="inlineStr">
        <is>
          <t>交換と塗装の判断ポイント</t>
        </is>
      </c>
      <c r="G68" s="3" t="inlineStr">
        <is>
          <t>雨樋の割れ・外れ・雨水</t>
        </is>
      </c>
      <c r="H68" s="3" t="inlineStr">
        <is>
          <t>点検する職人</t>
        </is>
      </c>
      <c r="I68" s="3" t="inlineStr">
        <is>
          <t>松山市版</t>
        </is>
      </c>
      <c r="J68" s="3" t="inlineStr">
        <is>
          <t>付帯部訴求</t>
        </is>
      </c>
      <c r="K68" s="3" t="n"/>
    </row>
    <row r="69">
      <c r="A69" s="3" t="n">
        <v>68</v>
      </c>
      <c r="B69" s="3" t="inlineStr">
        <is>
          <t>雨樋 劣化 症状</t>
        </is>
      </c>
      <c r="C69" s="3" t="inlineStr">
        <is>
          <t>068.webp</t>
        </is>
      </c>
      <c r="D69" s="3" t="inlineStr">
        <is>
          <t>雨樋 劣化 症状</t>
        </is>
      </c>
      <c r="E69" s="3" t="inlineStr">
        <is>
          <t>割れ・外れ・劣化を放置NG</t>
        </is>
      </c>
      <c r="F69" s="3" t="inlineStr">
        <is>
          <t>交換と塗装の判断ポイント</t>
        </is>
      </c>
      <c r="G69" s="3" t="inlineStr">
        <is>
          <t>雨樋の割れ・外れ・雨水</t>
        </is>
      </c>
      <c r="H69" s="3" t="inlineStr">
        <is>
          <t>点検する職人</t>
        </is>
      </c>
      <c r="I69" s="3" t="inlineStr">
        <is>
          <t>松山市版</t>
        </is>
      </c>
      <c r="J69" s="3" t="inlineStr">
        <is>
          <t>付帯部訴求</t>
        </is>
      </c>
      <c r="K69" s="3" t="n"/>
    </row>
    <row r="70">
      <c r="A70" s="3" t="n">
        <v>69</v>
      </c>
      <c r="B70" s="3" t="inlineStr">
        <is>
          <t>雨樋 チョーキング</t>
        </is>
      </c>
      <c r="C70" s="3" t="inlineStr">
        <is>
          <t>069.webp</t>
        </is>
      </c>
      <c r="D70" s="3" t="inlineStr">
        <is>
          <t>雨樋 チョーキング</t>
        </is>
      </c>
      <c r="E70" s="3" t="inlineStr">
        <is>
          <t>割れ・外れ・劣化を放置NG</t>
        </is>
      </c>
      <c r="F70" s="3" t="inlineStr">
        <is>
          <t>交換と塗装の判断ポイント</t>
        </is>
      </c>
      <c r="G70" s="3" t="inlineStr">
        <is>
          <t>雨樋の割れ・外れ・雨水</t>
        </is>
      </c>
      <c r="H70" s="3" t="inlineStr">
        <is>
          <t>点検する職人</t>
        </is>
      </c>
      <c r="I70" s="3" t="inlineStr">
        <is>
          <t>松山市版</t>
        </is>
      </c>
      <c r="J70" s="3" t="inlineStr">
        <is>
          <t>付帯部訴求</t>
        </is>
      </c>
      <c r="K70" s="3" t="n"/>
    </row>
    <row r="71">
      <c r="A71" s="3" t="n">
        <v>70</v>
      </c>
      <c r="B71" s="3" t="inlineStr">
        <is>
          <t>雨樋 塗り替え時期</t>
        </is>
      </c>
      <c r="C71" s="3" t="inlineStr">
        <is>
          <t>070.webp</t>
        </is>
      </c>
      <c r="D71" s="3" t="inlineStr">
        <is>
          <t>雨樋 塗り替え時期</t>
        </is>
      </c>
      <c r="E71" s="3" t="inlineStr">
        <is>
          <t>割れ・外れ・劣化を放置NG</t>
        </is>
      </c>
      <c r="F71" s="3" t="inlineStr">
        <is>
          <t>交換と塗装の判断ポイント</t>
        </is>
      </c>
      <c r="G71" s="3" t="inlineStr">
        <is>
          <t>雨樋の割れ・外れ・雨水</t>
        </is>
      </c>
      <c r="H71" s="3" t="inlineStr">
        <is>
          <t>点検する職人</t>
        </is>
      </c>
      <c r="I71" s="3" t="inlineStr">
        <is>
          <t>松山市版</t>
        </is>
      </c>
      <c r="J71" s="3" t="inlineStr">
        <is>
          <t>付帯部訴求</t>
        </is>
      </c>
      <c r="K71" s="3" t="n"/>
    </row>
    <row r="72">
      <c r="A72" s="3" t="n">
        <v>71</v>
      </c>
      <c r="B72" s="3" t="inlineStr">
        <is>
          <t>軒天 塗装 松山市</t>
        </is>
      </c>
      <c r="C72" s="3" t="inlineStr">
        <is>
          <t>071.webp</t>
        </is>
      </c>
      <c r="D72" s="3" t="inlineStr">
        <is>
          <t>軒天 塗装 松山市</t>
        </is>
      </c>
      <c r="E72" s="3" t="inlineStr">
        <is>
          <t>シミ・黒ずみ・剥がれは要注意</t>
        </is>
      </c>
      <c r="F72" s="3" t="inlineStr">
        <is>
          <t>補修と塗装の判断ポイント</t>
        </is>
      </c>
      <c r="G72" s="3" t="inlineStr">
        <is>
          <t>軒天シミ・黒ずみ・住宅軒下</t>
        </is>
      </c>
      <c r="H72" s="3" t="inlineStr">
        <is>
          <t>見上げる住人＋職人</t>
        </is>
      </c>
      <c r="I72" s="3" t="inlineStr">
        <is>
          <t>松山市版</t>
        </is>
      </c>
      <c r="J72" s="3" t="inlineStr">
        <is>
          <t>軒天訴求</t>
        </is>
      </c>
      <c r="K72" s="3" t="n"/>
    </row>
    <row r="73">
      <c r="A73" s="3" t="n">
        <v>72</v>
      </c>
      <c r="B73" s="3" t="inlineStr">
        <is>
          <t>軒天 シミ 原因</t>
        </is>
      </c>
      <c r="C73" s="3" t="inlineStr">
        <is>
          <t>072.webp</t>
        </is>
      </c>
      <c r="D73" s="3" t="inlineStr">
        <is>
          <t>軒天 シミ 原因の原因は？</t>
        </is>
      </c>
      <c r="E73" s="3" t="inlineStr">
        <is>
          <t>放置リスクと対処法を解説</t>
        </is>
      </c>
      <c r="F73" s="3" t="inlineStr">
        <is>
          <t>早めの確認が大切</t>
        </is>
      </c>
      <c r="G73" s="3" t="inlineStr">
        <is>
          <t>劣化箇所の拡大・雨染み・ひび割れ</t>
        </is>
      </c>
      <c r="H73" s="3" t="inlineStr">
        <is>
          <t>職人</t>
        </is>
      </c>
      <c r="I73" s="3" t="inlineStr">
        <is>
          <t>松山市版</t>
        </is>
      </c>
      <c r="J73" s="3" t="inlineStr">
        <is>
          <t>原因解説訴求</t>
        </is>
      </c>
      <c r="K73" s="3" t="n"/>
    </row>
    <row r="74">
      <c r="A74" s="3" t="n">
        <v>73</v>
      </c>
      <c r="B74" s="3" t="inlineStr">
        <is>
          <t>軒天 黒ずみ</t>
        </is>
      </c>
      <c r="C74" s="3" t="inlineStr">
        <is>
          <t>073.webp</t>
        </is>
      </c>
      <c r="D74" s="3" t="inlineStr">
        <is>
          <t>軒天 黒ずみ</t>
        </is>
      </c>
      <c r="E74" s="3" t="inlineStr">
        <is>
          <t>シミ・黒ずみ・剥がれは要注意</t>
        </is>
      </c>
      <c r="F74" s="3" t="inlineStr">
        <is>
          <t>補修と塗装の判断ポイント</t>
        </is>
      </c>
      <c r="G74" s="3" t="inlineStr">
        <is>
          <t>軒天シミ・黒ずみ・住宅軒下</t>
        </is>
      </c>
      <c r="H74" s="3" t="inlineStr">
        <is>
          <t>見上げる住人＋職人</t>
        </is>
      </c>
      <c r="I74" s="3" t="inlineStr">
        <is>
          <t>松山市版</t>
        </is>
      </c>
      <c r="J74" s="3" t="inlineStr">
        <is>
          <t>軒天訴求</t>
        </is>
      </c>
      <c r="K74" s="3" t="n"/>
    </row>
    <row r="75">
      <c r="A75" s="3" t="n">
        <v>74</v>
      </c>
      <c r="B75" s="3" t="inlineStr">
        <is>
          <t>軒天 カビ</t>
        </is>
      </c>
      <c r="C75" s="3" t="inlineStr">
        <is>
          <t>074.webp</t>
        </is>
      </c>
      <c r="D75" s="3" t="inlineStr">
        <is>
          <t>軒天 カビ</t>
        </is>
      </c>
      <c r="E75" s="3" t="inlineStr">
        <is>
          <t>シミ・黒ずみ・剥がれは要注意</t>
        </is>
      </c>
      <c r="F75" s="3" t="inlineStr">
        <is>
          <t>補修と塗装の判断ポイント</t>
        </is>
      </c>
      <c r="G75" s="3" t="inlineStr">
        <is>
          <t>軒天シミ・黒ずみ・住宅軒下</t>
        </is>
      </c>
      <c r="H75" s="3" t="inlineStr">
        <is>
          <t>見上げる住人＋職人</t>
        </is>
      </c>
      <c r="I75" s="3" t="inlineStr">
        <is>
          <t>松山市版</t>
        </is>
      </c>
      <c r="J75" s="3" t="inlineStr">
        <is>
          <t>軒天訴求</t>
        </is>
      </c>
      <c r="K75" s="3" t="n"/>
    </row>
    <row r="76">
      <c r="A76" s="3" t="n">
        <v>75</v>
      </c>
      <c r="B76" s="3" t="inlineStr">
        <is>
          <t>軒天 剥がれ</t>
        </is>
      </c>
      <c r="C76" s="3" t="inlineStr">
        <is>
          <t>075.webp</t>
        </is>
      </c>
      <c r="D76" s="3" t="inlineStr">
        <is>
          <t>軒天 剥がれ</t>
        </is>
      </c>
      <c r="E76" s="3" t="inlineStr">
        <is>
          <t>シミ・黒ずみ・剥がれは要注意</t>
        </is>
      </c>
      <c r="F76" s="3" t="inlineStr">
        <is>
          <t>補修と塗装の判断ポイント</t>
        </is>
      </c>
      <c r="G76" s="3" t="inlineStr">
        <is>
          <t>軒天シミ・黒ずみ・住宅軒下</t>
        </is>
      </c>
      <c r="H76" s="3" t="inlineStr">
        <is>
          <t>見上げる住人＋職人</t>
        </is>
      </c>
      <c r="I76" s="3" t="inlineStr">
        <is>
          <t>松山市版</t>
        </is>
      </c>
      <c r="J76" s="3" t="inlineStr">
        <is>
          <t>軒天訴求</t>
        </is>
      </c>
      <c r="K76" s="3" t="n"/>
    </row>
    <row r="77">
      <c r="A77" s="3" t="n">
        <v>76</v>
      </c>
      <c r="B77" s="3" t="inlineStr">
        <is>
          <t>軒天 ベニヤ 張り替え</t>
        </is>
      </c>
      <c r="C77" s="3" t="inlineStr">
        <is>
          <t>076.webp</t>
        </is>
      </c>
      <c r="D77" s="3" t="inlineStr">
        <is>
          <t>軒天 ベニヤ 張り替え</t>
        </is>
      </c>
      <c r="E77" s="3" t="inlineStr">
        <is>
          <t>シミ・黒ずみ・剥がれは要注意</t>
        </is>
      </c>
      <c r="F77" s="3" t="inlineStr">
        <is>
          <t>補修と塗装の判断ポイント</t>
        </is>
      </c>
      <c r="G77" s="3" t="inlineStr">
        <is>
          <t>軒天シミ・黒ずみ・住宅軒下</t>
        </is>
      </c>
      <c r="H77" s="3" t="inlineStr">
        <is>
          <t>見上げる住人＋職人</t>
        </is>
      </c>
      <c r="I77" s="3" t="inlineStr">
        <is>
          <t>松山市版</t>
        </is>
      </c>
      <c r="J77" s="3" t="inlineStr">
        <is>
          <t>軒天訴求</t>
        </is>
      </c>
      <c r="K77" s="3" t="n"/>
    </row>
    <row r="78">
      <c r="A78" s="3" t="n">
        <v>77</v>
      </c>
      <c r="B78" s="3" t="inlineStr">
        <is>
          <t>軒天 雨漏り</t>
        </is>
      </c>
      <c r="C78" s="3" t="inlineStr">
        <is>
          <t>077.webp</t>
        </is>
      </c>
      <c r="D78" s="3" t="inlineStr">
        <is>
          <t>軒天 雨漏り</t>
        </is>
      </c>
      <c r="E78" s="3" t="inlineStr">
        <is>
          <t>シミ・黒ずみ・剥がれは要注意</t>
        </is>
      </c>
      <c r="F78" s="3" t="inlineStr">
        <is>
          <t>補修と塗装の判断ポイント</t>
        </is>
      </c>
      <c r="G78" s="3" t="inlineStr">
        <is>
          <t>軒天シミ・黒ずみ・住宅軒下</t>
        </is>
      </c>
      <c r="H78" s="3" t="inlineStr">
        <is>
          <t>見上げる住人＋職人</t>
        </is>
      </c>
      <c r="I78" s="3" t="inlineStr">
        <is>
          <t>松山市版</t>
        </is>
      </c>
      <c r="J78" s="3" t="inlineStr">
        <is>
          <t>軒天訴求</t>
        </is>
      </c>
      <c r="K78" s="3" t="n"/>
    </row>
    <row r="79">
      <c r="A79" s="3" t="n">
        <v>78</v>
      </c>
      <c r="B79" s="3" t="inlineStr">
        <is>
          <t>軒天 塗装 費用</t>
        </is>
      </c>
      <c r="C79" s="3" t="inlineStr">
        <is>
          <t>078.webp</t>
        </is>
      </c>
      <c r="D79" s="3" t="inlineStr">
        <is>
          <t>軒天 塗装 費用</t>
        </is>
      </c>
      <c r="E79" s="3" t="inlineStr">
        <is>
          <t>シミ・黒ずみ・剥がれは要注意</t>
        </is>
      </c>
      <c r="F79" s="3" t="inlineStr">
        <is>
          <t>補修と塗装の判断ポイント</t>
        </is>
      </c>
      <c r="G79" s="3" t="inlineStr">
        <is>
          <t>軒天シミ・黒ずみ・住宅軒下</t>
        </is>
      </c>
      <c r="H79" s="3" t="inlineStr">
        <is>
          <t>見上げる住人＋職人</t>
        </is>
      </c>
      <c r="I79" s="3" t="inlineStr">
        <is>
          <t>松山市版</t>
        </is>
      </c>
      <c r="J79" s="3" t="inlineStr">
        <is>
          <t>軒天訴求</t>
        </is>
      </c>
      <c r="K79" s="3" t="n"/>
    </row>
    <row r="80">
      <c r="A80" s="3" t="n">
        <v>79</v>
      </c>
      <c r="B80" s="3" t="inlineStr">
        <is>
          <t>軒天 補修</t>
        </is>
      </c>
      <c r="C80" s="3" t="inlineStr">
        <is>
          <t>079.webp</t>
        </is>
      </c>
      <c r="D80" s="3" t="inlineStr">
        <is>
          <t>軒天 補修</t>
        </is>
      </c>
      <c r="E80" s="3" t="inlineStr">
        <is>
          <t>シミ・黒ずみ・剥がれは要注意</t>
        </is>
      </c>
      <c r="F80" s="3" t="inlineStr">
        <is>
          <t>補修と塗装の判断ポイント</t>
        </is>
      </c>
      <c r="G80" s="3" t="inlineStr">
        <is>
          <t>軒天シミ・黒ずみ・住宅軒下</t>
        </is>
      </c>
      <c r="H80" s="3" t="inlineStr">
        <is>
          <t>見上げる住人＋職人</t>
        </is>
      </c>
      <c r="I80" s="3" t="inlineStr">
        <is>
          <t>松山市版</t>
        </is>
      </c>
      <c r="J80" s="3" t="inlineStr">
        <is>
          <t>軒天訴求</t>
        </is>
      </c>
      <c r="K80" s="3" t="n"/>
    </row>
    <row r="81">
      <c r="A81" s="3" t="n">
        <v>80</v>
      </c>
      <c r="B81" s="3" t="inlineStr">
        <is>
          <t>軒天 材料 種類</t>
        </is>
      </c>
      <c r="C81" s="3" t="inlineStr">
        <is>
          <t>080.webp</t>
        </is>
      </c>
      <c r="D81" s="3" t="inlineStr">
        <is>
          <t>軒天 材料 種類</t>
        </is>
      </c>
      <c r="E81" s="3" t="inlineStr">
        <is>
          <t>シミ・黒ずみ・剥がれは要注意</t>
        </is>
      </c>
      <c r="F81" s="3" t="inlineStr">
        <is>
          <t>補修と塗装の判断ポイント</t>
        </is>
      </c>
      <c r="G81" s="3" t="inlineStr">
        <is>
          <t>軒天シミ・黒ずみ・住宅軒下</t>
        </is>
      </c>
      <c r="H81" s="3" t="inlineStr">
        <is>
          <t>見上げる住人＋職人</t>
        </is>
      </c>
      <c r="I81" s="3" t="inlineStr">
        <is>
          <t>松山市版</t>
        </is>
      </c>
      <c r="J81" s="3" t="inlineStr">
        <is>
          <t>軒天訴求</t>
        </is>
      </c>
      <c r="K81" s="3" t="n"/>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4.25"/>
  <cols>
    <col width="16" customWidth="1" style="24" min="1" max="1"/>
    <col width="24" customWidth="1" style="24" min="2" max="2"/>
    <col width="90" customWidth="1" style="24" min="3" max="3"/>
  </cols>
  <sheetData>
    <row r="1" ht="15" customHeight="1" s="24">
      <c r="A1" s="11" t="inlineStr">
        <is>
          <t>区分</t>
        </is>
      </c>
      <c r="B1" s="11" t="inlineStr">
        <is>
          <t>ルール</t>
        </is>
      </c>
      <c r="C1" s="11" t="inlineStr">
        <is>
          <t>詳細</t>
        </is>
      </c>
    </row>
    <row r="2">
      <c r="A2" s="3" t="inlineStr">
        <is>
          <t>記事本文</t>
        </is>
      </c>
      <c r="B2" s="3" t="inlineStr">
        <is>
          <t>H1は入れない</t>
        </is>
      </c>
      <c r="C2" s="3" t="inlineStr">
        <is>
          <t>WordPress投稿タイトルでH1が出るため、MD本文は導入文から開始する。</t>
        </is>
      </c>
    </row>
    <row r="3" ht="28.5" customHeight="1" s="24">
      <c r="A3" s="3" t="inlineStr">
        <is>
          <t>記事本文</t>
        </is>
      </c>
      <c r="B3" s="3" t="inlineStr">
        <is>
          <t>砂田塗装ブログ型</t>
        </is>
      </c>
      <c r="C3" s="3" t="inlineStr">
        <is>
          <t>症状の悩み→この記事でわかること→地域事情→原因・症状→事例→費用→業者選び→CTA→FAQ→まとめ。</t>
        </is>
      </c>
    </row>
    <row r="4" ht="28.5" customHeight="1" s="24">
      <c r="A4" s="3" t="inlineStr">
        <is>
          <t>記事本文</t>
        </is>
      </c>
      <c r="B4" s="3" t="inlineStr">
        <is>
          <t>地域性</t>
        </is>
      </c>
      <c r="C4" s="3" t="inlineStr">
        <is>
          <t>松山市の紫外線・台風・湿気・塩害・地域名（久米、石井、余戸、三津、北条、道後など）を自然に入れる。</t>
        </is>
      </c>
    </row>
    <row r="5">
      <c r="A5" s="3" t="inlineStr">
        <is>
          <t>記事本文</t>
        </is>
      </c>
      <c r="B5" s="3" t="inlineStr">
        <is>
          <t>訴求サービス</t>
        </is>
      </c>
      <c r="C5" s="3" t="inlineStr">
        <is>
          <t>無料点検、外装劣化診断、写真付き劣化診断書、必要な工事だけ提案、職人目線を入れる。</t>
        </is>
      </c>
    </row>
    <row r="6">
      <c r="A6" s="3" t="inlineStr">
        <is>
          <t>記事本文</t>
        </is>
      </c>
      <c r="B6" s="3" t="inlineStr">
        <is>
          <t>内部リンク</t>
        </is>
      </c>
      <c r="C6" s="3" t="inlineStr">
        <is>
          <t>雨漏り修理、外装劣化診断、料金目安、関連ブログ、施工事例へ自然に誘導する。</t>
        </is>
      </c>
    </row>
    <row r="7">
      <c r="A7" s="3" t="inlineStr">
        <is>
          <t>アイキャッチ</t>
        </is>
      </c>
      <c r="B7" s="3" t="inlineStr">
        <is>
          <t>記事ごとに作り分け</t>
        </is>
      </c>
      <c r="C7" s="3" t="inlineStr">
        <is>
          <t>背景・人物・症状・訴求をKWごとに変更する。共通テンプレートだけにしない。</t>
        </is>
      </c>
    </row>
    <row r="8">
      <c r="A8" s="3" t="inlineStr">
        <is>
          <t>アイキャッチ</t>
        </is>
      </c>
      <c r="B8" s="3" t="inlineStr">
        <is>
          <t>文字後乗せ</t>
        </is>
      </c>
      <c r="C8" s="3" t="inlineStr">
        <is>
          <t>日本語文字は画像生成AIではなく、後から合成して誤字崩れを防ぐ。</t>
        </is>
      </c>
    </row>
    <row r="9">
      <c r="A9" s="3" t="inlineStr">
        <is>
          <t>GitHub</t>
        </is>
      </c>
      <c r="B9" s="3" t="inlineStr">
        <is>
          <t>ファイル名</t>
        </is>
      </c>
      <c r="C9" s="3" t="inlineStr">
        <is>
          <t>記事は articles/001.md、画像は eyecatches/001.webp の形式で管理する。</t>
        </is>
      </c>
    </row>
    <row r="10">
      <c r="A10" s="3" t="inlineStr">
        <is>
          <t>Actions</t>
        </is>
      </c>
      <c r="B10" s="3" t="inlineStr">
        <is>
          <t>実行順</t>
        </is>
      </c>
      <c r="C10" s="3" t="inlineStr">
        <is>
          <t>dry-run → post/create_only limit=1 → WordPress確認 → 5〜10件投稿 → 管理簿更新。</t>
        </is>
      </c>
    </row>
    <row r="11">
      <c r="A11" s="3" t="inlineStr">
        <is>
          <t>Actions</t>
        </is>
      </c>
      <c r="B11" s="3" t="inlineStr">
        <is>
          <t>更新テスト</t>
        </is>
      </c>
      <c r="C11" s="3" t="inlineStr">
        <is>
          <t>既存下書きを更新する場合は write_mode=update_only、または upsert を使う。</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4.25"/>
  <cols>
    <col width="17" customWidth="1" style="24" min="1" max="2"/>
    <col width="18.75" customWidth="1" style="24" min="3" max="3"/>
    <col width="13.375" customWidth="1" style="24" min="4" max="5"/>
    <col width="31.75" customWidth="1" style="24" min="6" max="6"/>
    <col width="16.125" customWidth="1" style="24" min="7" max="7"/>
    <col width="20.75" customWidth="1" style="24" min="8" max="9"/>
    <col width="9.75" customWidth="1" style="24" min="10" max="10"/>
  </cols>
  <sheetData>
    <row r="1" ht="15" customHeight="1" s="24">
      <c r="A1" s="2" t="inlineStr">
        <is>
          <t>記事制作ステータス</t>
        </is>
      </c>
      <c r="B1" s="2" t="inlineStr">
        <is>
          <t>画像制作ステータス</t>
        </is>
      </c>
      <c r="C1" s="2" t="inlineStr">
        <is>
          <t>GitHub反映ステータス</t>
        </is>
      </c>
      <c r="D1" s="2" t="inlineStr">
        <is>
          <t>投稿ステータス</t>
        </is>
      </c>
      <c r="E1" s="2" t="inlineStr">
        <is>
          <t>最終実行モード</t>
        </is>
      </c>
      <c r="F1" s="2" t="inlineStr">
        <is>
          <t>主訴求サービス</t>
        </is>
      </c>
      <c r="G1" s="2" t="inlineStr">
        <is>
          <t>CTAタイプ</t>
        </is>
      </c>
      <c r="H1" s="2" t="inlineStr">
        <is>
          <t>記事構成型</t>
        </is>
      </c>
      <c r="I1" s="2" t="inlineStr">
        <is>
          <t>アイキャッチ方向性</t>
        </is>
      </c>
      <c r="J1" s="2" t="inlineStr">
        <is>
          <t>文字数判定</t>
        </is>
      </c>
    </row>
    <row r="2" ht="15" customHeight="1" s="24">
      <c r="A2" s="3" t="inlineStr">
        <is>
          <t>未着手</t>
        </is>
      </c>
      <c r="B2" s="3" t="inlineStr">
        <is>
          <t>未着手</t>
        </is>
      </c>
      <c r="C2" s="3" t="inlineStr">
        <is>
          <t>未反映</t>
        </is>
      </c>
      <c r="D2" s="3" t="inlineStr">
        <is>
          <t>未投稿</t>
        </is>
      </c>
      <c r="E2" s="3" t="inlineStr">
        <is>
          <t>create_only</t>
        </is>
      </c>
      <c r="F2" s="3" t="inlineStr">
        <is>
          <t>付帯部点検・外装劣化診断</t>
        </is>
      </c>
      <c r="G2" s="3" t="inlineStr">
        <is>
          <t>雨漏り無料点検CTA</t>
        </is>
      </c>
      <c r="H2" s="3" t="inlineStr">
        <is>
          <t>地域サービス型</t>
        </is>
      </c>
      <c r="I2" s="3" t="inlineStr">
        <is>
          <t>付帯部訴求</t>
        </is>
      </c>
      <c r="J2" s="3" t="inlineStr">
        <is>
          <t>OK</t>
        </is>
      </c>
    </row>
    <row r="3" ht="15" customHeight="1" s="24">
      <c r="A3" s="3" t="inlineStr">
        <is>
          <t>作成中</t>
        </is>
      </c>
      <c r="B3" s="3" t="inlineStr">
        <is>
          <t>作成中</t>
        </is>
      </c>
      <c r="C3" s="3" t="inlineStr">
        <is>
          <t>要反映</t>
        </is>
      </c>
      <c r="D3" s="3" t="inlineStr">
        <is>
          <t>dry-run済</t>
        </is>
      </c>
      <c r="E3" s="3" t="inlineStr">
        <is>
          <t>update_only</t>
        </is>
      </c>
      <c r="F3" s="3" t="inlineStr">
        <is>
          <t>写真付き劣化診断書</t>
        </is>
      </c>
      <c r="G3" s="3" t="inlineStr">
        <is>
          <t>写真付き診断CTA</t>
        </is>
      </c>
      <c r="H3" s="3" t="inlineStr">
        <is>
          <t>費用・相場型</t>
        </is>
      </c>
      <c r="I3" s="3" t="inlineStr">
        <is>
          <t>原因解説訴求</t>
        </is>
      </c>
      <c r="J3" s="3" t="inlineStr">
        <is>
          <t>不足</t>
        </is>
      </c>
    </row>
    <row r="4" ht="15" customHeight="1" s="24">
      <c r="A4" s="3" t="inlineStr">
        <is>
          <t>作成済</t>
        </is>
      </c>
      <c r="B4" s="3" t="inlineStr">
        <is>
          <t>作成済</t>
        </is>
      </c>
      <c r="C4" s="3" t="inlineStr">
        <is>
          <t>反映済</t>
        </is>
      </c>
      <c r="D4" s="3" t="inlineStr">
        <is>
          <t>下書き投稿済</t>
        </is>
      </c>
      <c r="E4" s="3" t="inlineStr">
        <is>
          <t>upsert</t>
        </is>
      </c>
      <c r="F4" s="3" t="inlineStr">
        <is>
          <t>国家資格者診断・必要な工事だけ提案</t>
        </is>
      </c>
      <c r="G4" s="3" t="inlineStr">
        <is>
          <t>外装劣化診断CTA</t>
        </is>
      </c>
      <c r="H4" s="3" t="inlineStr">
        <is>
          <t>原因・症状解説型</t>
        </is>
      </c>
      <c r="I4" s="3" t="inlineStr">
        <is>
          <t>外壁塗装訴求</t>
        </is>
      </c>
      <c r="J4" s="3" t="inlineStr">
        <is>
          <t>超過</t>
        </is>
      </c>
    </row>
    <row r="5" ht="15" customHeight="1" s="24">
      <c r="A5" s="3" t="inlineStr">
        <is>
          <t>要再編集</t>
        </is>
      </c>
      <c r="B5" s="3" t="inlineStr">
        <is>
          <t>差替必要</t>
        </is>
      </c>
      <c r="C5" s="3" t="inlineStr">
        <is>
          <t>反映失敗</t>
        </is>
      </c>
      <c r="D5" s="3" t="inlineStr">
        <is>
          <t>投稿済</t>
        </is>
      </c>
      <c r="E5" s="3" t="n"/>
      <c r="F5" s="3" t="inlineStr">
        <is>
          <t>外装劣化診断・外壁塗装無料見積り</t>
        </is>
      </c>
      <c r="G5" s="3" t="inlineStr">
        <is>
          <t>無料見積りCTA</t>
        </is>
      </c>
      <c r="H5" s="3" t="inlineStr">
        <is>
          <t>業者選び型</t>
        </is>
      </c>
      <c r="I5" s="3" t="inlineStr">
        <is>
          <t>屋根修理訴求</t>
        </is>
      </c>
      <c r="J5" s="3" t="n"/>
    </row>
    <row r="6" ht="15" customHeight="1" s="24">
      <c r="A6" s="3" t="inlineStr">
        <is>
          <t>修正中</t>
        </is>
      </c>
      <c r="B6" s="3" t="inlineStr">
        <is>
          <t>修正中</t>
        </is>
      </c>
      <c r="C6" s="3" t="n"/>
      <c r="D6" s="3" t="inlineStr">
        <is>
          <t>更新済</t>
        </is>
      </c>
      <c r="E6" s="3" t="n"/>
      <c r="F6" s="3" t="inlineStr">
        <is>
          <t>外装劣化診断（無料現地調査）</t>
        </is>
      </c>
      <c r="G6" s="3" t="inlineStr">
        <is>
          <t>屋根点検CTA</t>
        </is>
      </c>
      <c r="H6" s="3" t="inlineStr">
        <is>
          <t>建材・屋根材注意喚起型</t>
        </is>
      </c>
      <c r="I6" s="3" t="inlineStr">
        <is>
          <t>強めサムネ・費用訴求</t>
        </is>
      </c>
      <c r="J6" s="3" t="n"/>
    </row>
    <row r="7" ht="15" customHeight="1" s="24">
      <c r="A7" s="3" t="inlineStr">
        <is>
          <t>完了</t>
        </is>
      </c>
      <c r="B7" s="3" t="inlineStr">
        <is>
          <t>完了</t>
        </is>
      </c>
      <c r="C7" s="3" t="n"/>
      <c r="D7" s="3" t="inlineStr">
        <is>
          <t>要更新確認</t>
        </is>
      </c>
      <c r="E7" s="3" t="n"/>
      <c r="F7" s="3" t="inlineStr">
        <is>
          <t>屋根無料点検・屋根修理</t>
        </is>
      </c>
      <c r="G7" s="3" t="inlineStr">
        <is>
          <t>防水点検CTA</t>
        </is>
      </c>
      <c r="H7" s="3" t="inlineStr">
        <is>
          <t>ハウスメーカー住宅型</t>
        </is>
      </c>
      <c r="I7" s="3" t="inlineStr">
        <is>
          <t>強めサムネ・雨漏り訴求</t>
        </is>
      </c>
      <c r="J7" s="3" t="n"/>
    </row>
    <row r="8" ht="15" customHeight="1" s="24">
      <c r="A8" s="3" t="n"/>
      <c r="B8" s="3" t="n"/>
      <c r="C8" s="3" t="n"/>
      <c r="D8" s="3" t="inlineStr">
        <is>
          <t>skipped</t>
        </is>
      </c>
      <c r="E8" s="3" t="n"/>
      <c r="F8" s="3" t="inlineStr">
        <is>
          <t>無料見積り・費用根拠の見える化</t>
        </is>
      </c>
      <c r="G8" s="3" t="inlineStr">
        <is>
          <t>付帯部点検CTA</t>
        </is>
      </c>
      <c r="H8" s="3" t="n"/>
      <c r="I8" s="3" t="inlineStr">
        <is>
          <t>業者選び訴求</t>
        </is>
      </c>
      <c r="J8" s="3" t="n"/>
    </row>
    <row r="9" ht="15" customHeight="1" s="24">
      <c r="A9" s="3" t="n"/>
      <c r="B9" s="3" t="n"/>
      <c r="C9" s="3" t="n"/>
      <c r="D9" s="3" t="inlineStr">
        <is>
          <t>error</t>
        </is>
      </c>
      <c r="E9" s="3" t="n"/>
      <c r="F9" s="3" t="inlineStr">
        <is>
          <t>防水工事・シーリング工事</t>
        </is>
      </c>
      <c r="G9" s="3" t="n"/>
      <c r="H9" s="3" t="n"/>
      <c r="I9" s="3" t="inlineStr">
        <is>
          <t>汎用外装訴求</t>
        </is>
      </c>
      <c r="J9" s="3" t="n"/>
    </row>
    <row r="10" ht="15" customHeight="1" s="24">
      <c r="A10" s="3" t="n"/>
      <c r="B10" s="3" t="n"/>
      <c r="C10" s="3" t="n"/>
      <c r="D10" s="3" t="n"/>
      <c r="E10" s="3" t="n"/>
      <c r="F10" s="3" t="inlineStr">
        <is>
          <t>雨漏り無料点検・無料見積り</t>
        </is>
      </c>
      <c r="G10" s="3" t="n"/>
      <c r="H10" s="3" t="n"/>
      <c r="I10" s="3" t="inlineStr">
        <is>
          <t>診断訴求・不安解消</t>
        </is>
      </c>
      <c r="J10" s="3" t="n"/>
    </row>
    <row r="11" ht="15" customHeight="1" s="24">
      <c r="A11" s="3" t="n"/>
      <c r="B11" s="3" t="n"/>
      <c r="C11" s="3" t="n"/>
      <c r="D11" s="3" t="n"/>
      <c r="E11" s="3" t="n"/>
      <c r="F11" s="3" t="n"/>
      <c r="G11" s="3" t="n"/>
      <c r="H11" s="3" t="n"/>
      <c r="I11" s="3" t="inlineStr">
        <is>
          <t>調査訴求・原因特定</t>
        </is>
      </c>
      <c r="J11" s="3" t="n"/>
    </row>
    <row r="12" ht="15" customHeight="1" s="24">
      <c r="A12" s="3" t="n"/>
      <c r="B12" s="3" t="n"/>
      <c r="C12" s="3" t="n"/>
      <c r="D12" s="3" t="n"/>
      <c r="E12" s="3" t="n"/>
      <c r="F12" s="3" t="n"/>
      <c r="G12" s="3" t="n"/>
      <c r="H12" s="3" t="n"/>
      <c r="I12" s="3" t="inlineStr">
        <is>
          <t>軒天訴求</t>
        </is>
      </c>
      <c r="J12" s="3" t="n"/>
    </row>
    <row r="13" ht="15" customHeight="1" s="24">
      <c r="A13" s="3" t="n"/>
      <c r="B13" s="3" t="n"/>
      <c r="C13" s="3" t="n"/>
      <c r="D13" s="3" t="n"/>
      <c r="E13" s="3" t="n"/>
      <c r="F13" s="3" t="n"/>
      <c r="G13" s="3" t="n"/>
      <c r="H13" s="3" t="n"/>
      <c r="I13" s="3" t="inlineStr">
        <is>
          <t>防水訴求</t>
        </is>
      </c>
      <c r="J13"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4.25"/>
  <cols>
    <col width="20" customWidth="1" style="24" min="1" max="1"/>
    <col width="6" customWidth="1" style="24" min="2" max="2"/>
    <col width="24" customWidth="1" style="24" min="3" max="3"/>
    <col width="12" customWidth="1" style="24" min="4" max="4"/>
    <col width="14" customWidth="1" style="24" min="5" max="6"/>
    <col width="12" customWidth="1" style="24" min="7" max="7"/>
    <col width="35" customWidth="1" style="24" min="8" max="8"/>
    <col width="18" customWidth="1" style="24" min="9" max="10"/>
    <col width="60" customWidth="1" style="24" min="11" max="11"/>
  </cols>
  <sheetData>
    <row r="1" ht="15" customHeight="1" s="24">
      <c r="A1" s="30" t="inlineStr">
        <is>
          <t>実行日時</t>
        </is>
      </c>
      <c r="B1" s="12" t="inlineStr">
        <is>
          <t>No</t>
        </is>
      </c>
      <c r="C1" s="12" t="inlineStr">
        <is>
          <t>指定KW</t>
        </is>
      </c>
      <c r="D1" s="12" t="inlineStr">
        <is>
          <t>mode</t>
        </is>
      </c>
      <c r="E1" s="12" t="inlineStr">
        <is>
          <t>write_mode</t>
        </is>
      </c>
      <c r="F1" s="12" t="inlineStr">
        <is>
          <t>status</t>
        </is>
      </c>
      <c r="G1" s="12" t="inlineStr">
        <is>
          <t>WP投稿ID</t>
        </is>
      </c>
      <c r="H1" s="12" t="inlineStr">
        <is>
          <t>WP投稿URL</t>
        </is>
      </c>
      <c r="I1" s="12" t="inlineStr">
        <is>
          <t>記事ファイル</t>
        </is>
      </c>
      <c r="J1" s="12" t="inlineStr">
        <is>
          <t>画像ファイル</t>
        </is>
      </c>
      <c r="K1" s="12" t="inlineStr">
        <is>
          <t>message</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4.25"/>
  <cols>
    <col width="28" customWidth="1" style="24" min="1" max="1"/>
    <col width="100" customWidth="1" style="24" min="2" max="2"/>
  </cols>
  <sheetData>
    <row r="1" ht="15" customHeight="1" s="24">
      <c r="A1" s="1" t="inlineStr">
        <is>
          <t>項目</t>
        </is>
      </c>
      <c r="B1" s="1" t="inlineStr">
        <is>
          <t>内容</t>
        </is>
      </c>
    </row>
    <row r="2">
      <c r="A2" s="3" t="inlineStr">
        <is>
          <t>GitHub必須構成</t>
        </is>
      </c>
      <c r="B2" s="3" t="inlineStr">
        <is>
          <t>articles/001.md、eyecatches/001.webp、data/seo_80kw_production_management_v2.xlsx</t>
        </is>
      </c>
    </row>
    <row r="3" ht="28.5" customHeight="1" s="24">
      <c r="A3" s="3" t="inlineStr">
        <is>
          <t>wp_auto_post.pyが読む主な列</t>
        </is>
      </c>
      <c r="B3" s="3" t="inlineStr">
        <is>
          <t>No、指定KW、記事タイトル案、スラッグ、メタディスクリプション案、WPカテゴリ、タグ案、画像ファイル名</t>
        </is>
      </c>
    </row>
    <row r="4" ht="28.5" customHeight="1" s="24">
      <c r="A4" s="3" t="inlineStr">
        <is>
          <t>追加で更新したい列</t>
        </is>
      </c>
      <c r="B4" s="3" t="inlineStr">
        <is>
          <t>投稿ステータス、WP投稿ID、WP投稿URL、最終投稿日時、最終更新日時、最終実行モード、エラー内容、文字数実績、文字数判定</t>
        </is>
      </c>
    </row>
    <row r="5">
      <c r="A5" s="3" t="inlineStr">
        <is>
          <t>update_excelの方針</t>
        </is>
      </c>
      <c r="B5" s="3" t="inlineStr">
        <is>
          <t>update_excel=true のときだけExcelを書き換え、GitHubへcommit/pushする。通常はCSV出力のみ。</t>
        </is>
      </c>
    </row>
    <row r="6">
      <c r="A6" s="3" t="inlineStr">
        <is>
          <t>新規投稿</t>
        </is>
      </c>
      <c r="B6" s="3" t="inlineStr">
        <is>
          <t>mode=post / write_mode=create_only / post_status=draft / limit=1から開始</t>
        </is>
      </c>
    </row>
    <row r="7">
      <c r="A7" s="3" t="inlineStr">
        <is>
          <t>更新テスト</t>
        </is>
      </c>
      <c r="B7" s="3" t="inlineStr">
        <is>
          <t>mode=post / write_mode=update_only / post_status=draft / limit=1</t>
        </is>
      </c>
    </row>
    <row r="8">
      <c r="A8" s="3" t="inlineStr">
        <is>
          <t>まとめ投稿</t>
        </is>
      </c>
      <c r="B8" s="3" t="inlineStr">
        <is>
          <t>mode=post / write_mode=upsert / post_status=draft / limit=5〜10</t>
        </is>
      </c>
    </row>
    <row r="9">
      <c r="A9" s="3" t="inlineStr">
        <is>
          <t>注意</t>
        </is>
      </c>
      <c r="B9" s="3" t="inlineStr">
        <is>
          <t>publishは最後まで使わず、基本はdraftで目視確認してから公開する。</t>
        </is>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W81"/>
  <sheetViews>
    <sheetView workbookViewId="0">
      <selection activeCell="A1" sqref="A1"/>
    </sheetView>
  </sheetViews>
  <sheetFormatPr baseColWidth="8" defaultRowHeight="14.25"/>
  <cols>
    <col width="5.25" customWidth="1" style="24" min="1" max="1"/>
    <col width="32.5" customWidth="1" style="24" min="2" max="3"/>
    <col width="59.125" customWidth="1" style="24" min="4" max="4"/>
    <col width="20.75" customWidth="1" style="24" min="5" max="5"/>
    <col width="17" customWidth="1" style="24" min="6" max="6"/>
    <col width="12.625" customWidth="1" style="24" min="7" max="7"/>
    <col width="8.5" customWidth="1" style="24" min="8" max="8"/>
    <col width="29" customWidth="1" style="24" min="9" max="9"/>
    <col width="15.875" customWidth="1" style="24" min="10" max="10"/>
    <col width="32.5" customWidth="1" style="24" min="11" max="11"/>
    <col width="33.5" customWidth="1" style="24" min="12" max="12"/>
    <col width="38.125" customWidth="1" style="24" min="13" max="13"/>
    <col width="113" customWidth="1" style="24" min="14" max="14"/>
    <col width="15.25" customWidth="1" style="24" min="15" max="15"/>
    <col width="31.75" customWidth="1" style="24" min="16" max="16"/>
    <col width="15.875" customWidth="1" style="24" min="17" max="19"/>
    <col width="23.25" customWidth="1" style="24" min="20" max="20"/>
    <col width="9.75" customWidth="1" style="24" min="21" max="21"/>
    <col width="68.375" customWidth="1" style="24" min="22" max="22"/>
    <col width="6.75" customWidth="1" style="24" min="23" max="23"/>
  </cols>
  <sheetData>
    <row r="1" ht="30" customHeight="1" s="24">
      <c r="A1" s="13" t="inlineStr">
        <is>
          <t>No</t>
        </is>
      </c>
      <c r="B1" s="13" t="inlineStr">
        <is>
          <t>指定KW</t>
        </is>
      </c>
      <c r="C1" s="13" t="inlineStr">
        <is>
          <t>管理KW</t>
        </is>
      </c>
      <c r="D1" s="13" t="inlineStr">
        <is>
          <t>記事タイトル案</t>
        </is>
      </c>
      <c r="E1" s="13" t="inlineStr">
        <is>
          <t>記事カテゴリ</t>
        </is>
      </c>
      <c r="F1" s="13" t="inlineStr">
        <is>
          <t>記事タイプ</t>
        </is>
      </c>
      <c r="G1" s="13" t="inlineStr">
        <is>
          <t>文字数目安</t>
        </is>
      </c>
      <c r="H1" s="13" t="inlineStr">
        <is>
          <t>優先度</t>
        </is>
      </c>
      <c r="I1" s="13" t="inlineStr">
        <is>
          <t>ロット</t>
        </is>
      </c>
      <c r="J1" s="13" t="inlineStr">
        <is>
          <t>アイキャッチ型</t>
        </is>
      </c>
      <c r="K1" s="13" t="inlineStr">
        <is>
          <t>画像内テキスト</t>
        </is>
      </c>
      <c r="L1" s="13" t="inlineStr">
        <is>
          <t>スラッグ</t>
        </is>
      </c>
      <c r="M1" s="13" t="inlineStr">
        <is>
          <t>画像ファイル名</t>
        </is>
      </c>
      <c r="N1" s="13" t="inlineStr">
        <is>
          <t>メタディスクリプション案</t>
        </is>
      </c>
      <c r="O1" s="13" t="inlineStr">
        <is>
          <t>WPカテゴリ</t>
        </is>
      </c>
      <c r="P1" s="13" t="inlineStr">
        <is>
          <t>タグ案</t>
        </is>
      </c>
      <c r="Q1" s="13" t="inlineStr">
        <is>
          <t>制作ステータス</t>
        </is>
      </c>
      <c r="R1" s="13" t="inlineStr">
        <is>
          <t>構成ステータス</t>
        </is>
      </c>
      <c r="S1" s="13" t="inlineStr">
        <is>
          <t>本文ステータス</t>
        </is>
      </c>
      <c r="T1" s="13" t="inlineStr">
        <is>
          <t>アイキャッチステータス</t>
        </is>
      </c>
      <c r="U1" s="13" t="inlineStr">
        <is>
          <t>記事URL</t>
        </is>
      </c>
      <c r="V1" s="13" t="inlineStr">
        <is>
          <t>内部リンク方針</t>
        </is>
      </c>
      <c r="W1" s="13" t="inlineStr">
        <is>
          <t>備考</t>
        </is>
      </c>
    </row>
    <row r="2" ht="28.5" customHeight="1" s="24">
      <c r="A2" s="3" t="n">
        <v>1</v>
      </c>
      <c r="B2" s="3" t="inlineStr">
        <is>
          <t>松山市 雨漏り修理</t>
        </is>
      </c>
      <c r="C2" s="3" t="inlineStr">
        <is>
          <t>松山市 雨漏り修理</t>
        </is>
      </c>
      <c r="D2" s="3" t="inlineStr">
        <is>
          <t>松山市で雨漏り修理を依頼するなら？原因調査・費用・業者選びを解説</t>
        </is>
      </c>
      <c r="E2" s="3" t="inlineStr">
        <is>
          <t>雨漏り</t>
        </is>
      </c>
      <c r="F2" s="3" t="inlineStr">
        <is>
          <t>地域サービス型</t>
        </is>
      </c>
      <c r="G2" s="3" t="inlineStr">
        <is>
          <t>4,500〜6,500字</t>
        </is>
      </c>
      <c r="H2" s="3" t="inlineStr">
        <is>
          <t>高</t>
        </is>
      </c>
      <c r="I2" s="3" t="inlineStr">
        <is>
          <t>第1ロット：雨漏り系</t>
        </is>
      </c>
      <c r="J2" s="3" t="inlineStr">
        <is>
          <t>雨漏り系</t>
        </is>
      </c>
      <c r="K2" s="3" t="inlineStr">
        <is>
          <t>松山市の雨漏り修理
症状・費用・注意点</t>
        </is>
      </c>
      <c r="L2" s="3" t="inlineStr">
        <is>
          <t>matsuyama-leak-repair</t>
        </is>
      </c>
      <c r="M2" s="3" t="inlineStr">
        <is>
          <t>matsuyama-leak-repair.webp</t>
        </is>
      </c>
      <c r="N2" s="3" t="inlineStr">
        <is>
          <t>松山市 雨漏り修理について、主な原因、放置リスク、修理方法、業者選びのポイントを松山市で検討中の方向けに解説します。</t>
        </is>
      </c>
      <c r="O2" s="3" t="inlineStr">
        <is>
          <t>雨漏り修理</t>
        </is>
      </c>
      <c r="P2" s="3" t="inlineStr">
        <is>
          <t>松山市、雨漏り、雨漏り修理</t>
        </is>
      </c>
      <c r="Q2" s="3" t="inlineStr">
        <is>
          <t>未着手</t>
        </is>
      </c>
      <c r="R2" s="3" t="inlineStr">
        <is>
          <t>未着手</t>
        </is>
      </c>
      <c r="S2" s="3" t="inlineStr">
        <is>
          <t>未着手</t>
        </is>
      </c>
      <c r="T2" s="3" t="inlineStr">
        <is>
          <t>未着手</t>
        </is>
      </c>
      <c r="U2" s="3" t="n"/>
      <c r="V2" s="3" t="inlineStr">
        <is>
          <t>中心記事「松山市の雨漏り修理」へリンク。関連：雨漏り費用・調査・屋根雨漏り。</t>
        </is>
      </c>
      <c r="W2" s="3" t="n"/>
    </row>
    <row r="3" ht="28.5" customHeight="1" s="24">
      <c r="A3" s="3" t="n">
        <v>2</v>
      </c>
      <c r="B3" s="3" t="inlineStr">
        <is>
          <t>松山市 雨漏り調査</t>
        </is>
      </c>
      <c r="C3" s="3" t="inlineStr">
        <is>
          <t>松山市 雨漏り調査</t>
        </is>
      </c>
      <c r="D3" s="3" t="inlineStr">
        <is>
          <t>松山市の雨漏り調査とは？調査方法・費用・依頼前の注意点</t>
        </is>
      </c>
      <c r="E3" s="3" t="inlineStr">
        <is>
          <t>雨漏り</t>
        </is>
      </c>
      <c r="F3" s="3" t="inlineStr">
        <is>
          <t>地域サービス型</t>
        </is>
      </c>
      <c r="G3" s="3" t="inlineStr">
        <is>
          <t>4,500〜6,500字</t>
        </is>
      </c>
      <c r="H3" s="3" t="inlineStr">
        <is>
          <t>高</t>
        </is>
      </c>
      <c r="I3" s="3" t="inlineStr">
        <is>
          <t>第1ロット：雨漏り系</t>
        </is>
      </c>
      <c r="J3" s="3" t="inlineStr">
        <is>
          <t>雨漏り系</t>
        </is>
      </c>
      <c r="K3" s="3" t="inlineStr">
        <is>
          <t>松山市の雨漏り調査
症状・費用・注意点</t>
        </is>
      </c>
      <c r="L3" s="3" t="inlineStr">
        <is>
          <t>matsuyama-leak-investigation</t>
        </is>
      </c>
      <c r="M3" s="3" t="inlineStr">
        <is>
          <t>matsuyama-leak-investigation.webp</t>
        </is>
      </c>
      <c r="N3" s="3" t="inlineStr">
        <is>
          <t>松山市 雨漏り調査について、主な原因、放置リスク、修理方法、業者選びのポイントを松山市で検討中の方向けに解説します。</t>
        </is>
      </c>
      <c r="O3" s="3" t="inlineStr">
        <is>
          <t>雨漏り修理</t>
        </is>
      </c>
      <c r="P3" s="3" t="inlineStr">
        <is>
          <t>松山市、雨漏り、雨漏り修理</t>
        </is>
      </c>
      <c r="Q3" s="3" t="inlineStr">
        <is>
          <t>未着手</t>
        </is>
      </c>
      <c r="R3" s="3" t="inlineStr">
        <is>
          <t>未着手</t>
        </is>
      </c>
      <c r="S3" s="3" t="inlineStr">
        <is>
          <t>未着手</t>
        </is>
      </c>
      <c r="T3" s="3" t="inlineStr">
        <is>
          <t>未着手</t>
        </is>
      </c>
      <c r="U3" s="3" t="n"/>
      <c r="V3" s="3" t="inlineStr">
        <is>
          <t>中心記事「松山市の雨漏り修理」へリンク。関連：雨漏り費用・調査・屋根雨漏り。</t>
        </is>
      </c>
      <c r="W3" s="3" t="n"/>
    </row>
    <row r="4" ht="28.5" customHeight="1" s="24">
      <c r="A4" s="3" t="n">
        <v>3</v>
      </c>
      <c r="B4" s="3" t="inlineStr">
        <is>
          <t>松山市 雨漏り診断</t>
        </is>
      </c>
      <c r="C4" s="3" t="inlineStr">
        <is>
          <t>松山市 雨漏り診断</t>
        </is>
      </c>
      <c r="D4" s="3" t="inlineStr">
        <is>
          <t>松山市の雨漏り診断でわかること｜原因特定と修理前の確認ポイント</t>
        </is>
      </c>
      <c r="E4" s="3" t="inlineStr">
        <is>
          <t>雨漏り</t>
        </is>
      </c>
      <c r="F4" s="3" t="inlineStr">
        <is>
          <t>地域サービス型</t>
        </is>
      </c>
      <c r="G4" s="3" t="inlineStr">
        <is>
          <t>4,500〜6,500字</t>
        </is>
      </c>
      <c r="H4" s="3" t="inlineStr">
        <is>
          <t>高</t>
        </is>
      </c>
      <c r="I4" s="3" t="inlineStr">
        <is>
          <t>第1ロット：雨漏り系</t>
        </is>
      </c>
      <c r="J4" s="3" t="inlineStr">
        <is>
          <t>雨漏り系</t>
        </is>
      </c>
      <c r="K4" s="3" t="inlineStr">
        <is>
          <t>松山市の雨漏り診断
症状・費用・注意点</t>
        </is>
      </c>
      <c r="L4" s="3" t="inlineStr">
        <is>
          <t>matsuyama-leak-diagnosis</t>
        </is>
      </c>
      <c r="M4" s="3" t="inlineStr">
        <is>
          <t>matsuyama-leak-diagnosis.webp</t>
        </is>
      </c>
      <c r="N4" s="3" t="inlineStr">
        <is>
          <t>松山市 雨漏り診断について、主な原因、放置リスク、修理方法、業者選びのポイントを松山市で検討中の方向けに解説します。</t>
        </is>
      </c>
      <c r="O4" s="3" t="inlineStr">
        <is>
          <t>雨漏り修理</t>
        </is>
      </c>
      <c r="P4" s="3" t="inlineStr">
        <is>
          <t>松山市、雨漏り、雨漏り修理</t>
        </is>
      </c>
      <c r="Q4" s="3" t="inlineStr">
        <is>
          <t>未着手</t>
        </is>
      </c>
      <c r="R4" s="3" t="inlineStr">
        <is>
          <t>未着手</t>
        </is>
      </c>
      <c r="S4" s="3" t="inlineStr">
        <is>
          <t>未着手</t>
        </is>
      </c>
      <c r="T4" s="3" t="inlineStr">
        <is>
          <t>未着手</t>
        </is>
      </c>
      <c r="U4" s="3" t="n"/>
      <c r="V4" s="3" t="inlineStr">
        <is>
          <t>中心記事「松山市の雨漏り修理」へリンク。関連：雨漏り費用・調査・屋根雨漏り。</t>
        </is>
      </c>
      <c r="W4" s="3" t="n"/>
    </row>
    <row r="5" ht="28.5" customHeight="1" s="24">
      <c r="A5" s="3" t="n">
        <v>4</v>
      </c>
      <c r="B5" s="3" t="inlineStr">
        <is>
          <t>松山市 雨漏り業者</t>
        </is>
      </c>
      <c r="C5" s="3" t="inlineStr">
        <is>
          <t>松山市 雨漏り業者</t>
        </is>
      </c>
      <c r="D5" s="3" t="inlineStr">
        <is>
          <t>松山市で雨漏り業者を選ぶポイント｜失敗しない比較方法を解説</t>
        </is>
      </c>
      <c r="E5" s="3" t="inlineStr">
        <is>
          <t>雨漏り</t>
        </is>
      </c>
      <c r="F5" s="3" t="inlineStr">
        <is>
          <t>地域サービス型</t>
        </is>
      </c>
      <c r="G5" s="3" t="inlineStr">
        <is>
          <t>5,000〜7,000字</t>
        </is>
      </c>
      <c r="H5" s="3" t="inlineStr">
        <is>
          <t>高</t>
        </is>
      </c>
      <c r="I5" s="3" t="inlineStr">
        <is>
          <t>第1ロット：雨漏り系</t>
        </is>
      </c>
      <c r="J5" s="3" t="inlineStr">
        <is>
          <t>雨漏り系</t>
        </is>
      </c>
      <c r="K5" s="3" t="inlineStr">
        <is>
          <t>松山市の雨漏り業者
症状・費用・注意点</t>
        </is>
      </c>
      <c r="L5" s="3" t="inlineStr">
        <is>
          <t>matsuyama-leak-contractor</t>
        </is>
      </c>
      <c r="M5" s="3" t="inlineStr">
        <is>
          <t>matsuyama-leak-contractor.webp</t>
        </is>
      </c>
      <c r="N5" s="3" t="inlineStr">
        <is>
          <t>松山市 雨漏り業者について、主な原因、放置リスク、修理方法、業者選びのポイントを松山市で検討中の方向けに解説します。</t>
        </is>
      </c>
      <c r="O5" s="3" t="inlineStr">
        <is>
          <t>雨漏り修理</t>
        </is>
      </c>
      <c r="P5" s="3" t="inlineStr">
        <is>
          <t>松山市、雨漏り、雨漏り修理</t>
        </is>
      </c>
      <c r="Q5" s="3" t="inlineStr">
        <is>
          <t>未着手</t>
        </is>
      </c>
      <c r="R5" s="3" t="inlineStr">
        <is>
          <t>未着手</t>
        </is>
      </c>
      <c r="S5" s="3" t="inlineStr">
        <is>
          <t>未着手</t>
        </is>
      </c>
      <c r="T5" s="3" t="inlineStr">
        <is>
          <t>未着手</t>
        </is>
      </c>
      <c r="U5" s="3" t="n"/>
      <c r="V5" s="3" t="inlineStr">
        <is>
          <t>中心記事「松山市の雨漏り修理」へリンク。関連：雨漏り費用・調査・屋根雨漏り。</t>
        </is>
      </c>
      <c r="W5" s="3" t="n"/>
    </row>
    <row r="6" ht="28.5" customHeight="1" s="24">
      <c r="A6" s="3" t="n">
        <v>5</v>
      </c>
      <c r="B6" s="3" t="inlineStr">
        <is>
          <t>松山市 雨漏り修理 費用</t>
        </is>
      </c>
      <c r="C6" s="3" t="inlineStr">
        <is>
          <t>松山市 雨漏り修理 費用</t>
        </is>
      </c>
      <c r="D6" s="3" t="inlineStr">
        <is>
          <t>松山市の雨漏り修理費用はいくら？相場・内訳・業者選びを解説</t>
        </is>
      </c>
      <c r="E6" s="3" t="inlineStr">
        <is>
          <t>雨漏り</t>
        </is>
      </c>
      <c r="F6" s="3" t="inlineStr">
        <is>
          <t>地域サービス型</t>
        </is>
      </c>
      <c r="G6" s="3" t="inlineStr">
        <is>
          <t>5,000〜7,000字</t>
        </is>
      </c>
      <c r="H6" s="3" t="inlineStr">
        <is>
          <t>高</t>
        </is>
      </c>
      <c r="I6" s="3" t="inlineStr">
        <is>
          <t>第1ロット：雨漏り系</t>
        </is>
      </c>
      <c r="J6" s="3" t="inlineStr">
        <is>
          <t>雨漏り系</t>
        </is>
      </c>
      <c r="K6" s="3" t="inlineStr">
        <is>
          <t>雨漏り修理 費用
相場と注意点を解説</t>
        </is>
      </c>
      <c r="L6" s="3" t="inlineStr">
        <is>
          <t>matsuyama-leak-repair-cost</t>
        </is>
      </c>
      <c r="M6" s="3" t="inlineStr">
        <is>
          <t>matsuyama-leak-repair-cost.webp</t>
        </is>
      </c>
      <c r="N6" s="3" t="inlineStr">
        <is>
          <t>松山市 雨漏り修理 費用について、費用相場、内訳、金額が変わる要因、見積もり時の注意点をわかりやすく解説します。</t>
        </is>
      </c>
      <c r="O6" s="3" t="inlineStr">
        <is>
          <t>雨漏り修理</t>
        </is>
      </c>
      <c r="P6" s="3" t="inlineStr">
        <is>
          <t>松山市、雨漏り、費用、雨漏り修理</t>
        </is>
      </c>
      <c r="Q6" s="3" t="inlineStr">
        <is>
          <t>未着手</t>
        </is>
      </c>
      <c r="R6" s="3" t="inlineStr">
        <is>
          <t>未着手</t>
        </is>
      </c>
      <c r="S6" s="3" t="inlineStr">
        <is>
          <t>未着手</t>
        </is>
      </c>
      <c r="T6" s="3" t="inlineStr">
        <is>
          <t>未着手</t>
        </is>
      </c>
      <c r="U6" s="3" t="n"/>
      <c r="V6" s="3" t="inlineStr">
        <is>
          <t>中心記事「松山市の雨漏り修理」へリンク。関連：雨漏り費用・調査・屋根雨漏り。</t>
        </is>
      </c>
      <c r="W6" s="3" t="n"/>
    </row>
    <row r="7" ht="28.5" customHeight="1" s="24">
      <c r="A7" s="3" t="n">
        <v>6</v>
      </c>
      <c r="B7" s="3" t="inlineStr">
        <is>
          <t>松山市 雨漏り 原因</t>
        </is>
      </c>
      <c r="C7" s="3" t="inlineStr">
        <is>
          <t>松山市 雨漏り 原因</t>
        </is>
      </c>
      <c r="D7" s="3" t="inlineStr">
        <is>
          <t>松山市で多い雨漏りの原因とは？屋根・外壁・ベランダ別に解説</t>
        </is>
      </c>
      <c r="E7" s="3" t="inlineStr">
        <is>
          <t>雨漏り</t>
        </is>
      </c>
      <c r="F7" s="3" t="inlineStr">
        <is>
          <t>地域サービス型</t>
        </is>
      </c>
      <c r="G7" s="3" t="inlineStr">
        <is>
          <t>4,500〜6,500字</t>
        </is>
      </c>
      <c r="H7" s="3" t="inlineStr">
        <is>
          <t>高</t>
        </is>
      </c>
      <c r="I7" s="3" t="inlineStr">
        <is>
          <t>第1ロット：雨漏り系</t>
        </is>
      </c>
      <c r="J7" s="3" t="inlineStr">
        <is>
          <t>雨漏り系</t>
        </is>
      </c>
      <c r="K7" s="3" t="inlineStr">
        <is>
          <t>雨漏り 原因
放置リスクと対処法</t>
        </is>
      </c>
      <c r="L7" s="3" t="inlineStr">
        <is>
          <t>matsuyama-leak-cause</t>
        </is>
      </c>
      <c r="M7" s="3" t="inlineStr">
        <is>
          <t>matsuyama-leak-cause.webp</t>
        </is>
      </c>
      <c r="N7" s="3" t="inlineStr">
        <is>
          <t>松山市 雨漏り 原因について、主な原因、放置リスク、修理方法、業者選びのポイントを松山市で検討中の方向けに解説します。</t>
        </is>
      </c>
      <c r="O7" s="3" t="inlineStr">
        <is>
          <t>雨漏り修理</t>
        </is>
      </c>
      <c r="P7" s="3" t="inlineStr">
        <is>
          <t>松山市、雨漏り、雨漏り修理</t>
        </is>
      </c>
      <c r="Q7" s="3" t="inlineStr">
        <is>
          <t>未着手</t>
        </is>
      </c>
      <c r="R7" s="3" t="inlineStr">
        <is>
          <t>未着手</t>
        </is>
      </c>
      <c r="S7" s="3" t="inlineStr">
        <is>
          <t>未着手</t>
        </is>
      </c>
      <c r="T7" s="3" t="inlineStr">
        <is>
          <t>未着手</t>
        </is>
      </c>
      <c r="U7" s="3" t="n"/>
      <c r="V7" s="3" t="inlineStr">
        <is>
          <t>中心記事「松山市の雨漏り修理」へリンク。関連：雨漏り費用・調査・屋根雨漏り。</t>
        </is>
      </c>
      <c r="W7" s="3" t="n"/>
    </row>
    <row r="8" ht="28.5" customHeight="1" s="24">
      <c r="A8" s="3" t="n">
        <v>7</v>
      </c>
      <c r="B8" s="3" t="inlineStr">
        <is>
          <t>松山市 ベランダ雨漏り</t>
        </is>
      </c>
      <c r="C8" s="3" t="inlineStr">
        <is>
          <t>松山市 ベランダ雨漏り</t>
        </is>
      </c>
      <c r="D8" s="3" t="inlineStr">
        <is>
          <t>松山市のベランダ雨漏りはなぜ起こる？原因・修理費用・防水対策</t>
        </is>
      </c>
      <c r="E8" s="3" t="inlineStr">
        <is>
          <t>雨漏り</t>
        </is>
      </c>
      <c r="F8" s="3" t="inlineStr">
        <is>
          <t>地域サービス型</t>
        </is>
      </c>
      <c r="G8" s="3" t="inlineStr">
        <is>
          <t>4,500〜6,500字</t>
        </is>
      </c>
      <c r="H8" s="3" t="inlineStr">
        <is>
          <t>高</t>
        </is>
      </c>
      <c r="I8" s="3" t="inlineStr">
        <is>
          <t>第1ロット：雨漏り系</t>
        </is>
      </c>
      <c r="J8" s="3" t="inlineStr">
        <is>
          <t>雨漏り系</t>
        </is>
      </c>
      <c r="K8" s="3" t="inlineStr">
        <is>
          <t>松山市のベランダ雨漏り
症状・費用・注意点</t>
        </is>
      </c>
      <c r="L8" s="3" t="inlineStr">
        <is>
          <t>matsuyama-balcony-leak</t>
        </is>
      </c>
      <c r="M8" s="3" t="inlineStr">
        <is>
          <t>matsuyama-balcony-leak.webp</t>
        </is>
      </c>
      <c r="N8" s="3" t="inlineStr">
        <is>
          <t>松山市 ベランダ雨漏りについて、主な原因、放置リスク、修理方法、業者選びのポイントを松山市で検討中の方向けに解説します。</t>
        </is>
      </c>
      <c r="O8" s="3" t="inlineStr">
        <is>
          <t>雨漏り修理</t>
        </is>
      </c>
      <c r="P8" s="3" t="inlineStr">
        <is>
          <t>松山市、雨漏り、雨漏り修理</t>
        </is>
      </c>
      <c r="Q8" s="3" t="inlineStr">
        <is>
          <t>未着手</t>
        </is>
      </c>
      <c r="R8" s="3" t="inlineStr">
        <is>
          <t>未着手</t>
        </is>
      </c>
      <c r="S8" s="3" t="inlineStr">
        <is>
          <t>未着手</t>
        </is>
      </c>
      <c r="T8" s="3" t="inlineStr">
        <is>
          <t>未着手</t>
        </is>
      </c>
      <c r="U8" s="3" t="n"/>
      <c r="V8" s="3" t="inlineStr">
        <is>
          <t>中心記事「松山市の雨漏り修理」へリンク。関連：雨漏り費用・調査・屋根雨漏り。</t>
        </is>
      </c>
      <c r="W8" s="3" t="n"/>
    </row>
    <row r="9" ht="28.5" customHeight="1" s="24">
      <c r="A9" s="3" t="n">
        <v>8</v>
      </c>
      <c r="B9" s="3" t="inlineStr">
        <is>
          <t>松山市 サッシ雨漏り</t>
        </is>
      </c>
      <c r="C9" s="3" t="inlineStr">
        <is>
          <t>松山市 サッシ雨漏り</t>
        </is>
      </c>
      <c r="D9" s="3" t="inlineStr">
        <is>
          <t>松山市のサッシ雨漏りの原因とは？窓まわりの補修方法を解説</t>
        </is>
      </c>
      <c r="E9" s="3" t="inlineStr">
        <is>
          <t>雨漏り</t>
        </is>
      </c>
      <c r="F9" s="3" t="inlineStr">
        <is>
          <t>地域サービス型</t>
        </is>
      </c>
      <c r="G9" s="3" t="inlineStr">
        <is>
          <t>4,500〜6,500字</t>
        </is>
      </c>
      <c r="H9" s="3" t="inlineStr">
        <is>
          <t>高</t>
        </is>
      </c>
      <c r="I9" s="3" t="inlineStr">
        <is>
          <t>第1ロット：雨漏り系</t>
        </is>
      </c>
      <c r="J9" s="3" t="inlineStr">
        <is>
          <t>雨漏り系</t>
        </is>
      </c>
      <c r="K9" s="3" t="inlineStr">
        <is>
          <t>松山市のサッシ雨漏り
症状・費用・注意点</t>
        </is>
      </c>
      <c r="L9" s="3" t="inlineStr">
        <is>
          <t>matsuyama-sash-leak</t>
        </is>
      </c>
      <c r="M9" s="3" t="inlineStr">
        <is>
          <t>matsuyama-sash-leak.webp</t>
        </is>
      </c>
      <c r="N9" s="3" t="inlineStr">
        <is>
          <t>松山市 サッシ雨漏りについて、主な原因、放置リスク、修理方法、業者選びのポイントを松山市で検討中の方向けに解説します。</t>
        </is>
      </c>
      <c r="O9" s="3" t="inlineStr">
        <is>
          <t>雨漏り修理</t>
        </is>
      </c>
      <c r="P9" s="3" t="inlineStr">
        <is>
          <t>松山市、雨漏り、雨漏り修理</t>
        </is>
      </c>
      <c r="Q9" s="3" t="inlineStr">
        <is>
          <t>未着手</t>
        </is>
      </c>
      <c r="R9" s="3" t="inlineStr">
        <is>
          <t>未着手</t>
        </is>
      </c>
      <c r="S9" s="3" t="inlineStr">
        <is>
          <t>未着手</t>
        </is>
      </c>
      <c r="T9" s="3" t="inlineStr">
        <is>
          <t>未着手</t>
        </is>
      </c>
      <c r="U9" s="3" t="n"/>
      <c r="V9" s="3" t="inlineStr">
        <is>
          <t>中心記事「松山市の雨漏り修理」へリンク。関連：雨漏り費用・調査・屋根雨漏り。</t>
        </is>
      </c>
      <c r="W9" s="3" t="n"/>
    </row>
    <row r="10" ht="28.5" customHeight="1" s="24">
      <c r="A10" s="3" t="n">
        <v>9</v>
      </c>
      <c r="B10" s="3" t="inlineStr">
        <is>
          <t>松山市 外壁雨漏り</t>
        </is>
      </c>
      <c r="C10" s="3" t="inlineStr">
        <is>
          <t>松山市 外壁雨漏り</t>
        </is>
      </c>
      <c r="D10" s="3" t="inlineStr">
        <is>
          <t>松山市の外壁雨漏りの原因と対策｜ひび割れ・シーリング劣化に注意</t>
        </is>
      </c>
      <c r="E10" s="3" t="inlineStr">
        <is>
          <t>雨漏り</t>
        </is>
      </c>
      <c r="F10" s="3" t="inlineStr">
        <is>
          <t>地域サービス型</t>
        </is>
      </c>
      <c r="G10" s="3" t="inlineStr">
        <is>
          <t>4,500〜6,500字</t>
        </is>
      </c>
      <c r="H10" s="3" t="inlineStr">
        <is>
          <t>高</t>
        </is>
      </c>
      <c r="I10" s="3" t="inlineStr">
        <is>
          <t>第1ロット：雨漏り系</t>
        </is>
      </c>
      <c r="J10" s="3" t="inlineStr">
        <is>
          <t>雨漏り系</t>
        </is>
      </c>
      <c r="K10" s="3" t="inlineStr">
        <is>
          <t>松山市の外壁雨漏り
症状・費用・注意点</t>
        </is>
      </c>
      <c r="L10" s="3" t="inlineStr">
        <is>
          <t>matsuyama-exterior-wall-leak</t>
        </is>
      </c>
      <c r="M10" s="3" t="inlineStr">
        <is>
          <t>matsuyama-exterior-wall-leak.webp</t>
        </is>
      </c>
      <c r="N10" s="3" t="inlineStr">
        <is>
          <t>松山市 外壁雨漏りについて、主な原因、放置リスク、修理方法、業者選びのポイントを松山市で検討中の方向けに解説します。</t>
        </is>
      </c>
      <c r="O10" s="3" t="inlineStr">
        <is>
          <t>雨漏り修理</t>
        </is>
      </c>
      <c r="P10" s="3" t="inlineStr">
        <is>
          <t>松山市、雨漏り、雨漏り修理</t>
        </is>
      </c>
      <c r="Q10" s="3" t="inlineStr">
        <is>
          <t>未着手</t>
        </is>
      </c>
      <c r="R10" s="3" t="inlineStr">
        <is>
          <t>未着手</t>
        </is>
      </c>
      <c r="S10" s="3" t="inlineStr">
        <is>
          <t>未着手</t>
        </is>
      </c>
      <c r="T10" s="3" t="inlineStr">
        <is>
          <t>未着手</t>
        </is>
      </c>
      <c r="U10" s="3" t="n"/>
      <c r="V10" s="3" t="inlineStr">
        <is>
          <t>中心記事「松山市の雨漏り修理」へリンク。関連：雨漏り費用・調査・屋根雨漏り。</t>
        </is>
      </c>
      <c r="W10" s="3" t="n"/>
    </row>
    <row r="11" ht="28.5" customHeight="1" s="24">
      <c r="A11" s="3" t="n">
        <v>10</v>
      </c>
      <c r="B11" s="3" t="inlineStr">
        <is>
          <t>松山市 屋根雨漏り</t>
        </is>
      </c>
      <c r="C11" s="3" t="inlineStr">
        <is>
          <t>松山市 屋根雨漏り</t>
        </is>
      </c>
      <c r="D11" s="3" t="inlineStr">
        <is>
          <t>松山市の屋根雨漏りは早めの修理が重要｜原因・費用・業者選び</t>
        </is>
      </c>
      <c r="E11" s="3" t="inlineStr">
        <is>
          <t>雨漏り</t>
        </is>
      </c>
      <c r="F11" s="3" t="inlineStr">
        <is>
          <t>地域サービス型</t>
        </is>
      </c>
      <c r="G11" s="3" t="inlineStr">
        <is>
          <t>4,500〜6,500字</t>
        </is>
      </c>
      <c r="H11" s="3" t="inlineStr">
        <is>
          <t>高</t>
        </is>
      </c>
      <c r="I11" s="3" t="inlineStr">
        <is>
          <t>第1ロット：雨漏り系</t>
        </is>
      </c>
      <c r="J11" s="3" t="inlineStr">
        <is>
          <t>雨漏り系</t>
        </is>
      </c>
      <c r="K11" s="3" t="inlineStr">
        <is>
          <t>松山市の屋根雨漏り
症状・費用・注意点</t>
        </is>
      </c>
      <c r="L11" s="3" t="inlineStr">
        <is>
          <t>matsuyama-roof-leak</t>
        </is>
      </c>
      <c r="M11" s="3" t="inlineStr">
        <is>
          <t>matsuyama-roof-leak.webp</t>
        </is>
      </c>
      <c r="N11" s="3" t="inlineStr">
        <is>
          <t>松山市 屋根雨漏りについて、主な原因、放置リスク、修理方法、業者選びのポイントを松山市で検討中の方向けに解説します。</t>
        </is>
      </c>
      <c r="O11" s="3" t="inlineStr">
        <is>
          <t>雨漏り修理</t>
        </is>
      </c>
      <c r="P11" s="3" t="inlineStr">
        <is>
          <t>松山市、雨漏り、雨漏り修理</t>
        </is>
      </c>
      <c r="Q11" s="3" t="inlineStr">
        <is>
          <t>未着手</t>
        </is>
      </c>
      <c r="R11" s="3" t="inlineStr">
        <is>
          <t>未着手</t>
        </is>
      </c>
      <c r="S11" s="3" t="inlineStr">
        <is>
          <t>未着手</t>
        </is>
      </c>
      <c r="T11" s="3" t="inlineStr">
        <is>
          <t>未着手</t>
        </is>
      </c>
      <c r="U11" s="3" t="n"/>
      <c r="V11" s="3" t="inlineStr">
        <is>
          <t>中心記事「松山市の雨漏り修理」へリンク。関連：雨漏り費用・調査・屋根雨漏り。</t>
        </is>
      </c>
      <c r="W11" s="3" t="n"/>
    </row>
    <row r="12" ht="28.5" customHeight="1" s="24">
      <c r="A12" s="3" t="n">
        <v>11</v>
      </c>
      <c r="B12" s="3" t="inlineStr">
        <is>
          <t>松山市 屋根修理</t>
        </is>
      </c>
      <c r="C12" s="3" t="inlineStr">
        <is>
          <t>松山市 屋根修理</t>
        </is>
      </c>
      <c r="D12" s="3" t="inlineStr">
        <is>
          <t>松山市の屋根修理はどこに頼む？症状別の対処法と費用目安</t>
        </is>
      </c>
      <c r="E12" s="3" t="inlineStr">
        <is>
          <t>屋根修理・屋根材</t>
        </is>
      </c>
      <c r="F12" s="3" t="inlineStr">
        <is>
          <t>地域サービス型</t>
        </is>
      </c>
      <c r="G12" s="3" t="inlineStr">
        <is>
          <t>5,000〜7,000字</t>
        </is>
      </c>
      <c r="H12" s="3" t="inlineStr">
        <is>
          <t>高</t>
        </is>
      </c>
      <c r="I12" s="3" t="inlineStr">
        <is>
          <t>第2ロット：屋根修理・屋根材系</t>
        </is>
      </c>
      <c r="J12" s="3" t="inlineStr">
        <is>
          <t>屋根修理系</t>
        </is>
      </c>
      <c r="K12" s="3" t="inlineStr">
        <is>
          <t>松山市の屋根修理
症状・費用・注意点</t>
        </is>
      </c>
      <c r="L12" s="3" t="inlineStr">
        <is>
          <t>matsuyama-roof-repair</t>
        </is>
      </c>
      <c r="M12" s="3" t="inlineStr">
        <is>
          <t>matsuyama-roof-repair.webp</t>
        </is>
      </c>
      <c r="N12" s="3" t="inlineStr">
        <is>
          <t>松山市 屋根修理について、劣化症状、修理方法、費用目安、依頼前に確認したいポイントをわかりやすく解説します。</t>
        </is>
      </c>
      <c r="O12" s="3" t="inlineStr">
        <is>
          <t>屋根修理</t>
        </is>
      </c>
      <c r="P12" s="3" t="inlineStr">
        <is>
          <t>松山市、屋根修理</t>
        </is>
      </c>
      <c r="Q12" s="3" t="inlineStr">
        <is>
          <t>未着手</t>
        </is>
      </c>
      <c r="R12" s="3" t="inlineStr">
        <is>
          <t>未着手</t>
        </is>
      </c>
      <c r="S12" s="3" t="inlineStr">
        <is>
          <t>未着手</t>
        </is>
      </c>
      <c r="T12" s="3" t="inlineStr">
        <is>
          <t>未着手</t>
        </is>
      </c>
      <c r="U12" s="3" t="n"/>
      <c r="V12" s="3" t="inlineStr">
        <is>
          <t>中心記事「松山市の屋根修理」へリンク。関連：屋根カバー・屋根材注意記事。</t>
        </is>
      </c>
      <c r="W12" s="3" t="n"/>
    </row>
    <row r="13" ht="28.5" customHeight="1" s="24">
      <c r="A13" s="3" t="n">
        <v>12</v>
      </c>
      <c r="B13" s="3" t="inlineStr">
        <is>
          <t>松山市 棟板金修理</t>
        </is>
      </c>
      <c r="C13" s="3" t="inlineStr">
        <is>
          <t>松山市 棟板金修理</t>
        </is>
      </c>
      <c r="D13" s="3" t="inlineStr">
        <is>
          <t>松山市の棟板金修理とは？浮き・釘抜け・雨漏りリスクを解説</t>
        </is>
      </c>
      <c r="E13" s="3" t="inlineStr">
        <is>
          <t>屋根修理・屋根材</t>
        </is>
      </c>
      <c r="F13" s="3" t="inlineStr">
        <is>
          <t>地域サービス型</t>
        </is>
      </c>
      <c r="G13" s="3" t="inlineStr">
        <is>
          <t>5,000〜7,000字</t>
        </is>
      </c>
      <c r="H13" s="3" t="inlineStr">
        <is>
          <t>高</t>
        </is>
      </c>
      <c r="I13" s="3" t="inlineStr">
        <is>
          <t>第2ロット：屋根修理・屋根材系</t>
        </is>
      </c>
      <c r="J13" s="3" t="inlineStr">
        <is>
          <t>屋根修理系</t>
        </is>
      </c>
      <c r="K13" s="3" t="inlineStr">
        <is>
          <t>松山市の棟板金修理
症状・費用・注意点</t>
        </is>
      </c>
      <c r="L13" s="3" t="inlineStr">
        <is>
          <t>matsuyama-ridge-flashing-repair</t>
        </is>
      </c>
      <c r="M13" s="3" t="inlineStr">
        <is>
          <t>matsuyama-ridge-flashing-repair.webp</t>
        </is>
      </c>
      <c r="N13" s="3" t="inlineStr">
        <is>
          <t>松山市 棟板金修理について、劣化症状、修理方法、費用目安、依頼前に確認したいポイントをわかりやすく解説します。</t>
        </is>
      </c>
      <c r="O13" s="3" t="inlineStr">
        <is>
          <t>屋根修理</t>
        </is>
      </c>
      <c r="P13" s="3" t="inlineStr">
        <is>
          <t>松山市、屋根修理</t>
        </is>
      </c>
      <c r="Q13" s="3" t="inlineStr">
        <is>
          <t>未着手</t>
        </is>
      </c>
      <c r="R13" s="3" t="inlineStr">
        <is>
          <t>未着手</t>
        </is>
      </c>
      <c r="S13" s="3" t="inlineStr">
        <is>
          <t>未着手</t>
        </is>
      </c>
      <c r="T13" s="3" t="inlineStr">
        <is>
          <t>未着手</t>
        </is>
      </c>
      <c r="U13" s="3" t="n"/>
      <c r="V13" s="3" t="inlineStr">
        <is>
          <t>中心記事「松山市の屋根修理」へリンク。関連：屋根カバー・屋根材注意記事。</t>
        </is>
      </c>
      <c r="W13" s="3" t="n"/>
    </row>
    <row r="14" ht="28.5" customHeight="1" s="24">
      <c r="A14" s="3" t="n">
        <v>13</v>
      </c>
      <c r="B14" s="3" t="inlineStr">
        <is>
          <t>松山市 谷板金修理</t>
        </is>
      </c>
      <c r="C14" s="3" t="inlineStr">
        <is>
          <t>松山市 谷板金修理</t>
        </is>
      </c>
      <c r="D14" s="3" t="inlineStr">
        <is>
          <t>松山市の谷板金修理が必要な症状｜雨漏り原因と費用目安</t>
        </is>
      </c>
      <c r="E14" s="3" t="inlineStr">
        <is>
          <t>屋根修理・屋根材</t>
        </is>
      </c>
      <c r="F14" s="3" t="inlineStr">
        <is>
          <t>地域サービス型</t>
        </is>
      </c>
      <c r="G14" s="3" t="inlineStr">
        <is>
          <t>5,000〜7,000字</t>
        </is>
      </c>
      <c r="H14" s="3" t="inlineStr">
        <is>
          <t>高</t>
        </is>
      </c>
      <c r="I14" s="3" t="inlineStr">
        <is>
          <t>第2ロット：屋根修理・屋根材系</t>
        </is>
      </c>
      <c r="J14" s="3" t="inlineStr">
        <is>
          <t>屋根修理系</t>
        </is>
      </c>
      <c r="K14" s="3" t="inlineStr">
        <is>
          <t>松山市の谷板金修理
症状・費用・注意点</t>
        </is>
      </c>
      <c r="L14" s="3" t="inlineStr">
        <is>
          <t>matsuyama-valley-flashing-repair</t>
        </is>
      </c>
      <c r="M14" s="3" t="inlineStr">
        <is>
          <t>matsuyama-valley-flashing-repair.webp</t>
        </is>
      </c>
      <c r="N14" s="3" t="inlineStr">
        <is>
          <t>松山市 谷板金修理について、劣化症状、修理方法、費用目安、依頼前に確認したいポイントをわかりやすく解説します。</t>
        </is>
      </c>
      <c r="O14" s="3" t="inlineStr">
        <is>
          <t>屋根修理</t>
        </is>
      </c>
      <c r="P14" s="3" t="inlineStr">
        <is>
          <t>松山市、屋根修理</t>
        </is>
      </c>
      <c r="Q14" s="3" t="inlineStr">
        <is>
          <t>未着手</t>
        </is>
      </c>
      <c r="R14" s="3" t="inlineStr">
        <is>
          <t>未着手</t>
        </is>
      </c>
      <c r="S14" s="3" t="inlineStr">
        <is>
          <t>未着手</t>
        </is>
      </c>
      <c r="T14" s="3" t="inlineStr">
        <is>
          <t>未着手</t>
        </is>
      </c>
      <c r="U14" s="3" t="n"/>
      <c r="V14" s="3" t="inlineStr">
        <is>
          <t>中心記事「松山市の屋根修理」へリンク。関連：屋根カバー・屋根材注意記事。</t>
        </is>
      </c>
      <c r="W14" s="3" t="n"/>
    </row>
    <row r="15" ht="28.5" customHeight="1" s="24">
      <c r="A15" s="3" t="n">
        <v>14</v>
      </c>
      <c r="B15" s="3" t="inlineStr">
        <is>
          <t>松山市 瓦修理</t>
        </is>
      </c>
      <c r="C15" s="3" t="inlineStr">
        <is>
          <t>松山市 瓦修理</t>
        </is>
      </c>
      <c r="D15" s="3" t="inlineStr">
        <is>
          <t>松山市の瓦修理はいつ必要？割れ・ズレ・雨漏りの対処法</t>
        </is>
      </c>
      <c r="E15" s="3" t="inlineStr">
        <is>
          <t>屋根修理・屋根材</t>
        </is>
      </c>
      <c r="F15" s="3" t="inlineStr">
        <is>
          <t>地域サービス型</t>
        </is>
      </c>
      <c r="G15" s="3" t="inlineStr">
        <is>
          <t>5,000〜7,000字</t>
        </is>
      </c>
      <c r="H15" s="3" t="inlineStr">
        <is>
          <t>高</t>
        </is>
      </c>
      <c r="I15" s="3" t="inlineStr">
        <is>
          <t>第2ロット：屋根修理・屋根材系</t>
        </is>
      </c>
      <c r="J15" s="3" t="inlineStr">
        <is>
          <t>屋根修理系</t>
        </is>
      </c>
      <c r="K15" s="3" t="inlineStr">
        <is>
          <t>松山市の瓦修理
症状・費用・注意点</t>
        </is>
      </c>
      <c r="L15" s="3" t="inlineStr">
        <is>
          <t>matsuyama-tile-roof-repair</t>
        </is>
      </c>
      <c r="M15" s="3" t="inlineStr">
        <is>
          <t>matsuyama-tile-roof-repair.webp</t>
        </is>
      </c>
      <c r="N15" s="3" t="inlineStr">
        <is>
          <t>松山市 瓦修理について、劣化症状、修理方法、費用目安、依頼前に確認したいポイントをわかりやすく解説します。</t>
        </is>
      </c>
      <c r="O15" s="3" t="inlineStr">
        <is>
          <t>屋根修理</t>
        </is>
      </c>
      <c r="P15" s="3" t="inlineStr">
        <is>
          <t>松山市、屋根修理</t>
        </is>
      </c>
      <c r="Q15" s="3" t="inlineStr">
        <is>
          <t>未着手</t>
        </is>
      </c>
      <c r="R15" s="3" t="inlineStr">
        <is>
          <t>未着手</t>
        </is>
      </c>
      <c r="S15" s="3" t="inlineStr">
        <is>
          <t>未着手</t>
        </is>
      </c>
      <c r="T15" s="3" t="inlineStr">
        <is>
          <t>未着手</t>
        </is>
      </c>
      <c r="U15" s="3" t="n"/>
      <c r="V15" s="3" t="inlineStr">
        <is>
          <t>中心記事「松山市の屋根修理」へリンク。関連：屋根カバー・屋根材注意記事。</t>
        </is>
      </c>
      <c r="W15" s="3" t="n"/>
    </row>
    <row r="16" ht="28.5" customHeight="1" s="24">
      <c r="A16" s="3" t="n">
        <v>15</v>
      </c>
      <c r="B16" s="3" t="inlineStr">
        <is>
          <t>松山市 漆喰補修</t>
        </is>
      </c>
      <c r="C16" s="3" t="inlineStr">
        <is>
          <t>松山市 漆喰補修</t>
        </is>
      </c>
      <c r="D16" s="3" t="inlineStr">
        <is>
          <t>松山市の漆喰補修とは？劣化症状・費用・雨漏り予防を解説</t>
        </is>
      </c>
      <c r="E16" s="3" t="inlineStr">
        <is>
          <t>屋根修理・屋根材</t>
        </is>
      </c>
      <c r="F16" s="3" t="inlineStr">
        <is>
          <t>地域サービス型</t>
        </is>
      </c>
      <c r="G16" s="3" t="inlineStr">
        <is>
          <t>5,000〜7,000字</t>
        </is>
      </c>
      <c r="H16" s="3" t="inlineStr">
        <is>
          <t>高</t>
        </is>
      </c>
      <c r="I16" s="3" t="inlineStr">
        <is>
          <t>第2ロット：屋根修理・屋根材系</t>
        </is>
      </c>
      <c r="J16" s="3" t="inlineStr">
        <is>
          <t>屋根修理系</t>
        </is>
      </c>
      <c r="K16" s="3" t="inlineStr">
        <is>
          <t>松山市の漆喰補修
症状・費用・注意点</t>
        </is>
      </c>
      <c r="L16" s="3" t="inlineStr">
        <is>
          <t>matsuyama-plaster-repair</t>
        </is>
      </c>
      <c r="M16" s="3" t="inlineStr">
        <is>
          <t>matsuyama-plaster-repair.webp</t>
        </is>
      </c>
      <c r="N16" s="3" t="inlineStr">
        <is>
          <t>松山市 漆喰補修について、劣化症状、修理方法、費用目安、依頼前に確認したいポイントをわかりやすく解説します。</t>
        </is>
      </c>
      <c r="O16" s="3" t="inlineStr">
        <is>
          <t>屋根修理</t>
        </is>
      </c>
      <c r="P16" s="3" t="inlineStr">
        <is>
          <t>松山市、屋根修理</t>
        </is>
      </c>
      <c r="Q16" s="3" t="inlineStr">
        <is>
          <t>未着手</t>
        </is>
      </c>
      <c r="R16" s="3" t="inlineStr">
        <is>
          <t>未着手</t>
        </is>
      </c>
      <c r="S16" s="3" t="inlineStr">
        <is>
          <t>未着手</t>
        </is>
      </c>
      <c r="T16" s="3" t="inlineStr">
        <is>
          <t>未着手</t>
        </is>
      </c>
      <c r="U16" s="3" t="n"/>
      <c r="V16" s="3" t="inlineStr">
        <is>
          <t>中心記事「松山市の屋根修理」へリンク。関連：屋根カバー・屋根材注意記事。</t>
        </is>
      </c>
      <c r="W16" s="3" t="n"/>
    </row>
    <row r="17" ht="28.5" customHeight="1" s="24">
      <c r="A17" s="3" t="n">
        <v>16</v>
      </c>
      <c r="B17" s="3" t="inlineStr">
        <is>
          <t>松山市 屋根リフォーム</t>
        </is>
      </c>
      <c r="C17" s="3" t="inlineStr">
        <is>
          <t>松山市 屋根リフォーム</t>
        </is>
      </c>
      <c r="D17" s="3" t="inlineStr">
        <is>
          <t>松山市の屋根リフォーム方法｜カバー工法・葺き替え・修理の違い</t>
        </is>
      </c>
      <c r="E17" s="3" t="inlineStr">
        <is>
          <t>屋根修理・屋根材</t>
        </is>
      </c>
      <c r="F17" s="3" t="inlineStr">
        <is>
          <t>地域サービス型</t>
        </is>
      </c>
      <c r="G17" s="3" t="inlineStr">
        <is>
          <t>5,000〜7,000字</t>
        </is>
      </c>
      <c r="H17" s="3" t="inlineStr">
        <is>
          <t>高</t>
        </is>
      </c>
      <c r="I17" s="3" t="inlineStr">
        <is>
          <t>第2ロット：屋根修理・屋根材系</t>
        </is>
      </c>
      <c r="J17" s="3" t="inlineStr">
        <is>
          <t>屋根修理系</t>
        </is>
      </c>
      <c r="K17" s="3" t="inlineStr">
        <is>
          <t>松山市の屋根リフォーム
症状・費用・注意点</t>
        </is>
      </c>
      <c r="L17" s="3" t="inlineStr">
        <is>
          <t>matsuyama-roof-remodel</t>
        </is>
      </c>
      <c r="M17" s="3" t="inlineStr">
        <is>
          <t>matsuyama-roof-remodel.webp</t>
        </is>
      </c>
      <c r="N17" s="3" t="inlineStr">
        <is>
          <t>松山市 屋根リフォームについて、劣化症状、修理方法、費用目安、依頼前に確認したいポイントをわかりやすく解説します。</t>
        </is>
      </c>
      <c r="O17" s="3" t="inlineStr">
        <is>
          <t>屋根修理</t>
        </is>
      </c>
      <c r="P17" s="3" t="inlineStr">
        <is>
          <t>松山市、屋根修理</t>
        </is>
      </c>
      <c r="Q17" s="3" t="inlineStr">
        <is>
          <t>未着手</t>
        </is>
      </c>
      <c r="R17" s="3" t="inlineStr">
        <is>
          <t>未着手</t>
        </is>
      </c>
      <c r="S17" s="3" t="inlineStr">
        <is>
          <t>未着手</t>
        </is>
      </c>
      <c r="T17" s="3" t="inlineStr">
        <is>
          <t>未着手</t>
        </is>
      </c>
      <c r="U17" s="3" t="n"/>
      <c r="V17" s="3" t="inlineStr">
        <is>
          <t>中心記事「松山市の屋根修理」へリンク。関連：屋根カバー・屋根材注意記事。</t>
        </is>
      </c>
      <c r="W17" s="3" t="n"/>
    </row>
    <row r="18" ht="28.5" customHeight="1" s="24">
      <c r="A18" s="3" t="n">
        <v>17</v>
      </c>
      <c r="B18" s="3" t="inlineStr">
        <is>
          <t>松山市 ガルテクト</t>
        </is>
      </c>
      <c r="C18" s="3" t="inlineStr">
        <is>
          <t>松山市 ガルテクト</t>
        </is>
      </c>
      <c r="D18" s="3" t="inlineStr">
        <is>
          <t>松山市でガルテクトを使う屋根工事｜特徴・費用・注意点</t>
        </is>
      </c>
      <c r="E18" s="3" t="inlineStr">
        <is>
          <t>屋根修理・屋根材</t>
        </is>
      </c>
      <c r="F18" s="3" t="inlineStr">
        <is>
          <t>屋根材注意型</t>
        </is>
      </c>
      <c r="G18" s="3" t="inlineStr">
        <is>
          <t>5,000〜7,000字</t>
        </is>
      </c>
      <c r="H18" s="3" t="inlineStr">
        <is>
          <t>高</t>
        </is>
      </c>
      <c r="I18" s="3" t="inlineStr">
        <is>
          <t>第2ロット：屋根修理・屋根材系</t>
        </is>
      </c>
      <c r="J18" s="3" t="inlineStr">
        <is>
          <t>屋根修理系</t>
        </is>
      </c>
      <c r="K18" s="3" t="inlineStr">
        <is>
          <t>松山市のガルテクト
症状・費用・注意点</t>
        </is>
      </c>
      <c r="L18" s="3" t="inlineStr">
        <is>
          <t>matsuyama-galtect</t>
        </is>
      </c>
      <c r="M18" s="3" t="inlineStr">
        <is>
          <t>matsuyama-galtect.webp</t>
        </is>
      </c>
      <c r="N18" s="3" t="inlineStr">
        <is>
          <t>松山市 ガルテクトについて、劣化症状、修理方法、費用目安、依頼前に確認したいポイントをわかりやすく解説します。</t>
        </is>
      </c>
      <c r="O18" s="3" t="inlineStr">
        <is>
          <t>屋根修理</t>
        </is>
      </c>
      <c r="P18" s="3" t="inlineStr">
        <is>
          <t>松山市、屋根修理</t>
        </is>
      </c>
      <c r="Q18" s="3" t="inlineStr">
        <is>
          <t>未着手</t>
        </is>
      </c>
      <c r="R18" s="3" t="inlineStr">
        <is>
          <t>未着手</t>
        </is>
      </c>
      <c r="S18" s="3" t="inlineStr">
        <is>
          <t>未着手</t>
        </is>
      </c>
      <c r="T18" s="3" t="inlineStr">
        <is>
          <t>未着手</t>
        </is>
      </c>
      <c r="U18" s="3" t="n"/>
      <c r="V18" s="3" t="inlineStr">
        <is>
          <t>中心記事「松山市の屋根修理」へリンク。関連：屋根カバー・屋根材注意記事。</t>
        </is>
      </c>
      <c r="W18" s="3" t="n"/>
    </row>
    <row r="19" ht="28.5" customHeight="1" s="24">
      <c r="A19" s="3" t="n">
        <v>18</v>
      </c>
      <c r="B19" s="3" t="inlineStr">
        <is>
          <t>松山市 ヴェルウッド</t>
        </is>
      </c>
      <c r="C19" s="3" t="inlineStr">
        <is>
          <t>松山市 ヴェルウッド</t>
        </is>
      </c>
      <c r="D19" s="3" t="inlineStr">
        <is>
          <t>松山市でヴェルウッドを使う屋根工事｜特徴・注意点を解説</t>
        </is>
      </c>
      <c r="E19" s="3" t="inlineStr">
        <is>
          <t>屋根修理・屋根材</t>
        </is>
      </c>
      <c r="F19" s="3" t="inlineStr">
        <is>
          <t>屋根材注意型</t>
        </is>
      </c>
      <c r="G19" s="3" t="inlineStr">
        <is>
          <t>5,000〜7,000字</t>
        </is>
      </c>
      <c r="H19" s="3" t="inlineStr">
        <is>
          <t>高</t>
        </is>
      </c>
      <c r="I19" s="3" t="inlineStr">
        <is>
          <t>第2ロット：屋根修理・屋根材系</t>
        </is>
      </c>
      <c r="J19" s="3" t="inlineStr">
        <is>
          <t>屋根修理系</t>
        </is>
      </c>
      <c r="K19" s="3" t="inlineStr">
        <is>
          <t>松山市のヴェルウッド
症状・費用・注意点</t>
        </is>
      </c>
      <c r="L19" s="3" t="inlineStr">
        <is>
          <t>matsuyama-velwood</t>
        </is>
      </c>
      <c r="M19" s="3" t="inlineStr">
        <is>
          <t>matsuyama-velwood.webp</t>
        </is>
      </c>
      <c r="N19" s="3" t="inlineStr">
        <is>
          <t>松山市 ヴェルウッドについて、劣化症状、修理方法、費用目安、依頼前に確認したいポイントをわかりやすく解説します。</t>
        </is>
      </c>
      <c r="O19" s="3" t="inlineStr">
        <is>
          <t>屋根修理</t>
        </is>
      </c>
      <c r="P19" s="3" t="inlineStr">
        <is>
          <t>松山市、屋根修理</t>
        </is>
      </c>
      <c r="Q19" s="3" t="inlineStr">
        <is>
          <t>未着手</t>
        </is>
      </c>
      <c r="R19" s="3" t="inlineStr">
        <is>
          <t>未着手</t>
        </is>
      </c>
      <c r="S19" s="3" t="inlineStr">
        <is>
          <t>未着手</t>
        </is>
      </c>
      <c r="T19" s="3" t="inlineStr">
        <is>
          <t>未着手</t>
        </is>
      </c>
      <c r="U19" s="3" t="n"/>
      <c r="V19" s="3" t="inlineStr">
        <is>
          <t>中心記事「松山市の屋根修理」へリンク。関連：屋根カバー・屋根材注意記事。</t>
        </is>
      </c>
      <c r="W19" s="3" t="n"/>
    </row>
    <row r="20" ht="28.5" customHeight="1" s="24">
      <c r="A20" s="3" t="n">
        <v>19</v>
      </c>
      <c r="B20" s="3" t="inlineStr">
        <is>
          <t>松山市 パミール屋根</t>
        </is>
      </c>
      <c r="C20" s="3" t="inlineStr">
        <is>
          <t>松山市 パミール屋根</t>
        </is>
      </c>
      <c r="D20" s="3" t="inlineStr">
        <is>
          <t>松山市のパミール屋根は塗装できる？劣化症状と対策を解説</t>
        </is>
      </c>
      <c r="E20" s="3" t="inlineStr">
        <is>
          <t>屋根修理・屋根材</t>
        </is>
      </c>
      <c r="F20" s="3" t="inlineStr">
        <is>
          <t>屋根材注意型</t>
        </is>
      </c>
      <c r="G20" s="3" t="inlineStr">
        <is>
          <t>5,000〜7,000字</t>
        </is>
      </c>
      <c r="H20" s="3" t="inlineStr">
        <is>
          <t>高</t>
        </is>
      </c>
      <c r="I20" s="3" t="inlineStr">
        <is>
          <t>第2ロット：屋根修理・屋根材系</t>
        </is>
      </c>
      <c r="J20" s="3" t="inlineStr">
        <is>
          <t>屋根修理系</t>
        </is>
      </c>
      <c r="K20" s="3" t="inlineStr">
        <is>
          <t>松山市のパミール屋根
症状・費用・注意点</t>
        </is>
      </c>
      <c r="L20" s="3" t="inlineStr">
        <is>
          <t>matsuyama-pamir-roof</t>
        </is>
      </c>
      <c r="M20" s="3" t="inlineStr">
        <is>
          <t>matsuyama-pamir-roof.webp</t>
        </is>
      </c>
      <c r="N20" s="3" t="inlineStr">
        <is>
          <t>松山市 パミール屋根について、劣化症状、修理方法、費用目安、依頼前に確認したいポイントをわかりやすく解説します。</t>
        </is>
      </c>
      <c r="O20" s="3" t="inlineStr">
        <is>
          <t>屋根修理</t>
        </is>
      </c>
      <c r="P20" s="3" t="inlineStr">
        <is>
          <t>松山市、屋根修理</t>
        </is>
      </c>
      <c r="Q20" s="3" t="inlineStr">
        <is>
          <t>未着手</t>
        </is>
      </c>
      <c r="R20" s="3" t="inlineStr">
        <is>
          <t>未着手</t>
        </is>
      </c>
      <c r="S20" s="3" t="inlineStr">
        <is>
          <t>未着手</t>
        </is>
      </c>
      <c r="T20" s="3" t="inlineStr">
        <is>
          <t>未着手</t>
        </is>
      </c>
      <c r="U20" s="3" t="n"/>
      <c r="V20" s="3" t="inlineStr">
        <is>
          <t>中心記事「松山市の屋根修理」へリンク。関連：屋根カバー・屋根材注意記事。</t>
        </is>
      </c>
      <c r="W20" s="3" t="n"/>
    </row>
    <row r="21" ht="42.75" customHeight="1" s="24">
      <c r="A21" s="3" t="n">
        <v>20</v>
      </c>
      <c r="B21" s="3" t="inlineStr">
        <is>
          <t>パナソニックホームズ 外壁塗装 松山市</t>
        </is>
      </c>
      <c r="C21" s="3" t="inlineStr">
        <is>
          <t>パナソニックホームズ 外壁塗装 松山市</t>
        </is>
      </c>
      <c r="D21" s="3" t="inlineStr">
        <is>
          <t>パナソニックホームズの外壁塗装を松山市で行う際の注意点を解説</t>
        </is>
      </c>
      <c r="E21" s="3" t="inlineStr">
        <is>
          <t>ハウスメーカー外壁塗装</t>
        </is>
      </c>
      <c r="F21" s="3" t="inlineStr">
        <is>
          <t>ハウスメーカー型</t>
        </is>
      </c>
      <c r="G21" s="3" t="inlineStr">
        <is>
          <t>4,500〜6,000字</t>
        </is>
      </c>
      <c r="H21" s="3" t="inlineStr">
        <is>
          <t>中</t>
        </is>
      </c>
      <c r="I21" s="3" t="inlineStr">
        <is>
          <t>第3ロット：外壁塗装・防水系</t>
        </is>
      </c>
      <c r="J21" s="3" t="inlineStr">
        <is>
          <t>外壁塗装系</t>
        </is>
      </c>
      <c r="K21" s="3" t="inlineStr">
        <is>
          <t>パナソニックホームズ 外壁塗装 松山市
症状・費用・注意点</t>
        </is>
      </c>
      <c r="L21" s="3" t="inlineStr">
        <is>
          <t>panasonic-homes-exterior-paint-matsuyama</t>
        </is>
      </c>
      <c r="M21" s="3" t="inlineStr">
        <is>
          <t>panasonic-homes-exterior-paint-matsuyama.webp</t>
        </is>
      </c>
      <c r="N21" s="3" t="inlineStr">
        <is>
          <t>パナソニックホームズ 外壁塗装 松山市について、特徴、注意点、費用目安、業者選びのポイントを初心者にもわかりやすく解説します。</t>
        </is>
      </c>
      <c r="O21" s="3" t="inlineStr">
        <is>
          <t>外壁塗装</t>
        </is>
      </c>
      <c r="P21" s="3" t="inlineStr">
        <is>
          <t>松山市、外壁塗装</t>
        </is>
      </c>
      <c r="Q21" s="3" t="inlineStr">
        <is>
          <t>未着手</t>
        </is>
      </c>
      <c r="R21" s="3" t="inlineStr">
        <is>
          <t>未着手</t>
        </is>
      </c>
      <c r="S21" s="3" t="inlineStr">
        <is>
          <t>未着手</t>
        </is>
      </c>
      <c r="T21" s="3" t="inlineStr">
        <is>
          <t>未着手</t>
        </is>
      </c>
      <c r="U21" s="3" t="n"/>
      <c r="V21" s="3" t="inlineStr">
        <is>
          <t>関連：外壁塗装工期、足場代、防水工事、屋根カバーへリンク。</t>
        </is>
      </c>
      <c r="W21" s="3" t="n"/>
    </row>
    <row r="22" ht="28.5" customHeight="1" s="24">
      <c r="A22" s="3" t="n">
        <v>21</v>
      </c>
      <c r="B22" s="3" t="inlineStr">
        <is>
          <t>レオハウス 外壁塗装 松山市</t>
        </is>
      </c>
      <c r="C22" s="3" t="inlineStr">
        <is>
          <t>レオハウス 外壁塗装 松山市</t>
        </is>
      </c>
      <c r="D22" s="3" t="inlineStr">
        <is>
          <t>レオハウスの外壁塗装を松山市で行う際の注意点を解説</t>
        </is>
      </c>
      <c r="E22" s="3" t="inlineStr">
        <is>
          <t>ハウスメーカー外壁塗装</t>
        </is>
      </c>
      <c r="F22" s="3" t="inlineStr">
        <is>
          <t>ハウスメーカー型</t>
        </is>
      </c>
      <c r="G22" s="3" t="inlineStr">
        <is>
          <t>4,500〜6,000字</t>
        </is>
      </c>
      <c r="H22" s="3" t="inlineStr">
        <is>
          <t>中</t>
        </is>
      </c>
      <c r="I22" s="3" t="inlineStr">
        <is>
          <t>第3ロット：外壁塗装・防水系</t>
        </is>
      </c>
      <c r="J22" s="3" t="inlineStr">
        <is>
          <t>外壁塗装系</t>
        </is>
      </c>
      <c r="K22" s="3" t="inlineStr">
        <is>
          <t>レオハウス 外壁塗装 松山市
症状・費用・注意点</t>
        </is>
      </c>
      <c r="L22" s="3" t="inlineStr">
        <is>
          <t>leo-house-exterior-paint-matsuyama</t>
        </is>
      </c>
      <c r="M22" s="3" t="inlineStr">
        <is>
          <t>leo-house-exterior-paint-matsuyama.webp</t>
        </is>
      </c>
      <c r="N22" s="3" t="inlineStr">
        <is>
          <t>レオハウス 外壁塗装 松山市について、特徴、注意点、費用目安、業者選びのポイントを初心者にもわかりやすく解説します。</t>
        </is>
      </c>
      <c r="O22" s="3" t="inlineStr">
        <is>
          <t>外壁塗装</t>
        </is>
      </c>
      <c r="P22" s="3" t="inlineStr">
        <is>
          <t>松山市、外壁塗装</t>
        </is>
      </c>
      <c r="Q22" s="3" t="inlineStr">
        <is>
          <t>未着手</t>
        </is>
      </c>
      <c r="R22" s="3" t="inlineStr">
        <is>
          <t>未着手</t>
        </is>
      </c>
      <c r="S22" s="3" t="inlineStr">
        <is>
          <t>未着手</t>
        </is>
      </c>
      <c r="T22" s="3" t="inlineStr">
        <is>
          <t>未着手</t>
        </is>
      </c>
      <c r="U22" s="3" t="n"/>
      <c r="V22" s="3" t="inlineStr">
        <is>
          <t>関連：外壁塗装工期、足場代、防水工事、屋根カバーへリンク。</t>
        </is>
      </c>
      <c r="W22" s="3" t="n"/>
    </row>
    <row r="23" ht="28.5" customHeight="1" s="24">
      <c r="A23" s="3" t="n">
        <v>22</v>
      </c>
      <c r="B23" s="3" t="inlineStr">
        <is>
          <t>アットハウジング 外壁塗装 松山市</t>
        </is>
      </c>
      <c r="C23" s="3" t="inlineStr">
        <is>
          <t>アットハウジング 外壁塗装 松山市</t>
        </is>
      </c>
      <c r="D23" s="3" t="inlineStr">
        <is>
          <t>アットハウジングの外壁塗装を松山市で行う際の注意点を解説</t>
        </is>
      </c>
      <c r="E23" s="3" t="inlineStr">
        <is>
          <t>ハウスメーカー外壁塗装</t>
        </is>
      </c>
      <c r="F23" s="3" t="inlineStr">
        <is>
          <t>ハウスメーカー型</t>
        </is>
      </c>
      <c r="G23" s="3" t="inlineStr">
        <is>
          <t>4,500〜6,000字</t>
        </is>
      </c>
      <c r="H23" s="3" t="inlineStr">
        <is>
          <t>中</t>
        </is>
      </c>
      <c r="I23" s="3" t="inlineStr">
        <is>
          <t>第3ロット：外壁塗装・防水系</t>
        </is>
      </c>
      <c r="J23" s="3" t="inlineStr">
        <is>
          <t>外壁塗装系</t>
        </is>
      </c>
      <c r="K23" s="3" t="inlineStr">
        <is>
          <t>アットハウジング 外壁塗装 松山市
症状・費用・注意点</t>
        </is>
      </c>
      <c r="L23" s="3" t="inlineStr">
        <is>
          <t>at-housing-exterior-paint-matsuyama</t>
        </is>
      </c>
      <c r="M23" s="3" t="inlineStr">
        <is>
          <t>at-housing-exterior-paint-matsuyama.webp</t>
        </is>
      </c>
      <c r="N23" s="3" t="inlineStr">
        <is>
          <t>アットハウジング 外壁塗装 松山市について、特徴、注意点、費用目安、業者選びのポイントを初心者にもわかりやすく解説します。</t>
        </is>
      </c>
      <c r="O23" s="3" t="inlineStr">
        <is>
          <t>外壁塗装</t>
        </is>
      </c>
      <c r="P23" s="3" t="inlineStr">
        <is>
          <t>松山市、外壁塗装</t>
        </is>
      </c>
      <c r="Q23" s="3" t="inlineStr">
        <is>
          <t>未着手</t>
        </is>
      </c>
      <c r="R23" s="3" t="inlineStr">
        <is>
          <t>未着手</t>
        </is>
      </c>
      <c r="S23" s="3" t="inlineStr">
        <is>
          <t>未着手</t>
        </is>
      </c>
      <c r="T23" s="3" t="inlineStr">
        <is>
          <t>未着手</t>
        </is>
      </c>
      <c r="U23" s="3" t="n"/>
      <c r="V23" s="3" t="inlineStr">
        <is>
          <t>関連：外壁塗装工期、足場代、防水工事、屋根カバーへリンク。</t>
        </is>
      </c>
      <c r="W23" s="3" t="n"/>
    </row>
    <row r="24" ht="28.5" customHeight="1" s="24">
      <c r="A24" s="3" t="n">
        <v>23</v>
      </c>
      <c r="B24" s="3" t="inlineStr">
        <is>
          <t>日本ハウスHD 外壁塗装 松山市</t>
        </is>
      </c>
      <c r="C24" s="3" t="inlineStr">
        <is>
          <t>日本ハウスHD 外壁塗装 松山市</t>
        </is>
      </c>
      <c r="D24" s="3" t="inlineStr">
        <is>
          <t>日本ハウスHDの外壁塗装を松山市で行う際の注意点を解説</t>
        </is>
      </c>
      <c r="E24" s="3" t="inlineStr">
        <is>
          <t>ハウスメーカー外壁塗装</t>
        </is>
      </c>
      <c r="F24" s="3" t="inlineStr">
        <is>
          <t>ハウスメーカー型</t>
        </is>
      </c>
      <c r="G24" s="3" t="inlineStr">
        <is>
          <t>4,500〜6,000字</t>
        </is>
      </c>
      <c r="H24" s="3" t="inlineStr">
        <is>
          <t>中</t>
        </is>
      </c>
      <c r="I24" s="3" t="inlineStr">
        <is>
          <t>第3ロット：外壁塗装・防水系</t>
        </is>
      </c>
      <c r="J24" s="3" t="inlineStr">
        <is>
          <t>外壁塗装系</t>
        </is>
      </c>
      <c r="K24" s="3" t="inlineStr">
        <is>
          <t>日本ハウスHD 外壁塗装 松山市
症状・費用・注意点</t>
        </is>
      </c>
      <c r="L24" s="3" t="inlineStr">
        <is>
          <t>nihon-house-hd-exterior-paint-matsuyama</t>
        </is>
      </c>
      <c r="M24" s="3" t="inlineStr">
        <is>
          <t>nihon-house-hd-exterior-paint-matsuyama.webp</t>
        </is>
      </c>
      <c r="N24" s="3" t="inlineStr">
        <is>
          <t>日本ハウスHD 外壁塗装 松山市について、特徴、注意点、費用目安、業者選びのポイントを初心者にもわかりやすく解説します。</t>
        </is>
      </c>
      <c r="O24" s="3" t="inlineStr">
        <is>
          <t>外壁塗装</t>
        </is>
      </c>
      <c r="P24" s="3" t="inlineStr">
        <is>
          <t>松山市、外壁塗装</t>
        </is>
      </c>
      <c r="Q24" s="3" t="inlineStr">
        <is>
          <t>未着手</t>
        </is>
      </c>
      <c r="R24" s="3" t="inlineStr">
        <is>
          <t>未着手</t>
        </is>
      </c>
      <c r="S24" s="3" t="inlineStr">
        <is>
          <t>未着手</t>
        </is>
      </c>
      <c r="T24" s="3" t="inlineStr">
        <is>
          <t>未着手</t>
        </is>
      </c>
      <c r="U24" s="3" t="n"/>
      <c r="V24" s="3" t="inlineStr">
        <is>
          <t>関連：外壁塗装工期、足場代、防水工事、屋根カバーへリンク。</t>
        </is>
      </c>
      <c r="W24" s="3" t="n"/>
    </row>
    <row r="25" ht="28.5" customHeight="1" s="24">
      <c r="A25" s="3" t="n">
        <v>24</v>
      </c>
      <c r="B25" s="3" t="inlineStr">
        <is>
          <t>アイフルホーム 外壁塗装 松山市</t>
        </is>
      </c>
      <c r="C25" s="3" t="inlineStr">
        <is>
          <t>アイフルホーム 外壁塗装 松山市</t>
        </is>
      </c>
      <c r="D25" s="3" t="inlineStr">
        <is>
          <t>アイフルホームの外壁塗装を松山市で行う際の注意点を解説</t>
        </is>
      </c>
      <c r="E25" s="3" t="inlineStr">
        <is>
          <t>ハウスメーカー外壁塗装</t>
        </is>
      </c>
      <c r="F25" s="3" t="inlineStr">
        <is>
          <t>ハウスメーカー型</t>
        </is>
      </c>
      <c r="G25" s="3" t="inlineStr">
        <is>
          <t>4,500〜6,000字</t>
        </is>
      </c>
      <c r="H25" s="3" t="inlineStr">
        <is>
          <t>中</t>
        </is>
      </c>
      <c r="I25" s="3" t="inlineStr">
        <is>
          <t>第3ロット：外壁塗装・防水系</t>
        </is>
      </c>
      <c r="J25" s="3" t="inlineStr">
        <is>
          <t>外壁塗装系</t>
        </is>
      </c>
      <c r="K25" s="3" t="inlineStr">
        <is>
          <t>アイフルホーム 外壁塗装 松山市
症状・費用・注意点</t>
        </is>
      </c>
      <c r="L25" s="3" t="inlineStr">
        <is>
          <t>eyeful-home-exterior-paint-matsuyama</t>
        </is>
      </c>
      <c r="M25" s="3" t="inlineStr">
        <is>
          <t>eyeful-home-exterior-paint-matsuyama.webp</t>
        </is>
      </c>
      <c r="N25" s="3" t="inlineStr">
        <is>
          <t>アイフルホーム 外壁塗装 松山市について、特徴、注意点、費用目安、業者選びのポイントを初心者にもわかりやすく解説します。</t>
        </is>
      </c>
      <c r="O25" s="3" t="inlineStr">
        <is>
          <t>外壁塗装</t>
        </is>
      </c>
      <c r="P25" s="3" t="inlineStr">
        <is>
          <t>松山市、外壁塗装</t>
        </is>
      </c>
      <c r="Q25" s="3" t="inlineStr">
        <is>
          <t>未着手</t>
        </is>
      </c>
      <c r="R25" s="3" t="inlineStr">
        <is>
          <t>未着手</t>
        </is>
      </c>
      <c r="S25" s="3" t="inlineStr">
        <is>
          <t>未着手</t>
        </is>
      </c>
      <c r="T25" s="3" t="inlineStr">
        <is>
          <t>未着手</t>
        </is>
      </c>
      <c r="U25" s="3" t="n"/>
      <c r="V25" s="3" t="inlineStr">
        <is>
          <t>関連：外壁塗装工期、足場代、防水工事、屋根カバーへリンク。</t>
        </is>
      </c>
      <c r="W25" s="3" t="n"/>
    </row>
    <row r="26" ht="28.5" customHeight="1" s="24">
      <c r="A26" s="3" t="n">
        <v>25</v>
      </c>
      <c r="B26" s="3" t="inlineStr">
        <is>
          <t>外壁から雨漏りする原因</t>
        </is>
      </c>
      <c r="C26" s="3" t="inlineStr">
        <is>
          <t>外壁から雨漏りする原因</t>
        </is>
      </c>
      <c r="D26" s="3" t="inlineStr">
        <is>
          <t>外壁から雨漏りする原因とは？ひび割れ・コーキング劣化の対策</t>
        </is>
      </c>
      <c r="E26" s="3" t="inlineStr">
        <is>
          <t>雨漏り</t>
        </is>
      </c>
      <c r="F26" s="3" t="inlineStr">
        <is>
          <t>原因・症状型</t>
        </is>
      </c>
      <c r="G26" s="3" t="inlineStr">
        <is>
          <t>4,500〜6,500字</t>
        </is>
      </c>
      <c r="H26" s="3" t="inlineStr">
        <is>
          <t>高</t>
        </is>
      </c>
      <c r="I26" s="3" t="inlineStr">
        <is>
          <t>第1ロット：雨漏り系</t>
        </is>
      </c>
      <c r="J26" s="3" t="inlineStr">
        <is>
          <t>雨漏り系</t>
        </is>
      </c>
      <c r="K26" s="3" t="inlineStr">
        <is>
          <t>外壁から雨漏りの原因
放置リスクと対処法</t>
        </is>
      </c>
      <c r="L26" s="3" t="inlineStr">
        <is>
          <t>exterior-wall-leak-cause</t>
        </is>
      </c>
      <c r="M26" s="3" t="inlineStr">
        <is>
          <t>exterior-wall-leak-cause.webp</t>
        </is>
      </c>
      <c r="N26" s="3" t="inlineStr">
        <is>
          <t>外壁から雨漏りする原因について、主な原因、放置リスク、修理方法、業者選びのポイントを松山市で検討中の方向けに解説します。</t>
        </is>
      </c>
      <c r="O26" s="3" t="inlineStr">
        <is>
          <t>雨漏り修理</t>
        </is>
      </c>
      <c r="P26" s="3" t="inlineStr">
        <is>
          <t>雨漏り、雨漏り修理</t>
        </is>
      </c>
      <c r="Q26" s="3" t="inlineStr">
        <is>
          <t>未着手</t>
        </is>
      </c>
      <c r="R26" s="3" t="inlineStr">
        <is>
          <t>未着手</t>
        </is>
      </c>
      <c r="S26" s="3" t="inlineStr">
        <is>
          <t>未着手</t>
        </is>
      </c>
      <c r="T26" s="3" t="inlineStr">
        <is>
          <t>未着手</t>
        </is>
      </c>
      <c r="U26" s="3" t="n"/>
      <c r="V26" s="3" t="inlineStr">
        <is>
          <t>中心記事「松山市の雨漏り修理」へリンク。関連：雨漏り費用・調査・屋根雨漏り。</t>
        </is>
      </c>
      <c r="W26" s="3" t="n"/>
    </row>
    <row r="27" ht="28.5" customHeight="1" s="24">
      <c r="A27" s="3" t="n">
        <v>26</v>
      </c>
      <c r="B27" s="3" t="inlineStr">
        <is>
          <t>窓枠から雨漏りする原因</t>
        </is>
      </c>
      <c r="C27" s="3" t="inlineStr">
        <is>
          <t>窓枠から雨漏りする原因</t>
        </is>
      </c>
      <c r="D27" s="3" t="inlineStr">
        <is>
          <t>窓枠から雨漏りする原因とは？サッシまわりの劣化と修理方法</t>
        </is>
      </c>
      <c r="E27" s="3" t="inlineStr">
        <is>
          <t>雨漏り</t>
        </is>
      </c>
      <c r="F27" s="3" t="inlineStr">
        <is>
          <t>原因・症状型</t>
        </is>
      </c>
      <c r="G27" s="3" t="inlineStr">
        <is>
          <t>4,500〜6,500字</t>
        </is>
      </c>
      <c r="H27" s="3" t="inlineStr">
        <is>
          <t>高</t>
        </is>
      </c>
      <c r="I27" s="3" t="inlineStr">
        <is>
          <t>第1ロット：雨漏り系</t>
        </is>
      </c>
      <c r="J27" s="3" t="inlineStr">
        <is>
          <t>雨漏り系</t>
        </is>
      </c>
      <c r="K27" s="3" t="inlineStr">
        <is>
          <t>窓枠から雨漏りの原因
放置リスクと対処法</t>
        </is>
      </c>
      <c r="L27" s="3" t="inlineStr">
        <is>
          <t>window-frame-leak-cause</t>
        </is>
      </c>
      <c r="M27" s="3" t="inlineStr">
        <is>
          <t>window-frame-leak-cause.webp</t>
        </is>
      </c>
      <c r="N27" s="3" t="inlineStr">
        <is>
          <t>窓枠から雨漏りする原因について、主な原因、放置リスク、修理方法、業者選びのポイントを松山市で検討中の方向けに解説します。</t>
        </is>
      </c>
      <c r="O27" s="3" t="inlineStr">
        <is>
          <t>雨漏り修理</t>
        </is>
      </c>
      <c r="P27" s="3" t="inlineStr">
        <is>
          <t>雨漏り、雨漏り修理</t>
        </is>
      </c>
      <c r="Q27" s="3" t="inlineStr">
        <is>
          <t>未着手</t>
        </is>
      </c>
      <c r="R27" s="3" t="inlineStr">
        <is>
          <t>未着手</t>
        </is>
      </c>
      <c r="S27" s="3" t="inlineStr">
        <is>
          <t>未着手</t>
        </is>
      </c>
      <c r="T27" s="3" t="inlineStr">
        <is>
          <t>未着手</t>
        </is>
      </c>
      <c r="U27" s="3" t="n"/>
      <c r="V27" s="3" t="inlineStr">
        <is>
          <t>中心記事「松山市の雨漏り修理」へリンク。関連：雨漏り費用・調査・屋根雨漏り。</t>
        </is>
      </c>
      <c r="W27" s="3" t="n"/>
    </row>
    <row r="28" ht="28.5" customHeight="1" s="24">
      <c r="A28" s="3" t="n">
        <v>27</v>
      </c>
      <c r="B28" s="3" t="inlineStr">
        <is>
          <t>天窓雨漏り修理</t>
        </is>
      </c>
      <c r="C28" s="3" t="inlineStr">
        <is>
          <t>天窓雨漏り修理</t>
        </is>
      </c>
      <c r="D28" s="3" t="inlineStr">
        <is>
          <t>天窓の雨漏り修理はどうする？原因・費用・放置リスクを解説</t>
        </is>
      </c>
      <c r="E28" s="3" t="inlineStr">
        <is>
          <t>雨漏り</t>
        </is>
      </c>
      <c r="F28" s="3" t="inlineStr">
        <is>
          <t>原因・症状型</t>
        </is>
      </c>
      <c r="G28" s="3" t="inlineStr">
        <is>
          <t>4,500〜6,500字</t>
        </is>
      </c>
      <c r="H28" s="3" t="inlineStr">
        <is>
          <t>高</t>
        </is>
      </c>
      <c r="I28" s="3" t="inlineStr">
        <is>
          <t>第1ロット：雨漏り系</t>
        </is>
      </c>
      <c r="J28" s="3" t="inlineStr">
        <is>
          <t>雨漏り系</t>
        </is>
      </c>
      <c r="K28" s="3" t="inlineStr">
        <is>
          <t>天窓雨漏り修理
原因と修理方法</t>
        </is>
      </c>
      <c r="L28" s="3" t="inlineStr">
        <is>
          <t>skylight-leak-repair</t>
        </is>
      </c>
      <c r="M28" s="3" t="inlineStr">
        <is>
          <t>skylight-leak-repair.webp</t>
        </is>
      </c>
      <c r="N28" s="3" t="inlineStr">
        <is>
          <t>天窓雨漏り修理について、主な原因、放置リスク、修理方法、業者選びのポイントを松山市で検討中の方向けに解説します。</t>
        </is>
      </c>
      <c r="O28" s="3" t="inlineStr">
        <is>
          <t>雨漏り修理</t>
        </is>
      </c>
      <c r="P28" s="3" t="inlineStr">
        <is>
          <t>雨漏り、雨漏り修理</t>
        </is>
      </c>
      <c r="Q28" s="3" t="inlineStr">
        <is>
          <t>未着手</t>
        </is>
      </c>
      <c r="R28" s="3" t="inlineStr">
        <is>
          <t>未着手</t>
        </is>
      </c>
      <c r="S28" s="3" t="inlineStr">
        <is>
          <t>未着手</t>
        </is>
      </c>
      <c r="T28" s="3" t="inlineStr">
        <is>
          <t>未着手</t>
        </is>
      </c>
      <c r="U28" s="3" t="n"/>
      <c r="V28" s="3" t="inlineStr">
        <is>
          <t>中心記事「松山市の雨漏り修理」へリンク。関連：雨漏り費用・調査・屋根雨漏り。</t>
        </is>
      </c>
      <c r="W28" s="3" t="n"/>
    </row>
    <row r="29" ht="28.5" customHeight="1" s="24">
      <c r="A29" s="3" t="n">
        <v>28</v>
      </c>
      <c r="B29" s="3" t="inlineStr">
        <is>
          <t>笠木雨漏り</t>
        </is>
      </c>
      <c r="C29" s="3" t="inlineStr">
        <is>
          <t>笠木雨漏り</t>
        </is>
      </c>
      <c r="D29" s="3" t="inlineStr">
        <is>
          <t>笠木雨漏りの原因とは？ベランダ・外壁まわりの防水対策</t>
        </is>
      </c>
      <c r="E29" s="3" t="inlineStr">
        <is>
          <t>雨漏り</t>
        </is>
      </c>
      <c r="F29" s="3" t="inlineStr">
        <is>
          <t>原因・症状型</t>
        </is>
      </c>
      <c r="G29" s="3" t="inlineStr">
        <is>
          <t>4,500〜6,500字</t>
        </is>
      </c>
      <c r="H29" s="3" t="inlineStr">
        <is>
          <t>高</t>
        </is>
      </c>
      <c r="I29" s="3" t="inlineStr">
        <is>
          <t>第1ロット：雨漏り系</t>
        </is>
      </c>
      <c r="J29" s="3" t="inlineStr">
        <is>
          <t>雨漏り系</t>
        </is>
      </c>
      <c r="K29" s="3" t="inlineStr">
        <is>
          <t>笠木雨漏り
原因と修理方法</t>
        </is>
      </c>
      <c r="L29" s="3" t="inlineStr">
        <is>
          <t>coping-leak</t>
        </is>
      </c>
      <c r="M29" s="3" t="inlineStr">
        <is>
          <t>coping-leak.webp</t>
        </is>
      </c>
      <c r="N29" s="3" t="inlineStr">
        <is>
          <t>笠木雨漏りについて、主な原因、放置リスク、修理方法、業者選びのポイントを松山市で検討中の方向けに解説します。</t>
        </is>
      </c>
      <c r="O29" s="3" t="inlineStr">
        <is>
          <t>雨漏り修理</t>
        </is>
      </c>
      <c r="P29" s="3" t="inlineStr">
        <is>
          <t>雨漏り、雨漏り修理</t>
        </is>
      </c>
      <c r="Q29" s="3" t="inlineStr">
        <is>
          <t>未着手</t>
        </is>
      </c>
      <c r="R29" s="3" t="inlineStr">
        <is>
          <t>未着手</t>
        </is>
      </c>
      <c r="S29" s="3" t="inlineStr">
        <is>
          <t>未着手</t>
        </is>
      </c>
      <c r="T29" s="3" t="inlineStr">
        <is>
          <t>未着手</t>
        </is>
      </c>
      <c r="U29" s="3" t="n"/>
      <c r="V29" s="3" t="inlineStr">
        <is>
          <t>中心記事「松山市の雨漏り修理」へリンク。関連：雨漏り費用・調査・屋根雨漏り。</t>
        </is>
      </c>
      <c r="W29" s="3" t="n"/>
    </row>
    <row r="30" ht="28.5" customHeight="1" s="24">
      <c r="A30" s="3" t="n">
        <v>29</v>
      </c>
      <c r="B30" s="3" t="inlineStr">
        <is>
          <t>幕板雨漏り</t>
        </is>
      </c>
      <c r="C30" s="3" t="inlineStr">
        <is>
          <t>幕板雨漏り</t>
        </is>
      </c>
      <c r="D30" s="3" t="inlineStr">
        <is>
          <t>幕板から雨漏りする原因とは？劣化症状と補修方法を解説</t>
        </is>
      </c>
      <c r="E30" s="3" t="inlineStr">
        <is>
          <t>雨漏り</t>
        </is>
      </c>
      <c r="F30" s="3" t="inlineStr">
        <is>
          <t>原因・症状型</t>
        </is>
      </c>
      <c r="G30" s="3" t="inlineStr">
        <is>
          <t>4,500〜6,500字</t>
        </is>
      </c>
      <c r="H30" s="3" t="inlineStr">
        <is>
          <t>高</t>
        </is>
      </c>
      <c r="I30" s="3" t="inlineStr">
        <is>
          <t>第1ロット：雨漏り系</t>
        </is>
      </c>
      <c r="J30" s="3" t="inlineStr">
        <is>
          <t>雨漏り系</t>
        </is>
      </c>
      <c r="K30" s="3" t="inlineStr">
        <is>
          <t>幕板雨漏り
原因と修理方法</t>
        </is>
      </c>
      <c r="L30" s="3" t="inlineStr">
        <is>
          <t>decorative-trim-leak</t>
        </is>
      </c>
      <c r="M30" s="3" t="inlineStr">
        <is>
          <t>decorative-trim-leak.webp</t>
        </is>
      </c>
      <c r="N30" s="3" t="inlineStr">
        <is>
          <t>幕板雨漏りについて、主な原因、放置リスク、修理方法、業者選びのポイントを松山市で検討中の方向けに解説します。</t>
        </is>
      </c>
      <c r="O30" s="3" t="inlineStr">
        <is>
          <t>雨漏り修理</t>
        </is>
      </c>
      <c r="P30" s="3" t="inlineStr">
        <is>
          <t>雨漏り、雨漏り修理</t>
        </is>
      </c>
      <c r="Q30" s="3" t="inlineStr">
        <is>
          <t>未着手</t>
        </is>
      </c>
      <c r="R30" s="3" t="inlineStr">
        <is>
          <t>未着手</t>
        </is>
      </c>
      <c r="S30" s="3" t="inlineStr">
        <is>
          <t>未着手</t>
        </is>
      </c>
      <c r="T30" s="3" t="inlineStr">
        <is>
          <t>未着手</t>
        </is>
      </c>
      <c r="U30" s="3" t="n"/>
      <c r="V30" s="3" t="inlineStr">
        <is>
          <t>中心記事「松山市の雨漏り修理」へリンク。関連：雨漏り費用・調査・屋根雨漏り。</t>
        </is>
      </c>
      <c r="W30" s="3" t="n"/>
    </row>
    <row r="31" ht="28.5" customHeight="1" s="24">
      <c r="A31" s="3" t="n">
        <v>30</v>
      </c>
      <c r="B31" s="3" t="inlineStr">
        <is>
          <t>バルコニー雨漏り</t>
        </is>
      </c>
      <c r="C31" s="3" t="inlineStr">
        <is>
          <t>バルコニー雨漏り</t>
        </is>
      </c>
      <c r="D31" s="3" t="inlineStr">
        <is>
          <t>バルコニー雨漏りの原因と修理方法｜防水工事の費用目安も解説</t>
        </is>
      </c>
      <c r="E31" s="3" t="inlineStr">
        <is>
          <t>雨漏り</t>
        </is>
      </c>
      <c r="F31" s="3" t="inlineStr">
        <is>
          <t>原因・症状型</t>
        </is>
      </c>
      <c r="G31" s="3" t="inlineStr">
        <is>
          <t>4,500〜6,500字</t>
        </is>
      </c>
      <c r="H31" s="3" t="inlineStr">
        <is>
          <t>高</t>
        </is>
      </c>
      <c r="I31" s="3" t="inlineStr">
        <is>
          <t>第1ロット：雨漏り系</t>
        </is>
      </c>
      <c r="J31" s="3" t="inlineStr">
        <is>
          <t>雨漏り系</t>
        </is>
      </c>
      <c r="K31" s="3" t="inlineStr">
        <is>
          <t>バルコニー雨漏り
原因と修理方法</t>
        </is>
      </c>
      <c r="L31" s="3" t="inlineStr">
        <is>
          <t>balcony-leak</t>
        </is>
      </c>
      <c r="M31" s="3" t="inlineStr">
        <is>
          <t>balcony-leak.webp</t>
        </is>
      </c>
      <c r="N31" s="3" t="inlineStr">
        <is>
          <t>バルコニー雨漏りについて、主な原因、放置リスク、修理方法、業者選びのポイントを松山市で検討中の方向けに解説します。</t>
        </is>
      </c>
      <c r="O31" s="3" t="inlineStr">
        <is>
          <t>雨漏り修理</t>
        </is>
      </c>
      <c r="P31" s="3" t="inlineStr">
        <is>
          <t>雨漏り、雨漏り修理</t>
        </is>
      </c>
      <c r="Q31" s="3" t="inlineStr">
        <is>
          <t>未着手</t>
        </is>
      </c>
      <c r="R31" s="3" t="inlineStr">
        <is>
          <t>未着手</t>
        </is>
      </c>
      <c r="S31" s="3" t="inlineStr">
        <is>
          <t>未着手</t>
        </is>
      </c>
      <c r="T31" s="3" t="inlineStr">
        <is>
          <t>未着手</t>
        </is>
      </c>
      <c r="U31" s="3" t="n"/>
      <c r="V31" s="3" t="inlineStr">
        <is>
          <t>中心記事「松山市の雨漏り修理」へリンク。関連：雨漏り費用・調査・屋根雨漏り。</t>
        </is>
      </c>
      <c r="W31" s="3" t="n"/>
    </row>
    <row r="32" ht="28.5" customHeight="1" s="24">
      <c r="A32" s="3" t="n">
        <v>31</v>
      </c>
      <c r="B32" s="3" t="inlineStr">
        <is>
          <t>軒天雨漏り</t>
        </is>
      </c>
      <c r="C32" s="3" t="inlineStr">
        <is>
          <t>軒天雨漏り</t>
        </is>
      </c>
      <c r="D32" s="3" t="inlineStr">
        <is>
          <t>軒天の雨漏りは危険？シミ・剥がれの原因と補修方法</t>
        </is>
      </c>
      <c r="E32" s="3" t="inlineStr">
        <is>
          <t>雨漏り</t>
        </is>
      </c>
      <c r="F32" s="3" t="inlineStr">
        <is>
          <t>原因・症状型</t>
        </is>
      </c>
      <c r="G32" s="3" t="inlineStr">
        <is>
          <t>4,500〜6,500字</t>
        </is>
      </c>
      <c r="H32" s="3" t="inlineStr">
        <is>
          <t>高</t>
        </is>
      </c>
      <c r="I32" s="3" t="inlineStr">
        <is>
          <t>第1ロット：雨漏り系</t>
        </is>
      </c>
      <c r="J32" s="3" t="inlineStr">
        <is>
          <t>雨漏り系</t>
        </is>
      </c>
      <c r="K32" s="3" t="inlineStr">
        <is>
          <t>軒天雨漏り
原因と修理方法</t>
        </is>
      </c>
      <c r="L32" s="3" t="inlineStr">
        <is>
          <t>soffit-leak</t>
        </is>
      </c>
      <c r="M32" s="3" t="inlineStr">
        <is>
          <t>soffit-leak.webp</t>
        </is>
      </c>
      <c r="N32" s="3" t="inlineStr">
        <is>
          <t>軒天雨漏りについて、主な原因、放置リスク、修理方法、業者選びのポイントを松山市で検討中の方向けに解説します。</t>
        </is>
      </c>
      <c r="O32" s="3" t="inlineStr">
        <is>
          <t>雨漏り修理</t>
        </is>
      </c>
      <c r="P32" s="3" t="inlineStr">
        <is>
          <t>雨漏り、軒天、雨漏り修理</t>
        </is>
      </c>
      <c r="Q32" s="3" t="inlineStr">
        <is>
          <t>未着手</t>
        </is>
      </c>
      <c r="R32" s="3" t="inlineStr">
        <is>
          <t>未着手</t>
        </is>
      </c>
      <c r="S32" s="3" t="inlineStr">
        <is>
          <t>未着手</t>
        </is>
      </c>
      <c r="T32" s="3" t="inlineStr">
        <is>
          <t>未着手</t>
        </is>
      </c>
      <c r="U32" s="3" t="n"/>
      <c r="V32" s="3" t="inlineStr">
        <is>
          <t>中心記事「松山市の雨漏り修理」へリンク。関連：雨漏り費用・調査・屋根雨漏り。</t>
        </is>
      </c>
      <c r="W32" s="3" t="n"/>
    </row>
    <row r="33" ht="28.5" customHeight="1" s="24">
      <c r="A33" s="3" t="n">
        <v>32</v>
      </c>
      <c r="B33" s="3" t="inlineStr">
        <is>
          <t>雨漏り火災保険</t>
        </is>
      </c>
      <c r="C33" s="3" t="inlineStr">
        <is>
          <t>雨漏り火災保険</t>
        </is>
      </c>
      <c r="D33" s="3" t="inlineStr">
        <is>
          <t>雨漏り修理に火災保険は使える？対象条件と申請前の注意点</t>
        </is>
      </c>
      <c r="E33" s="3" t="inlineStr">
        <is>
          <t>雨漏り</t>
        </is>
      </c>
      <c r="F33" s="3" t="inlineStr">
        <is>
          <t>原因・症状型</t>
        </is>
      </c>
      <c r="G33" s="3" t="inlineStr">
        <is>
          <t>5,000〜7,000字</t>
        </is>
      </c>
      <c r="H33" s="3" t="inlineStr">
        <is>
          <t>高</t>
        </is>
      </c>
      <c r="I33" s="3" t="inlineStr">
        <is>
          <t>第1ロット：雨漏り系</t>
        </is>
      </c>
      <c r="J33" s="3" t="inlineStr">
        <is>
          <t>雨漏り系</t>
        </is>
      </c>
      <c r="K33" s="3" t="inlineStr">
        <is>
          <t>雨漏り火災保険
原因と修理方法</t>
        </is>
      </c>
      <c r="L33" s="3" t="inlineStr">
        <is>
          <t>leak-fire-insurance</t>
        </is>
      </c>
      <c r="M33" s="3" t="inlineStr">
        <is>
          <t>leak-fire-insurance.webp</t>
        </is>
      </c>
      <c r="N33" s="3" t="inlineStr">
        <is>
          <t>雨漏り火災保険について、主な原因、放置リスク、修理方法、業者選びのポイントを松山市で検討中の方向けに解説します。</t>
        </is>
      </c>
      <c r="O33" s="3" t="inlineStr">
        <is>
          <t>雨漏り修理</t>
        </is>
      </c>
      <c r="P33" s="3" t="inlineStr">
        <is>
          <t>雨漏り、雨漏り修理</t>
        </is>
      </c>
      <c r="Q33" s="3" t="inlineStr">
        <is>
          <t>未着手</t>
        </is>
      </c>
      <c r="R33" s="3" t="inlineStr">
        <is>
          <t>未着手</t>
        </is>
      </c>
      <c r="S33" s="3" t="inlineStr">
        <is>
          <t>未着手</t>
        </is>
      </c>
      <c r="T33" s="3" t="inlineStr">
        <is>
          <t>未着手</t>
        </is>
      </c>
      <c r="U33" s="3" t="n"/>
      <c r="V33" s="3" t="inlineStr">
        <is>
          <t>中心記事「松山市の雨漏り修理」へリンク。関連：雨漏り費用・調査・屋根雨漏り。</t>
        </is>
      </c>
      <c r="W33" s="3" t="n"/>
    </row>
    <row r="34" ht="28.5" customHeight="1" s="24">
      <c r="A34" s="3" t="n">
        <v>33</v>
      </c>
      <c r="B34" s="3" t="inlineStr">
        <is>
          <t>コーキング劣化 雨漏り</t>
        </is>
      </c>
      <c r="C34" s="3" t="inlineStr">
        <is>
          <t>コーキング劣化 雨漏り</t>
        </is>
      </c>
      <c r="D34" s="3" t="inlineStr">
        <is>
          <t>コーキング劣化で雨漏りする原因とは？補修時期と費用を解説</t>
        </is>
      </c>
      <c r="E34" s="3" t="inlineStr">
        <is>
          <t>防水・シーリング</t>
        </is>
      </c>
      <c r="F34" s="3" t="inlineStr">
        <is>
          <t>防水・シーリング型</t>
        </is>
      </c>
      <c r="G34" s="3" t="inlineStr">
        <is>
          <t>4,500〜6,000字</t>
        </is>
      </c>
      <c r="H34" s="3" t="inlineStr">
        <is>
          <t>中</t>
        </is>
      </c>
      <c r="I34" s="3" t="inlineStr">
        <is>
          <t>第3ロット：外壁塗装・防水系</t>
        </is>
      </c>
      <c r="J34" s="3" t="inlineStr">
        <is>
          <t>防水系</t>
        </is>
      </c>
      <c r="K34" s="3" t="inlineStr">
        <is>
          <t>コーキング劣化 雨漏り
原因と修理方法</t>
        </is>
      </c>
      <c r="L34" s="3" t="inlineStr">
        <is>
          <t>caulking-deterioration-leak</t>
        </is>
      </c>
      <c r="M34" s="3" t="inlineStr">
        <is>
          <t>caulking-deterioration-leak.webp</t>
        </is>
      </c>
      <c r="N34" s="3" t="inlineStr">
        <is>
          <t>コーキング劣化 雨漏りについて、工事内容、耐用年数、費用目安、雨漏りを防ぐための注意点をわかりやすく解説します。</t>
        </is>
      </c>
      <c r="O34" s="3" t="inlineStr">
        <is>
          <t>防水・シーリング</t>
        </is>
      </c>
      <c r="P34" s="3" t="inlineStr">
        <is>
          <t>雨漏り、防水・シーリング</t>
        </is>
      </c>
      <c r="Q34" s="3" t="inlineStr">
        <is>
          <t>未着手</t>
        </is>
      </c>
      <c r="R34" s="3" t="inlineStr">
        <is>
          <t>未着手</t>
        </is>
      </c>
      <c r="S34" s="3" t="inlineStr">
        <is>
          <t>未着手</t>
        </is>
      </c>
      <c r="T34" s="3" t="inlineStr">
        <is>
          <t>未着手</t>
        </is>
      </c>
      <c r="U34" s="3" t="n"/>
      <c r="V34" s="3" t="inlineStr">
        <is>
          <t>関連：ベランダ防水費用、シーリング打ち替え費用、外壁雨漏りへリンク。</t>
        </is>
      </c>
      <c r="W34" s="3" t="n"/>
    </row>
    <row r="35" ht="28.5" customHeight="1" s="24">
      <c r="A35" s="3" t="n">
        <v>34</v>
      </c>
      <c r="B35" s="3" t="inlineStr">
        <is>
          <t>外壁ひび割れ 雨漏り</t>
        </is>
      </c>
      <c r="C35" s="3" t="inlineStr">
        <is>
          <t>外壁ひび割れ 雨漏り</t>
        </is>
      </c>
      <c r="D35" s="3" t="inlineStr">
        <is>
          <t>外壁ひび割れで雨漏りする？危険な症状と補修方法を解説</t>
        </is>
      </c>
      <c r="E35" s="3" t="inlineStr">
        <is>
          <t>防水・シーリング</t>
        </is>
      </c>
      <c r="F35" s="3" t="inlineStr">
        <is>
          <t>防水・シーリング型</t>
        </is>
      </c>
      <c r="G35" s="3" t="inlineStr">
        <is>
          <t>4,500〜6,000字</t>
        </is>
      </c>
      <c r="H35" s="3" t="inlineStr">
        <is>
          <t>中</t>
        </is>
      </c>
      <c r="I35" s="3" t="inlineStr">
        <is>
          <t>第3ロット：外壁塗装・防水系</t>
        </is>
      </c>
      <c r="J35" s="3" t="inlineStr">
        <is>
          <t>防水系</t>
        </is>
      </c>
      <c r="K35" s="3" t="inlineStr">
        <is>
          <t>外壁ひび割れ 雨漏り
原因と修理方法</t>
        </is>
      </c>
      <c r="L35" s="3" t="inlineStr">
        <is>
          <t>exterior-wall-crack-leak</t>
        </is>
      </c>
      <c r="M35" s="3" t="inlineStr">
        <is>
          <t>exterior-wall-crack-leak.webp</t>
        </is>
      </c>
      <c r="N35" s="3" t="inlineStr">
        <is>
          <t>外壁ひび割れ 雨漏りについて、工事内容、耐用年数、費用目安、雨漏りを防ぐための注意点をわかりやすく解説します。</t>
        </is>
      </c>
      <c r="O35" s="3" t="inlineStr">
        <is>
          <t>防水・シーリング</t>
        </is>
      </c>
      <c r="P35" s="3" t="inlineStr">
        <is>
          <t>雨漏り、防水・シーリング</t>
        </is>
      </c>
      <c r="Q35" s="3" t="inlineStr">
        <is>
          <t>未着手</t>
        </is>
      </c>
      <c r="R35" s="3" t="inlineStr">
        <is>
          <t>未着手</t>
        </is>
      </c>
      <c r="S35" s="3" t="inlineStr">
        <is>
          <t>未着手</t>
        </is>
      </c>
      <c r="T35" s="3" t="inlineStr">
        <is>
          <t>未着手</t>
        </is>
      </c>
      <c r="U35" s="3" t="n"/>
      <c r="V35" s="3" t="inlineStr">
        <is>
          <t>関連：ベランダ防水費用、シーリング打ち替え費用、外壁雨漏りへリンク。</t>
        </is>
      </c>
      <c r="W35" s="3" t="n"/>
    </row>
    <row r="36" ht="28.5" customHeight="1" s="24">
      <c r="A36" s="3" t="n">
        <v>35</v>
      </c>
      <c r="B36" s="3" t="inlineStr">
        <is>
          <t>シーリング打ち替え 費用</t>
        </is>
      </c>
      <c r="C36" s="3" t="inlineStr">
        <is>
          <t>シーリング打ち替え 費用</t>
        </is>
      </c>
      <c r="D36" s="3" t="inlineStr">
        <is>
          <t>シーリング打ち替え費用はいくら？相場・内訳・注意点を解説</t>
        </is>
      </c>
      <c r="E36" s="3" t="inlineStr">
        <is>
          <t>防水・シーリング</t>
        </is>
      </c>
      <c r="F36" s="3" t="inlineStr">
        <is>
          <t>費用・相場型</t>
        </is>
      </c>
      <c r="G36" s="3" t="inlineStr">
        <is>
          <t>5,000〜7,000字</t>
        </is>
      </c>
      <c r="H36" s="3" t="inlineStr">
        <is>
          <t>中</t>
        </is>
      </c>
      <c r="I36" s="3" t="inlineStr">
        <is>
          <t>第3ロット：外壁塗装・防水系</t>
        </is>
      </c>
      <c r="J36" s="3" t="inlineStr">
        <is>
          <t>防水系</t>
        </is>
      </c>
      <c r="K36" s="3" t="inlineStr">
        <is>
          <t>シーリング打ち替え 費用
相場と注意点を解説</t>
        </is>
      </c>
      <c r="L36" s="3" t="inlineStr">
        <is>
          <t>sealing-replacement-cost</t>
        </is>
      </c>
      <c r="M36" s="3" t="inlineStr">
        <is>
          <t>sealing-replacement-cost.webp</t>
        </is>
      </c>
      <c r="N36" s="3" t="inlineStr">
        <is>
          <t>シーリング打ち替え 費用について、費用相場、内訳、金額が変わる要因、見積もり時の注意点をわかりやすく解説します。</t>
        </is>
      </c>
      <c r="O36" s="3" t="inlineStr">
        <is>
          <t>防水・シーリング</t>
        </is>
      </c>
      <c r="P36" s="3" t="inlineStr">
        <is>
          <t>シーリング、費用、防水・シーリング</t>
        </is>
      </c>
      <c r="Q36" s="3" t="inlineStr">
        <is>
          <t>未着手</t>
        </is>
      </c>
      <c r="R36" s="3" t="inlineStr">
        <is>
          <t>未着手</t>
        </is>
      </c>
      <c r="S36" s="3" t="inlineStr">
        <is>
          <t>未着手</t>
        </is>
      </c>
      <c r="T36" s="3" t="inlineStr">
        <is>
          <t>未着手</t>
        </is>
      </c>
      <c r="U36" s="3" t="n"/>
      <c r="V36" s="3" t="inlineStr">
        <is>
          <t>関連：ベランダ防水費用、シーリング打ち替え費用、外壁雨漏りへリンク。</t>
        </is>
      </c>
      <c r="W36" s="3" t="n"/>
    </row>
    <row r="37" ht="28.5" customHeight="1" s="24">
      <c r="A37" s="3" t="n">
        <v>36</v>
      </c>
      <c r="B37" s="3" t="inlineStr">
        <is>
          <t>オートンイクシード 費用</t>
        </is>
      </c>
      <c r="C37" s="3" t="inlineStr">
        <is>
          <t>オートンイクシード 費用</t>
        </is>
      </c>
      <c r="D37" s="3" t="inlineStr">
        <is>
          <t>オートンイクシードの費用は高い？特徴・相場・向いている住宅</t>
        </is>
      </c>
      <c r="E37" s="3" t="inlineStr">
        <is>
          <t>防水・シーリング</t>
        </is>
      </c>
      <c r="F37" s="3" t="inlineStr">
        <is>
          <t>費用・相場型</t>
        </is>
      </c>
      <c r="G37" s="3" t="inlineStr">
        <is>
          <t>5,000〜7,000字</t>
        </is>
      </c>
      <c r="H37" s="3" t="inlineStr">
        <is>
          <t>中</t>
        </is>
      </c>
      <c r="I37" s="3" t="inlineStr">
        <is>
          <t>第3ロット：外壁塗装・防水系</t>
        </is>
      </c>
      <c r="J37" s="3" t="inlineStr">
        <is>
          <t>防水系</t>
        </is>
      </c>
      <c r="K37" s="3" t="inlineStr">
        <is>
          <t>オートンイクシード 費用
相場と注意点を解説</t>
        </is>
      </c>
      <c r="L37" s="3" t="inlineStr">
        <is>
          <t>auton-exceed-cost</t>
        </is>
      </c>
      <c r="M37" s="3" t="inlineStr">
        <is>
          <t>auton-exceed-cost.webp</t>
        </is>
      </c>
      <c r="N37" s="3" t="inlineStr">
        <is>
          <t>オートンイクシード 費用について、費用相場、内訳、金額が変わる要因、見積もり時の注意点をわかりやすく解説します。</t>
        </is>
      </c>
      <c r="O37" s="3" t="inlineStr">
        <is>
          <t>防水・シーリング</t>
        </is>
      </c>
      <c r="P37" s="3" t="inlineStr">
        <is>
          <t>費用、防水・シーリング</t>
        </is>
      </c>
      <c r="Q37" s="3" t="inlineStr">
        <is>
          <t>未着手</t>
        </is>
      </c>
      <c r="R37" s="3" t="inlineStr">
        <is>
          <t>未着手</t>
        </is>
      </c>
      <c r="S37" s="3" t="inlineStr">
        <is>
          <t>未着手</t>
        </is>
      </c>
      <c r="T37" s="3" t="inlineStr">
        <is>
          <t>未着手</t>
        </is>
      </c>
      <c r="U37" s="3" t="n"/>
      <c r="V37" s="3" t="inlineStr">
        <is>
          <t>関連：ベランダ防水費用、シーリング打ち替え費用、外壁雨漏りへリンク。</t>
        </is>
      </c>
      <c r="W37" s="3" t="n"/>
    </row>
    <row r="38" ht="28.5" customHeight="1" s="24">
      <c r="A38" s="3" t="n">
        <v>37</v>
      </c>
      <c r="B38" s="3" t="inlineStr">
        <is>
          <t>ベランダ防水 費用</t>
        </is>
      </c>
      <c r="C38" s="3" t="inlineStr">
        <is>
          <t>ベランダ防水 費用</t>
        </is>
      </c>
      <c r="D38" s="3" t="inlineStr">
        <is>
          <t>ベランダ防水の費用相場はいくら？工法別の違いと注意点</t>
        </is>
      </c>
      <c r="E38" s="3" t="inlineStr">
        <is>
          <t>防水・シーリング</t>
        </is>
      </c>
      <c r="F38" s="3" t="inlineStr">
        <is>
          <t>費用・相場型</t>
        </is>
      </c>
      <c r="G38" s="3" t="inlineStr">
        <is>
          <t>5,000〜7,000字</t>
        </is>
      </c>
      <c r="H38" s="3" t="inlineStr">
        <is>
          <t>中</t>
        </is>
      </c>
      <c r="I38" s="3" t="inlineStr">
        <is>
          <t>第3ロット：外壁塗装・防水系</t>
        </is>
      </c>
      <c r="J38" s="3" t="inlineStr">
        <is>
          <t>防水系</t>
        </is>
      </c>
      <c r="K38" s="3" t="inlineStr">
        <is>
          <t>ベランダ防水 費用
相場と注意点を解説</t>
        </is>
      </c>
      <c r="L38" s="3" t="inlineStr">
        <is>
          <t>balcony-waterproof-cost</t>
        </is>
      </c>
      <c r="M38" s="3" t="inlineStr">
        <is>
          <t>balcony-waterproof-cost.webp</t>
        </is>
      </c>
      <c r="N38" s="3" t="inlineStr">
        <is>
          <t>ベランダ防水 費用について、費用相場、内訳、金額が変わる要因、見積もり時の注意点をわかりやすく解説します。</t>
        </is>
      </c>
      <c r="O38" s="3" t="inlineStr">
        <is>
          <t>防水・シーリング</t>
        </is>
      </c>
      <c r="P38" s="3" t="inlineStr">
        <is>
          <t>防水、費用、防水・シーリング</t>
        </is>
      </c>
      <c r="Q38" s="3" t="inlineStr">
        <is>
          <t>未着手</t>
        </is>
      </c>
      <c r="R38" s="3" t="inlineStr">
        <is>
          <t>未着手</t>
        </is>
      </c>
      <c r="S38" s="3" t="inlineStr">
        <is>
          <t>未着手</t>
        </is>
      </c>
      <c r="T38" s="3" t="inlineStr">
        <is>
          <t>未着手</t>
        </is>
      </c>
      <c r="U38" s="3" t="n"/>
      <c r="V38" s="3" t="inlineStr">
        <is>
          <t>関連：ベランダ防水費用、シーリング打ち替え費用、外壁雨漏りへリンク。</t>
        </is>
      </c>
      <c r="W38" s="3" t="n"/>
    </row>
    <row r="39" ht="28.5" customHeight="1" s="24">
      <c r="A39" s="3" t="n">
        <v>38</v>
      </c>
      <c r="B39" s="3" t="inlineStr">
        <is>
          <t>FRP防水 耐用年数</t>
        </is>
      </c>
      <c r="C39" s="3" t="inlineStr">
        <is>
          <t>FRP防水 耐用年数</t>
        </is>
      </c>
      <c r="D39" s="3" t="inlineStr">
        <is>
          <t>FRP防水の耐用年数はどれくらい？劣化症状とメンテナンス時期</t>
        </is>
      </c>
      <c r="E39" s="3" t="inlineStr">
        <is>
          <t>防水・シーリング</t>
        </is>
      </c>
      <c r="F39" s="3" t="inlineStr">
        <is>
          <t>防水・シーリング型</t>
        </is>
      </c>
      <c r="G39" s="3" t="inlineStr">
        <is>
          <t>4,500〜6,000字</t>
        </is>
      </c>
      <c r="H39" s="3" t="inlineStr">
        <is>
          <t>中</t>
        </is>
      </c>
      <c r="I39" s="3" t="inlineStr">
        <is>
          <t>第3ロット：外壁塗装・防水系</t>
        </is>
      </c>
      <c r="J39" s="3" t="inlineStr">
        <is>
          <t>防水系</t>
        </is>
      </c>
      <c r="K39" s="3" t="inlineStr">
        <is>
          <t>FRP防水の耐用年数
劣化症状と時期</t>
        </is>
      </c>
      <c r="L39" s="3" t="inlineStr">
        <is>
          <t>frp-waterproof-lifespan</t>
        </is>
      </c>
      <c r="M39" s="3" t="inlineStr">
        <is>
          <t>frp-waterproof-lifespan.webp</t>
        </is>
      </c>
      <c r="N39" s="3" t="inlineStr">
        <is>
          <t>FRP防水 耐用年数について、工事内容、耐用年数、費用目安、雨漏りを防ぐための注意点をわかりやすく解説します。</t>
        </is>
      </c>
      <c r="O39" s="3" t="inlineStr">
        <is>
          <t>防水・シーリング</t>
        </is>
      </c>
      <c r="P39" s="3" t="inlineStr">
        <is>
          <t>防水、防水・シーリング</t>
        </is>
      </c>
      <c r="Q39" s="3" t="inlineStr">
        <is>
          <t>未着手</t>
        </is>
      </c>
      <c r="R39" s="3" t="inlineStr">
        <is>
          <t>未着手</t>
        </is>
      </c>
      <c r="S39" s="3" t="inlineStr">
        <is>
          <t>未着手</t>
        </is>
      </c>
      <c r="T39" s="3" t="inlineStr">
        <is>
          <t>未着手</t>
        </is>
      </c>
      <c r="U39" s="3" t="n"/>
      <c r="V39" s="3" t="inlineStr">
        <is>
          <t>関連：ベランダ防水費用、シーリング打ち替え費用、外壁雨漏りへリンク。</t>
        </is>
      </c>
      <c r="W39" s="3" t="n"/>
    </row>
    <row r="40" ht="28.5" customHeight="1" s="24">
      <c r="A40" s="3" t="n">
        <v>39</v>
      </c>
      <c r="B40" s="3" t="inlineStr">
        <is>
          <t>ウレタン防水 耐用年数</t>
        </is>
      </c>
      <c r="C40" s="3" t="inlineStr">
        <is>
          <t>ウレタン防水 耐用年数</t>
        </is>
      </c>
      <c r="D40" s="3" t="inlineStr">
        <is>
          <t>ウレタン防水の耐用年数は？メリット・劣化症状・補修時期</t>
        </is>
      </c>
      <c r="E40" s="3" t="inlineStr">
        <is>
          <t>防水・シーリング</t>
        </is>
      </c>
      <c r="F40" s="3" t="inlineStr">
        <is>
          <t>防水・シーリング型</t>
        </is>
      </c>
      <c r="G40" s="3" t="inlineStr">
        <is>
          <t>4,500〜6,000字</t>
        </is>
      </c>
      <c r="H40" s="3" t="inlineStr">
        <is>
          <t>中</t>
        </is>
      </c>
      <c r="I40" s="3" t="inlineStr">
        <is>
          <t>第3ロット：外壁塗装・防水系</t>
        </is>
      </c>
      <c r="J40" s="3" t="inlineStr">
        <is>
          <t>防水系</t>
        </is>
      </c>
      <c r="K40" s="3" t="inlineStr">
        <is>
          <t>ウレタン防水の耐用年数
劣化症状と時期</t>
        </is>
      </c>
      <c r="L40" s="3" t="inlineStr">
        <is>
          <t>urethane-waterproof-lifespan</t>
        </is>
      </c>
      <c r="M40" s="3" t="inlineStr">
        <is>
          <t>urethane-waterproof-lifespan.webp</t>
        </is>
      </c>
      <c r="N40" s="3" t="inlineStr">
        <is>
          <t>ウレタン防水 耐用年数について、工事内容、耐用年数、費用目安、雨漏りを防ぐための注意点をわかりやすく解説します。</t>
        </is>
      </c>
      <c r="O40" s="3" t="inlineStr">
        <is>
          <t>防水・シーリング</t>
        </is>
      </c>
      <c r="P40" s="3" t="inlineStr">
        <is>
          <t>防水、防水・シーリング</t>
        </is>
      </c>
      <c r="Q40" s="3" t="inlineStr">
        <is>
          <t>未着手</t>
        </is>
      </c>
      <c r="R40" s="3" t="inlineStr">
        <is>
          <t>未着手</t>
        </is>
      </c>
      <c r="S40" s="3" t="inlineStr">
        <is>
          <t>未着手</t>
        </is>
      </c>
      <c r="T40" s="3" t="inlineStr">
        <is>
          <t>未着手</t>
        </is>
      </c>
      <c r="U40" s="3" t="n"/>
      <c r="V40" s="3" t="inlineStr">
        <is>
          <t>関連：ベランダ防水費用、シーリング打ち替え費用、外壁雨漏りへリンク。</t>
        </is>
      </c>
      <c r="W40" s="3" t="n"/>
    </row>
    <row r="41" ht="28.5" customHeight="1" s="24">
      <c r="A41" s="3" t="n">
        <v>40</v>
      </c>
      <c r="B41" s="3" t="inlineStr">
        <is>
          <t>塩ビシート防水 耐用年数</t>
        </is>
      </c>
      <c r="C41" s="3" t="inlineStr">
        <is>
          <t>塩ビシート防水 耐用年数</t>
        </is>
      </c>
      <c r="D41" s="3" t="inlineStr">
        <is>
          <t>塩ビシート防水の耐用年数は？特徴・劣化症状・注意点</t>
        </is>
      </c>
      <c r="E41" s="3" t="inlineStr">
        <is>
          <t>防水・シーリング</t>
        </is>
      </c>
      <c r="F41" s="3" t="inlineStr">
        <is>
          <t>防水・シーリング型</t>
        </is>
      </c>
      <c r="G41" s="3" t="inlineStr">
        <is>
          <t>4,500〜6,000字</t>
        </is>
      </c>
      <c r="H41" s="3" t="inlineStr">
        <is>
          <t>中</t>
        </is>
      </c>
      <c r="I41" s="3" t="inlineStr">
        <is>
          <t>第3ロット：外壁塗装・防水系</t>
        </is>
      </c>
      <c r="J41" s="3" t="inlineStr">
        <is>
          <t>防水系</t>
        </is>
      </c>
      <c r="K41" s="3" t="inlineStr">
        <is>
          <t>塩ビシート防水の耐用年数
劣化症状と時期</t>
        </is>
      </c>
      <c r="L41" s="3" t="inlineStr">
        <is>
          <t>pvc-sheet-waterproof-lifespan</t>
        </is>
      </c>
      <c r="M41" s="3" t="inlineStr">
        <is>
          <t>pvc-sheet-waterproof-lifespan.webp</t>
        </is>
      </c>
      <c r="N41" s="3" t="inlineStr">
        <is>
          <t>塩ビシート防水 耐用年数について、工事内容、耐用年数、費用目安、雨漏りを防ぐための注意点をわかりやすく解説します。</t>
        </is>
      </c>
      <c r="O41" s="3" t="inlineStr">
        <is>
          <t>防水・シーリング</t>
        </is>
      </c>
      <c r="P41" s="3" t="inlineStr">
        <is>
          <t>防水、防水・シーリング</t>
        </is>
      </c>
      <c r="Q41" s="3" t="inlineStr">
        <is>
          <t>未着手</t>
        </is>
      </c>
      <c r="R41" s="3" t="inlineStr">
        <is>
          <t>未着手</t>
        </is>
      </c>
      <c r="S41" s="3" t="inlineStr">
        <is>
          <t>未着手</t>
        </is>
      </c>
      <c r="T41" s="3" t="inlineStr">
        <is>
          <t>未着手</t>
        </is>
      </c>
      <c r="U41" s="3" t="n"/>
      <c r="V41" s="3" t="inlineStr">
        <is>
          <t>関連：ベランダ防水費用、シーリング打ち替え費用、外壁雨漏りへリンク。</t>
        </is>
      </c>
      <c r="W41" s="3" t="n"/>
    </row>
    <row r="42" ht="28.5" customHeight="1" s="24">
      <c r="A42" s="3" t="n">
        <v>41</v>
      </c>
      <c r="B42" s="3" t="inlineStr">
        <is>
          <t>屋根カバー メリット</t>
        </is>
      </c>
      <c r="C42" s="3" t="inlineStr">
        <is>
          <t>屋根カバー メリット</t>
        </is>
      </c>
      <c r="D42" s="3" t="inlineStr">
        <is>
          <t>屋根カバー工法のメリットとは？費用・注意点・向いている屋根</t>
        </is>
      </c>
      <c r="E42" s="3" t="inlineStr">
        <is>
          <t>屋根修理・屋根材</t>
        </is>
      </c>
      <c r="F42" s="3" t="inlineStr">
        <is>
          <t>地域サービス型</t>
        </is>
      </c>
      <c r="G42" s="3" t="inlineStr">
        <is>
          <t>5,000〜7,000字</t>
        </is>
      </c>
      <c r="H42" s="3" t="inlineStr">
        <is>
          <t>高</t>
        </is>
      </c>
      <c r="I42" s="3" t="inlineStr">
        <is>
          <t>第2ロット：屋根修理・屋根材系</t>
        </is>
      </c>
      <c r="J42" s="3" t="inlineStr">
        <is>
          <t>屋根修理系</t>
        </is>
      </c>
      <c r="K42" s="3" t="inlineStr">
        <is>
          <t>屋根カバー メリット
ポイントを解説</t>
        </is>
      </c>
      <c r="L42" s="3" t="inlineStr">
        <is>
          <t>roof-cover-method-merit</t>
        </is>
      </c>
      <c r="M42" s="3" t="inlineStr">
        <is>
          <t>roof-cover-method-merit.webp</t>
        </is>
      </c>
      <c r="N42" s="3" t="inlineStr">
        <is>
          <t>屋根カバー メリットについて、劣化症状、修理方法、費用目安、依頼前に確認したいポイントをわかりやすく解説します。</t>
        </is>
      </c>
      <c r="O42" s="3" t="inlineStr">
        <is>
          <t>屋根修理</t>
        </is>
      </c>
      <c r="P42" s="3" t="inlineStr">
        <is>
          <t>屋根修理</t>
        </is>
      </c>
      <c r="Q42" s="3" t="inlineStr">
        <is>
          <t>未着手</t>
        </is>
      </c>
      <c r="R42" s="3" t="inlineStr">
        <is>
          <t>未着手</t>
        </is>
      </c>
      <c r="S42" s="3" t="inlineStr">
        <is>
          <t>未着手</t>
        </is>
      </c>
      <c r="T42" s="3" t="inlineStr">
        <is>
          <t>未着手</t>
        </is>
      </c>
      <c r="U42" s="3" t="n"/>
      <c r="V42" s="3" t="inlineStr">
        <is>
          <t>中心記事「松山市の屋根修理」へリンク。関連：屋根カバー・屋根材注意記事。</t>
        </is>
      </c>
      <c r="W42" s="3" t="n"/>
    </row>
    <row r="43" ht="28.5" customHeight="1" s="24">
      <c r="A43" s="3" t="n">
        <v>42</v>
      </c>
      <c r="B43" s="3" t="inlineStr">
        <is>
          <t>ガルテクト デメリット</t>
        </is>
      </c>
      <c r="C43" s="3" t="inlineStr">
        <is>
          <t>ガルテクト デメリット</t>
        </is>
      </c>
      <c r="D43" s="3" t="inlineStr">
        <is>
          <t>ガルテクトのデメリットとは？屋根カバー前に知りたい注意点</t>
        </is>
      </c>
      <c r="E43" s="3" t="inlineStr">
        <is>
          <t>屋根修理・屋根材</t>
        </is>
      </c>
      <c r="F43" s="3" t="inlineStr">
        <is>
          <t>屋根材注意型</t>
        </is>
      </c>
      <c r="G43" s="3" t="inlineStr">
        <is>
          <t>5,000〜7,000字</t>
        </is>
      </c>
      <c r="H43" s="3" t="inlineStr">
        <is>
          <t>高</t>
        </is>
      </c>
      <c r="I43" s="3" t="inlineStr">
        <is>
          <t>第2ロット：屋根修理・屋根材系</t>
        </is>
      </c>
      <c r="J43" s="3" t="inlineStr">
        <is>
          <t>屋根修理系</t>
        </is>
      </c>
      <c r="K43" s="3" t="inlineStr">
        <is>
          <t>ガルテクトのデメリット
施工前の注意点</t>
        </is>
      </c>
      <c r="L43" s="3" t="inlineStr">
        <is>
          <t>galtect-demerit</t>
        </is>
      </c>
      <c r="M43" s="3" t="inlineStr">
        <is>
          <t>galtect-demerit.webp</t>
        </is>
      </c>
      <c r="N43" s="3" t="inlineStr">
        <is>
          <t>ガルテクト デメリットについて、劣化症状、修理方法、費用目安、依頼前に確認したいポイントをわかりやすく解説します。</t>
        </is>
      </c>
      <c r="O43" s="3" t="inlineStr">
        <is>
          <t>屋根修理</t>
        </is>
      </c>
      <c r="P43" s="3" t="inlineStr">
        <is>
          <t>屋根修理</t>
        </is>
      </c>
      <c r="Q43" s="3" t="inlineStr">
        <is>
          <t>未着手</t>
        </is>
      </c>
      <c r="R43" s="3" t="inlineStr">
        <is>
          <t>未着手</t>
        </is>
      </c>
      <c r="S43" s="3" t="inlineStr">
        <is>
          <t>未着手</t>
        </is>
      </c>
      <c r="T43" s="3" t="inlineStr">
        <is>
          <t>未着手</t>
        </is>
      </c>
      <c r="U43" s="3" t="n"/>
      <c r="V43" s="3" t="inlineStr">
        <is>
          <t>中心記事「松山市の屋根修理」へリンク。関連：屋根カバー・屋根材注意記事。</t>
        </is>
      </c>
      <c r="W43" s="3" t="n"/>
    </row>
    <row r="44" ht="28.5" customHeight="1" s="24">
      <c r="A44" s="3" t="n">
        <v>43</v>
      </c>
      <c r="B44" s="3" t="inlineStr">
        <is>
          <t>ヴェルウッド デメリット</t>
        </is>
      </c>
      <c r="C44" s="3" t="inlineStr">
        <is>
          <t>ヴェルウッド デメリット</t>
        </is>
      </c>
      <c r="D44" s="3" t="inlineStr">
        <is>
          <t>ヴェルウッドのデメリットとは？屋根材選びで確認したいポイント</t>
        </is>
      </c>
      <c r="E44" s="3" t="inlineStr">
        <is>
          <t>屋根修理・屋根材</t>
        </is>
      </c>
      <c r="F44" s="3" t="inlineStr">
        <is>
          <t>屋根材注意型</t>
        </is>
      </c>
      <c r="G44" s="3" t="inlineStr">
        <is>
          <t>5,000〜7,000字</t>
        </is>
      </c>
      <c r="H44" s="3" t="inlineStr">
        <is>
          <t>高</t>
        </is>
      </c>
      <c r="I44" s="3" t="inlineStr">
        <is>
          <t>第2ロット：屋根修理・屋根材系</t>
        </is>
      </c>
      <c r="J44" s="3" t="inlineStr">
        <is>
          <t>屋根修理系</t>
        </is>
      </c>
      <c r="K44" s="3" t="inlineStr">
        <is>
          <t>ヴェルウッドのデメリット
施工前の注意点</t>
        </is>
      </c>
      <c r="L44" s="3" t="inlineStr">
        <is>
          <t>velwood-demerit</t>
        </is>
      </c>
      <c r="M44" s="3" t="inlineStr">
        <is>
          <t>velwood-demerit.webp</t>
        </is>
      </c>
      <c r="N44" s="3" t="inlineStr">
        <is>
          <t>ヴェルウッド デメリットについて、劣化症状、修理方法、費用目安、依頼前に確認したいポイントをわかりやすく解説します。</t>
        </is>
      </c>
      <c r="O44" s="3" t="inlineStr">
        <is>
          <t>屋根修理</t>
        </is>
      </c>
      <c r="P44" s="3" t="inlineStr">
        <is>
          <t>屋根修理</t>
        </is>
      </c>
      <c r="Q44" s="3" t="inlineStr">
        <is>
          <t>未着手</t>
        </is>
      </c>
      <c r="R44" s="3" t="inlineStr">
        <is>
          <t>未着手</t>
        </is>
      </c>
      <c r="S44" s="3" t="inlineStr">
        <is>
          <t>未着手</t>
        </is>
      </c>
      <c r="T44" s="3" t="inlineStr">
        <is>
          <t>未着手</t>
        </is>
      </c>
      <c r="U44" s="3" t="n"/>
      <c r="V44" s="3" t="inlineStr">
        <is>
          <t>中心記事「松山市の屋根修理」へリンク。関連：屋根カバー・屋根材注意記事。</t>
        </is>
      </c>
      <c r="W44" s="3" t="n"/>
    </row>
    <row r="45" ht="28.5" customHeight="1" s="24">
      <c r="A45" s="3" t="n">
        <v>44</v>
      </c>
      <c r="B45" s="3" t="inlineStr">
        <is>
          <t>パミール 屋根 対策</t>
        </is>
      </c>
      <c r="C45" s="3" t="inlineStr">
        <is>
          <t>パミール 屋根 対策</t>
        </is>
      </c>
      <c r="D45" s="3" t="inlineStr">
        <is>
          <t>パミール屋根の対策とは？塗装できない理由と修理方法を解説</t>
        </is>
      </c>
      <c r="E45" s="3" t="inlineStr">
        <is>
          <t>屋根修理・屋根材</t>
        </is>
      </c>
      <c r="F45" s="3" t="inlineStr">
        <is>
          <t>屋根材注意型</t>
        </is>
      </c>
      <c r="G45" s="3" t="inlineStr">
        <is>
          <t>5,000〜7,000字</t>
        </is>
      </c>
      <c r="H45" s="3" t="inlineStr">
        <is>
          <t>高</t>
        </is>
      </c>
      <c r="I45" s="3" t="inlineStr">
        <is>
          <t>第2ロット：屋根修理・屋根材系</t>
        </is>
      </c>
      <c r="J45" s="3" t="inlineStr">
        <is>
          <t>屋根修理系</t>
        </is>
      </c>
      <c r="K45" s="3" t="inlineStr">
        <is>
          <t>パミール 屋根 対策
ポイントを解説</t>
        </is>
      </c>
      <c r="L45" s="3" t="inlineStr">
        <is>
          <t>pamir-roof-countermeasure</t>
        </is>
      </c>
      <c r="M45" s="3" t="inlineStr">
        <is>
          <t>pamir-roof-countermeasure.webp</t>
        </is>
      </c>
      <c r="N45" s="3" t="inlineStr">
        <is>
          <t>パミール 屋根 対策について、劣化症状、修理方法、費用目安、依頼前に確認したいポイントをわかりやすく解説します。</t>
        </is>
      </c>
      <c r="O45" s="3" t="inlineStr">
        <is>
          <t>屋根修理</t>
        </is>
      </c>
      <c r="P45" s="3" t="inlineStr">
        <is>
          <t>屋根修理</t>
        </is>
      </c>
      <c r="Q45" s="3" t="inlineStr">
        <is>
          <t>未着手</t>
        </is>
      </c>
      <c r="R45" s="3" t="inlineStr">
        <is>
          <t>未着手</t>
        </is>
      </c>
      <c r="S45" s="3" t="inlineStr">
        <is>
          <t>未着手</t>
        </is>
      </c>
      <c r="T45" s="3" t="inlineStr">
        <is>
          <t>未着手</t>
        </is>
      </c>
      <c r="U45" s="3" t="n"/>
      <c r="V45" s="3" t="inlineStr">
        <is>
          <t>中心記事「松山市の屋根修理」へリンク。関連：屋根カバー・屋根材注意記事。</t>
        </is>
      </c>
      <c r="W45" s="3" t="n"/>
    </row>
    <row r="46" ht="28.5" customHeight="1" s="24">
      <c r="A46" s="3" t="n">
        <v>45</v>
      </c>
      <c r="B46" s="3" t="inlineStr">
        <is>
          <t>コロニアルNEO 雨漏り</t>
        </is>
      </c>
      <c r="C46" s="3" t="inlineStr">
        <is>
          <t>コロニアルNEO 雨漏り</t>
        </is>
      </c>
      <c r="D46" s="3" t="inlineStr">
        <is>
          <t>コロニアルNEOは雨漏りしやすい？劣化症状と対策を解説</t>
        </is>
      </c>
      <c r="E46" s="3" t="inlineStr">
        <is>
          <t>屋根修理・屋根材</t>
        </is>
      </c>
      <c r="F46" s="3" t="inlineStr">
        <is>
          <t>屋根材注意型</t>
        </is>
      </c>
      <c r="G46" s="3" t="inlineStr">
        <is>
          <t>5,000〜7,000字</t>
        </is>
      </c>
      <c r="H46" s="3" t="inlineStr">
        <is>
          <t>高</t>
        </is>
      </c>
      <c r="I46" s="3" t="inlineStr">
        <is>
          <t>第2ロット：屋根修理・屋根材系</t>
        </is>
      </c>
      <c r="J46" s="3" t="inlineStr">
        <is>
          <t>屋根修理系</t>
        </is>
      </c>
      <c r="K46" s="3" t="inlineStr">
        <is>
          <t>コロニアルNEO 雨漏り
原因と修理方法</t>
        </is>
      </c>
      <c r="L46" s="3" t="inlineStr">
        <is>
          <t>colonial-neo-leak</t>
        </is>
      </c>
      <c r="M46" s="3" t="inlineStr">
        <is>
          <t>colonial-neo-leak.webp</t>
        </is>
      </c>
      <c r="N46" s="3" t="inlineStr">
        <is>
          <t>コロニアルNEO 雨漏りについて、劣化症状、修理方法、費用目安、依頼前に確認したいポイントをわかりやすく解説します。</t>
        </is>
      </c>
      <c r="O46" s="3" t="inlineStr">
        <is>
          <t>屋根修理</t>
        </is>
      </c>
      <c r="P46" s="3" t="inlineStr">
        <is>
          <t>雨漏り、屋根修理</t>
        </is>
      </c>
      <c r="Q46" s="3" t="inlineStr">
        <is>
          <t>未着手</t>
        </is>
      </c>
      <c r="R46" s="3" t="inlineStr">
        <is>
          <t>未着手</t>
        </is>
      </c>
      <c r="S46" s="3" t="inlineStr">
        <is>
          <t>未着手</t>
        </is>
      </c>
      <c r="T46" s="3" t="inlineStr">
        <is>
          <t>未着手</t>
        </is>
      </c>
      <c r="U46" s="3" t="n"/>
      <c r="V46" s="3" t="inlineStr">
        <is>
          <t>中心記事「松山市の屋根修理」へリンク。関連：屋根カバー・屋根材注意記事。</t>
        </is>
      </c>
      <c r="W46" s="3" t="n"/>
    </row>
    <row r="47" ht="28.5" customHeight="1" s="24">
      <c r="A47" s="3" t="n">
        <v>46</v>
      </c>
      <c r="B47" s="3" t="inlineStr">
        <is>
          <t>アーバニー 屋根 修理</t>
        </is>
      </c>
      <c r="C47" s="3" t="inlineStr">
        <is>
          <t>アーバニー 屋根 修理</t>
        </is>
      </c>
      <c r="D47" s="3" t="inlineStr">
        <is>
          <t>アーバニー屋根の修理方法｜割れ・剥がれ・雨漏り対策</t>
        </is>
      </c>
      <c r="E47" s="3" t="inlineStr">
        <is>
          <t>屋根修理・屋根材</t>
        </is>
      </c>
      <c r="F47" s="3" t="inlineStr">
        <is>
          <t>屋根材注意型</t>
        </is>
      </c>
      <c r="G47" s="3" t="inlineStr">
        <is>
          <t>5,000〜7,000字</t>
        </is>
      </c>
      <c r="H47" s="3" t="inlineStr">
        <is>
          <t>高</t>
        </is>
      </c>
      <c r="I47" s="3" t="inlineStr">
        <is>
          <t>第2ロット：屋根修理・屋根材系</t>
        </is>
      </c>
      <c r="J47" s="3" t="inlineStr">
        <is>
          <t>屋根修理系</t>
        </is>
      </c>
      <c r="K47" s="3" t="inlineStr">
        <is>
          <t>アーバニー 屋根 修理
ポイントを解説</t>
        </is>
      </c>
      <c r="L47" s="3" t="inlineStr">
        <is>
          <t>urbany-roof-repair</t>
        </is>
      </c>
      <c r="M47" s="3" t="inlineStr">
        <is>
          <t>urbany-roof-repair.webp</t>
        </is>
      </c>
      <c r="N47" s="3" t="inlineStr">
        <is>
          <t>アーバニー 屋根 修理について、劣化症状、修理方法、費用目安、依頼前に確認したいポイントをわかりやすく解説します。</t>
        </is>
      </c>
      <c r="O47" s="3" t="inlineStr">
        <is>
          <t>屋根修理</t>
        </is>
      </c>
      <c r="P47" s="3" t="inlineStr">
        <is>
          <t>屋根修理</t>
        </is>
      </c>
      <c r="Q47" s="3" t="inlineStr">
        <is>
          <t>未着手</t>
        </is>
      </c>
      <c r="R47" s="3" t="inlineStr">
        <is>
          <t>未着手</t>
        </is>
      </c>
      <c r="S47" s="3" t="inlineStr">
        <is>
          <t>未着手</t>
        </is>
      </c>
      <c r="T47" s="3" t="inlineStr">
        <is>
          <t>未着手</t>
        </is>
      </c>
      <c r="U47" s="3" t="n"/>
      <c r="V47" s="3" t="inlineStr">
        <is>
          <t>中心記事「松山市の屋根修理」へリンク。関連：屋根カバー・屋根材注意記事。</t>
        </is>
      </c>
      <c r="W47" s="3" t="n"/>
    </row>
    <row r="48" ht="28.5" customHeight="1" s="24">
      <c r="A48" s="3" t="n">
        <v>47</v>
      </c>
      <c r="B48" s="3" t="inlineStr">
        <is>
          <t>セキスイかわらU 修理</t>
        </is>
      </c>
      <c r="C48" s="3" t="inlineStr">
        <is>
          <t>セキスイかわらU 修理</t>
        </is>
      </c>
      <c r="D48" s="3" t="inlineStr">
        <is>
          <t>セキスイかわらUの修理はどうする？塗装前に知るべき注意点</t>
        </is>
      </c>
      <c r="E48" s="3" t="inlineStr">
        <is>
          <t>屋根修理・屋根材</t>
        </is>
      </c>
      <c r="F48" s="3" t="inlineStr">
        <is>
          <t>屋根材注意型</t>
        </is>
      </c>
      <c r="G48" s="3" t="inlineStr">
        <is>
          <t>5,000〜7,000字</t>
        </is>
      </c>
      <c r="H48" s="3" t="inlineStr">
        <is>
          <t>高</t>
        </is>
      </c>
      <c r="I48" s="3" t="inlineStr">
        <is>
          <t>第2ロット：屋根修理・屋根材系</t>
        </is>
      </c>
      <c r="J48" s="3" t="inlineStr">
        <is>
          <t>屋根修理系</t>
        </is>
      </c>
      <c r="K48" s="3" t="inlineStr">
        <is>
          <t>セキスイかわらU 修理
ポイントを解説</t>
        </is>
      </c>
      <c r="L48" s="3" t="inlineStr">
        <is>
          <t>sekisui-kawara-u-repair</t>
        </is>
      </c>
      <c r="M48" s="3" t="inlineStr">
        <is>
          <t>sekisui-kawara-u-repair.webp</t>
        </is>
      </c>
      <c r="N48" s="3" t="inlineStr">
        <is>
          <t>セキスイかわらU 修理について、劣化症状、修理方法、費用目安、依頼前に確認したいポイントをわかりやすく解説します。</t>
        </is>
      </c>
      <c r="O48" s="3" t="inlineStr">
        <is>
          <t>屋根修理</t>
        </is>
      </c>
      <c r="P48" s="3" t="inlineStr">
        <is>
          <t>屋根修理</t>
        </is>
      </c>
      <c r="Q48" s="3" t="inlineStr">
        <is>
          <t>未着手</t>
        </is>
      </c>
      <c r="R48" s="3" t="inlineStr">
        <is>
          <t>未着手</t>
        </is>
      </c>
      <c r="S48" s="3" t="inlineStr">
        <is>
          <t>未着手</t>
        </is>
      </c>
      <c r="T48" s="3" t="inlineStr">
        <is>
          <t>未着手</t>
        </is>
      </c>
      <c r="U48" s="3" t="n"/>
      <c r="V48" s="3" t="inlineStr">
        <is>
          <t>中心記事「松山市の屋根修理」へリンク。関連：屋根カバー・屋根材注意記事。</t>
        </is>
      </c>
      <c r="W48" s="3" t="n"/>
    </row>
    <row r="49" ht="28.5" customHeight="1" s="24">
      <c r="A49" s="3" t="n">
        <v>48</v>
      </c>
      <c r="B49" s="3" t="inlineStr">
        <is>
          <t>モニエル瓦 塗装</t>
        </is>
      </c>
      <c r="C49" s="3" t="inlineStr">
        <is>
          <t>モニエル瓦 塗装</t>
        </is>
      </c>
      <c r="D49" s="3" t="inlineStr">
        <is>
          <t>モニエル瓦の塗装は難しい？特徴・注意点・業者選びを解説</t>
        </is>
      </c>
      <c r="E49" s="3" t="inlineStr">
        <is>
          <t>屋根修理・屋根材</t>
        </is>
      </c>
      <c r="F49" s="3" t="inlineStr">
        <is>
          <t>屋根材注意型</t>
        </is>
      </c>
      <c r="G49" s="3" t="inlineStr">
        <is>
          <t>5,000〜7,000字</t>
        </is>
      </c>
      <c r="H49" s="3" t="inlineStr">
        <is>
          <t>高</t>
        </is>
      </c>
      <c r="I49" s="3" t="inlineStr">
        <is>
          <t>第2ロット：屋根修理・屋根材系</t>
        </is>
      </c>
      <c r="J49" s="3" t="inlineStr">
        <is>
          <t>屋根修理系</t>
        </is>
      </c>
      <c r="K49" s="3" t="inlineStr">
        <is>
          <t>モニエル瓦 塗装
特徴・費用・注意点</t>
        </is>
      </c>
      <c r="L49" s="3" t="inlineStr">
        <is>
          <t>monier-tile-paint</t>
        </is>
      </c>
      <c r="M49" s="3" t="inlineStr">
        <is>
          <t>monier-tile-paint.webp</t>
        </is>
      </c>
      <c r="N49" s="3" t="inlineStr">
        <is>
          <t>モニエル瓦 塗装について、劣化症状、修理方法、費用目安、依頼前に確認したいポイントをわかりやすく解説します。</t>
        </is>
      </c>
      <c r="O49" s="3" t="inlineStr">
        <is>
          <t>屋根修理</t>
        </is>
      </c>
      <c r="P49" s="3" t="inlineStr">
        <is>
          <t>屋根修理</t>
        </is>
      </c>
      <c r="Q49" s="3" t="inlineStr">
        <is>
          <t>未着手</t>
        </is>
      </c>
      <c r="R49" s="3" t="inlineStr">
        <is>
          <t>未着手</t>
        </is>
      </c>
      <c r="S49" s="3" t="inlineStr">
        <is>
          <t>未着手</t>
        </is>
      </c>
      <c r="T49" s="3" t="inlineStr">
        <is>
          <t>未着手</t>
        </is>
      </c>
      <c r="U49" s="3" t="n"/>
      <c r="V49" s="3" t="inlineStr">
        <is>
          <t>中心記事「松山市の屋根修理」へリンク。関連：屋根カバー・屋根材注意記事。</t>
        </is>
      </c>
      <c r="W49" s="3" t="n"/>
    </row>
    <row r="50" ht="28.5" customHeight="1" s="24">
      <c r="A50" s="3" t="n">
        <v>49</v>
      </c>
      <c r="B50" s="3" t="inlineStr">
        <is>
          <t>屋根塗装しない方がいい屋根</t>
        </is>
      </c>
      <c r="C50" s="3" t="inlineStr">
        <is>
          <t>屋根塗装しない方がいい屋根</t>
        </is>
      </c>
      <c r="D50" s="3" t="inlineStr">
        <is>
          <t>屋根塗装しない方がいい屋根とは？塗装できない屋根材と対策</t>
        </is>
      </c>
      <c r="E50" s="3" t="inlineStr">
        <is>
          <t>屋根修理・屋根材</t>
        </is>
      </c>
      <c r="F50" s="3" t="inlineStr">
        <is>
          <t>屋根材注意型</t>
        </is>
      </c>
      <c r="G50" s="3" t="inlineStr">
        <is>
          <t>5,000〜7,000字</t>
        </is>
      </c>
      <c r="H50" s="3" t="inlineStr">
        <is>
          <t>高</t>
        </is>
      </c>
      <c r="I50" s="3" t="inlineStr">
        <is>
          <t>第2ロット：屋根修理・屋根材系</t>
        </is>
      </c>
      <c r="J50" s="3" t="inlineStr">
        <is>
          <t>屋根修理系</t>
        </is>
      </c>
      <c r="K50" s="3" t="inlineStr">
        <is>
          <t>屋根塗装しない方がいい屋根
特徴・費用・注意点</t>
        </is>
      </c>
      <c r="L50" s="3" t="inlineStr">
        <is>
          <t>roof-not-suitable-for-painting</t>
        </is>
      </c>
      <c r="M50" s="3" t="inlineStr">
        <is>
          <t>roof-not-suitable-for-painting.webp</t>
        </is>
      </c>
      <c r="N50" s="3" t="inlineStr">
        <is>
          <t>屋根塗装しない方がいい屋根について、劣化症状、修理方法、費用目安、依頼前に確認したいポイントをわかりやすく解説します。</t>
        </is>
      </c>
      <c r="O50" s="3" t="inlineStr">
        <is>
          <t>屋根修理</t>
        </is>
      </c>
      <c r="P50" s="3" t="inlineStr">
        <is>
          <t>屋根修理</t>
        </is>
      </c>
      <c r="Q50" s="3" t="inlineStr">
        <is>
          <t>未着手</t>
        </is>
      </c>
      <c r="R50" s="3" t="inlineStr">
        <is>
          <t>未着手</t>
        </is>
      </c>
      <c r="S50" s="3" t="inlineStr">
        <is>
          <t>未着手</t>
        </is>
      </c>
      <c r="T50" s="3" t="inlineStr">
        <is>
          <t>未着手</t>
        </is>
      </c>
      <c r="U50" s="3" t="n"/>
      <c r="V50" s="3" t="inlineStr">
        <is>
          <t>中心記事「松山市の屋根修理」へリンク。関連：屋根カバー・屋根材注意記事。</t>
        </is>
      </c>
      <c r="W50" s="3" t="n"/>
    </row>
    <row r="51" ht="28.5" customHeight="1" s="24">
      <c r="A51" s="3" t="n">
        <v>50</v>
      </c>
      <c r="B51" s="3" t="inlineStr">
        <is>
          <t>外壁塗装と防水工事</t>
        </is>
      </c>
      <c r="C51" s="3" t="inlineStr">
        <is>
          <t>外壁塗装と防水工事</t>
        </is>
      </c>
      <c r="D51" s="3" t="inlineStr">
        <is>
          <t>外壁塗装と防水工事は同時にできる？違い・費用・注意点</t>
        </is>
      </c>
      <c r="E51" s="3" t="inlineStr">
        <is>
          <t>防水・シーリング</t>
        </is>
      </c>
      <c r="F51" s="3" t="inlineStr">
        <is>
          <t>防水・シーリング型</t>
        </is>
      </c>
      <c r="G51" s="3" t="inlineStr">
        <is>
          <t>4,500〜6,000字</t>
        </is>
      </c>
      <c r="H51" s="3" t="inlineStr">
        <is>
          <t>中</t>
        </is>
      </c>
      <c r="I51" s="3" t="inlineStr">
        <is>
          <t>第3ロット：外壁塗装・防水系</t>
        </is>
      </c>
      <c r="J51" s="3" t="inlineStr">
        <is>
          <t>防水系</t>
        </is>
      </c>
      <c r="K51" s="3" t="inlineStr">
        <is>
          <t>外壁塗装と防水工事
特徴・費用・注意点</t>
        </is>
      </c>
      <c r="L51" s="3" t="inlineStr">
        <is>
          <t>exterior-paint-waterproofing</t>
        </is>
      </c>
      <c r="M51" s="3" t="inlineStr">
        <is>
          <t>exterior-paint-waterproofing.webp</t>
        </is>
      </c>
      <c r="N51" s="3" t="inlineStr">
        <is>
          <t>外壁塗装と防水工事について、工事内容、耐用年数、費用目安、雨漏りを防ぐための注意点をわかりやすく解説します。</t>
        </is>
      </c>
      <c r="O51" s="3" t="inlineStr">
        <is>
          <t>防水・シーリング</t>
        </is>
      </c>
      <c r="P51" s="3" t="inlineStr">
        <is>
          <t>外壁塗装、防水、防水・シーリング</t>
        </is>
      </c>
      <c r="Q51" s="3" t="inlineStr">
        <is>
          <t>未着手</t>
        </is>
      </c>
      <c r="R51" s="3" t="inlineStr">
        <is>
          <t>未着手</t>
        </is>
      </c>
      <c r="S51" s="3" t="inlineStr">
        <is>
          <t>未着手</t>
        </is>
      </c>
      <c r="T51" s="3" t="inlineStr">
        <is>
          <t>未着手</t>
        </is>
      </c>
      <c r="U51" s="3" t="n"/>
      <c r="V51" s="3" t="inlineStr">
        <is>
          <t>関連：ベランダ防水費用、シーリング打ち替え費用、外壁雨漏りへリンク。</t>
        </is>
      </c>
      <c r="W51" s="3" t="n"/>
    </row>
    <row r="52" ht="28.5" customHeight="1" s="24">
      <c r="A52" s="3" t="n">
        <v>51</v>
      </c>
      <c r="B52" s="3" t="inlineStr">
        <is>
          <t>外壁塗装と屋根カバー</t>
        </is>
      </c>
      <c r="C52" s="3" t="inlineStr">
        <is>
          <t>外壁塗装と屋根カバー</t>
        </is>
      </c>
      <c r="D52" s="3" t="inlineStr">
        <is>
          <t>屋根カバー工法のメリットとは？費用・注意点・向いている屋根</t>
        </is>
      </c>
      <c r="E52" s="3" t="inlineStr">
        <is>
          <t>屋根修理・屋根材</t>
        </is>
      </c>
      <c r="F52" s="3" t="inlineStr">
        <is>
          <t>地域サービス型</t>
        </is>
      </c>
      <c r="G52" s="3" t="inlineStr">
        <is>
          <t>5,000〜7,000字</t>
        </is>
      </c>
      <c r="H52" s="3" t="inlineStr">
        <is>
          <t>高</t>
        </is>
      </c>
      <c r="I52" s="3" t="inlineStr">
        <is>
          <t>第2ロット：屋根修理・屋根材系</t>
        </is>
      </c>
      <c r="J52" s="3" t="inlineStr">
        <is>
          <t>屋根修理系</t>
        </is>
      </c>
      <c r="K52" s="3" t="inlineStr">
        <is>
          <t>外壁塗装と屋根カバー
特徴・費用・注意点</t>
        </is>
      </c>
      <c r="L52" s="3" t="inlineStr">
        <is>
          <t>exterior-paint-roof-cover</t>
        </is>
      </c>
      <c r="M52" s="3" t="inlineStr">
        <is>
          <t>exterior-paint-roof-cover.webp</t>
        </is>
      </c>
      <c r="N52" s="3" t="inlineStr">
        <is>
          <t>外壁塗装と屋根カバーについて、劣化症状、修理方法、費用目安、依頼前に確認したいポイントをわかりやすく解説します。</t>
        </is>
      </c>
      <c r="O52" s="3" t="inlineStr">
        <is>
          <t>屋根修理</t>
        </is>
      </c>
      <c r="P52" s="3" t="inlineStr">
        <is>
          <t>外壁塗装、屋根修理</t>
        </is>
      </c>
      <c r="Q52" s="3" t="inlineStr">
        <is>
          <t>未着手</t>
        </is>
      </c>
      <c r="R52" s="3" t="inlineStr">
        <is>
          <t>未着手</t>
        </is>
      </c>
      <c r="S52" s="3" t="inlineStr">
        <is>
          <t>未着手</t>
        </is>
      </c>
      <c r="T52" s="3" t="inlineStr">
        <is>
          <t>未着手</t>
        </is>
      </c>
      <c r="U52" s="3" t="n"/>
      <c r="V52" s="3" t="inlineStr">
        <is>
          <t>中心記事「松山市の屋根修理」へリンク。関連：屋根カバー・屋根材注意記事。</t>
        </is>
      </c>
      <c r="W52" s="3" t="n"/>
    </row>
    <row r="53" ht="28.5" customHeight="1" s="24">
      <c r="A53" s="3" t="n">
        <v>52</v>
      </c>
      <c r="B53" s="3" t="inlineStr">
        <is>
          <t>外壁塗装 雨の日</t>
        </is>
      </c>
      <c r="C53" s="3" t="inlineStr">
        <is>
          <t>外壁塗装 雨の日</t>
        </is>
      </c>
      <c r="D53" s="3" t="inlineStr">
        <is>
          <t>外壁塗装は雨の日にできる？季節ごとの注意点を解説</t>
        </is>
      </c>
      <c r="E53" s="3" t="inlineStr">
        <is>
          <t>外壁塗装</t>
        </is>
      </c>
      <c r="F53" s="3" t="inlineStr">
        <is>
          <t>季節・時期型</t>
        </is>
      </c>
      <c r="G53" s="3" t="inlineStr">
        <is>
          <t>4,500〜6,000字</t>
        </is>
      </c>
      <c r="H53" s="3" t="inlineStr">
        <is>
          <t>中</t>
        </is>
      </c>
      <c r="I53" s="3" t="inlineStr">
        <is>
          <t>第3ロット：外壁塗装・防水系</t>
        </is>
      </c>
      <c r="J53" s="3" t="inlineStr">
        <is>
          <t>外壁塗装系</t>
        </is>
      </c>
      <c r="K53" s="3" t="inlineStr">
        <is>
          <t>外壁塗装 雨の日
特徴・費用・注意点</t>
        </is>
      </c>
      <c r="L53" s="3" t="inlineStr">
        <is>
          <t>exterior-paint-rainy-day</t>
        </is>
      </c>
      <c r="M53" s="3" t="inlineStr">
        <is>
          <t>exterior-paint-rainy-day.webp</t>
        </is>
      </c>
      <c r="N53" s="3" t="inlineStr">
        <is>
          <t>外壁塗装 雨の日について、特徴、注意点、費用目安、業者選びのポイントを初心者にもわかりやすく解説します。</t>
        </is>
      </c>
      <c r="O53" s="3" t="inlineStr">
        <is>
          <t>外壁塗装</t>
        </is>
      </c>
      <c r="P53" s="3" t="inlineStr">
        <is>
          <t>外壁塗装</t>
        </is>
      </c>
      <c r="Q53" s="3" t="inlineStr">
        <is>
          <t>未着手</t>
        </is>
      </c>
      <c r="R53" s="3" t="inlineStr">
        <is>
          <t>未着手</t>
        </is>
      </c>
      <c r="S53" s="3" t="inlineStr">
        <is>
          <t>未着手</t>
        </is>
      </c>
      <c r="T53" s="3" t="inlineStr">
        <is>
          <t>未着手</t>
        </is>
      </c>
      <c r="U53" s="3" t="n"/>
      <c r="V53" s="3" t="inlineStr">
        <is>
          <t>関連：外壁塗装工期、足場代、防水工事、屋根カバーへリンク。</t>
        </is>
      </c>
      <c r="W53" s="3" t="n"/>
    </row>
    <row r="54" ht="28.5" customHeight="1" s="24">
      <c r="A54" s="3" t="n">
        <v>53</v>
      </c>
      <c r="B54" s="3" t="inlineStr">
        <is>
          <t>外壁塗装 梅雨</t>
        </is>
      </c>
      <c r="C54" s="3" t="inlineStr">
        <is>
          <t>外壁塗装 梅雨</t>
        </is>
      </c>
      <c r="D54" s="3" t="inlineStr">
        <is>
          <t>外壁塗装は梅雨にできる？季節ごとの注意点を解説</t>
        </is>
      </c>
      <c r="E54" s="3" t="inlineStr">
        <is>
          <t>外壁塗装</t>
        </is>
      </c>
      <c r="F54" s="3" t="inlineStr">
        <is>
          <t>季節・時期型</t>
        </is>
      </c>
      <c r="G54" s="3" t="inlineStr">
        <is>
          <t>4,500〜6,000字</t>
        </is>
      </c>
      <c r="H54" s="3" t="inlineStr">
        <is>
          <t>中</t>
        </is>
      </c>
      <c r="I54" s="3" t="inlineStr">
        <is>
          <t>第3ロット：外壁塗装・防水系</t>
        </is>
      </c>
      <c r="J54" s="3" t="inlineStr">
        <is>
          <t>外壁塗装系</t>
        </is>
      </c>
      <c r="K54" s="3" t="inlineStr">
        <is>
          <t>外壁塗装 梅雨
特徴・費用・注意点</t>
        </is>
      </c>
      <c r="L54" s="3" t="inlineStr">
        <is>
          <t>exterior-paint-rainy-season</t>
        </is>
      </c>
      <c r="M54" s="3" t="inlineStr">
        <is>
          <t>exterior-paint-rainy-season.webp</t>
        </is>
      </c>
      <c r="N54" s="3" t="inlineStr">
        <is>
          <t>外壁塗装 梅雨について、特徴、注意点、費用目安、業者選びのポイントを初心者にもわかりやすく解説します。</t>
        </is>
      </c>
      <c r="O54" s="3" t="inlineStr">
        <is>
          <t>外壁塗装</t>
        </is>
      </c>
      <c r="P54" s="3" t="inlineStr">
        <is>
          <t>外壁塗装</t>
        </is>
      </c>
      <c r="Q54" s="3" t="inlineStr">
        <is>
          <t>未着手</t>
        </is>
      </c>
      <c r="R54" s="3" t="inlineStr">
        <is>
          <t>未着手</t>
        </is>
      </c>
      <c r="S54" s="3" t="inlineStr">
        <is>
          <t>未着手</t>
        </is>
      </c>
      <c r="T54" s="3" t="inlineStr">
        <is>
          <t>未着手</t>
        </is>
      </c>
      <c r="U54" s="3" t="n"/>
      <c r="V54" s="3" t="inlineStr">
        <is>
          <t>関連：外壁塗装工期、足場代、防水工事、屋根カバーへリンク。</t>
        </is>
      </c>
      <c r="W54" s="3" t="n"/>
    </row>
    <row r="55" ht="28.5" customHeight="1" s="24">
      <c r="A55" s="3" t="n">
        <v>54</v>
      </c>
      <c r="B55" s="3" t="inlineStr">
        <is>
          <t>外壁塗装 台風前</t>
        </is>
      </c>
      <c r="C55" s="3" t="inlineStr">
        <is>
          <t>外壁塗装 台風前</t>
        </is>
      </c>
      <c r="D55" s="3" t="inlineStr">
        <is>
          <t>外壁塗装は台風前にできる？季節ごとの注意点を解説</t>
        </is>
      </c>
      <c r="E55" s="3" t="inlineStr">
        <is>
          <t>外壁塗装</t>
        </is>
      </c>
      <c r="F55" s="3" t="inlineStr">
        <is>
          <t>季節・時期型</t>
        </is>
      </c>
      <c r="G55" s="3" t="inlineStr">
        <is>
          <t>4,500〜6,000字</t>
        </is>
      </c>
      <c r="H55" s="3" t="inlineStr">
        <is>
          <t>中</t>
        </is>
      </c>
      <c r="I55" s="3" t="inlineStr">
        <is>
          <t>第3ロット：外壁塗装・防水系</t>
        </is>
      </c>
      <c r="J55" s="3" t="inlineStr">
        <is>
          <t>外壁塗装系</t>
        </is>
      </c>
      <c r="K55" s="3" t="inlineStr">
        <is>
          <t>外壁塗装 台風前
特徴・費用・注意点</t>
        </is>
      </c>
      <c r="L55" s="3" t="inlineStr">
        <is>
          <t>exterior-paint-before-typhoon</t>
        </is>
      </c>
      <c r="M55" s="3" t="inlineStr">
        <is>
          <t>exterior-paint-before-typhoon.webp</t>
        </is>
      </c>
      <c r="N55" s="3" t="inlineStr">
        <is>
          <t>外壁塗装 台風前について、特徴、注意点、費用目安、業者選びのポイントを初心者にもわかりやすく解説します。</t>
        </is>
      </c>
      <c r="O55" s="3" t="inlineStr">
        <is>
          <t>外壁塗装</t>
        </is>
      </c>
      <c r="P55" s="3" t="inlineStr">
        <is>
          <t>外壁塗装</t>
        </is>
      </c>
      <c r="Q55" s="3" t="inlineStr">
        <is>
          <t>未着手</t>
        </is>
      </c>
      <c r="R55" s="3" t="inlineStr">
        <is>
          <t>未着手</t>
        </is>
      </c>
      <c r="S55" s="3" t="inlineStr">
        <is>
          <t>未着手</t>
        </is>
      </c>
      <c r="T55" s="3" t="inlineStr">
        <is>
          <t>未着手</t>
        </is>
      </c>
      <c r="U55" s="3" t="n"/>
      <c r="V55" s="3" t="inlineStr">
        <is>
          <t>関連：外壁塗装工期、足場代、防水工事、屋根カバーへリンク。</t>
        </is>
      </c>
      <c r="W55" s="3" t="n"/>
    </row>
    <row r="56" ht="28.5" customHeight="1" s="24">
      <c r="A56" s="3" t="n">
        <v>55</v>
      </c>
      <c r="B56" s="3" t="inlineStr">
        <is>
          <t>外壁塗装 冬</t>
        </is>
      </c>
      <c r="C56" s="3" t="inlineStr">
        <is>
          <t>外壁塗装 冬</t>
        </is>
      </c>
      <c r="D56" s="3" t="inlineStr">
        <is>
          <t>外壁塗装は冬にできる？季節ごとの注意点を解説</t>
        </is>
      </c>
      <c r="E56" s="3" t="inlineStr">
        <is>
          <t>外壁塗装</t>
        </is>
      </c>
      <c r="F56" s="3" t="inlineStr">
        <is>
          <t>季節・時期型</t>
        </is>
      </c>
      <c r="G56" s="3" t="inlineStr">
        <is>
          <t>4,500〜6,000字</t>
        </is>
      </c>
      <c r="H56" s="3" t="inlineStr">
        <is>
          <t>中</t>
        </is>
      </c>
      <c r="I56" s="3" t="inlineStr">
        <is>
          <t>第3ロット：外壁塗装・防水系</t>
        </is>
      </c>
      <c r="J56" s="3" t="inlineStr">
        <is>
          <t>外壁塗装系</t>
        </is>
      </c>
      <c r="K56" s="3" t="inlineStr">
        <is>
          <t>外壁塗装 冬
特徴・費用・注意点</t>
        </is>
      </c>
      <c r="L56" s="3" t="inlineStr">
        <is>
          <t>exterior-paint-winter</t>
        </is>
      </c>
      <c r="M56" s="3" t="inlineStr">
        <is>
          <t>exterior-paint-winter.webp</t>
        </is>
      </c>
      <c r="N56" s="3" t="inlineStr">
        <is>
          <t>外壁塗装 冬について、特徴、注意点、費用目安、業者選びのポイントを初心者にもわかりやすく解説します。</t>
        </is>
      </c>
      <c r="O56" s="3" t="inlineStr">
        <is>
          <t>外壁塗装</t>
        </is>
      </c>
      <c r="P56" s="3" t="inlineStr">
        <is>
          <t>外壁塗装</t>
        </is>
      </c>
      <c r="Q56" s="3" t="inlineStr">
        <is>
          <t>未着手</t>
        </is>
      </c>
      <c r="R56" s="3" t="inlineStr">
        <is>
          <t>未着手</t>
        </is>
      </c>
      <c r="S56" s="3" t="inlineStr">
        <is>
          <t>未着手</t>
        </is>
      </c>
      <c r="T56" s="3" t="inlineStr">
        <is>
          <t>未着手</t>
        </is>
      </c>
      <c r="U56" s="3" t="n"/>
      <c r="V56" s="3" t="inlineStr">
        <is>
          <t>関連：外壁塗装工期、足場代、防水工事、屋根カバーへリンク。</t>
        </is>
      </c>
      <c r="W56" s="3" t="n"/>
    </row>
    <row r="57" ht="28.5" customHeight="1" s="24">
      <c r="A57" s="3" t="n">
        <v>56</v>
      </c>
      <c r="B57" s="3" t="inlineStr">
        <is>
          <t>外壁塗装 夏</t>
        </is>
      </c>
      <c r="C57" s="3" t="inlineStr">
        <is>
          <t>外壁塗装 夏</t>
        </is>
      </c>
      <c r="D57" s="3" t="inlineStr">
        <is>
          <t>外壁塗装は夏にできる？季節ごとの注意点を解説</t>
        </is>
      </c>
      <c r="E57" s="3" t="inlineStr">
        <is>
          <t>外壁塗装</t>
        </is>
      </c>
      <c r="F57" s="3" t="inlineStr">
        <is>
          <t>季節・時期型</t>
        </is>
      </c>
      <c r="G57" s="3" t="inlineStr">
        <is>
          <t>4,500〜6,000字</t>
        </is>
      </c>
      <c r="H57" s="3" t="inlineStr">
        <is>
          <t>中</t>
        </is>
      </c>
      <c r="I57" s="3" t="inlineStr">
        <is>
          <t>第3ロット：外壁塗装・防水系</t>
        </is>
      </c>
      <c r="J57" s="3" t="inlineStr">
        <is>
          <t>外壁塗装系</t>
        </is>
      </c>
      <c r="K57" s="3" t="inlineStr">
        <is>
          <t>外壁塗装 夏
特徴・費用・注意点</t>
        </is>
      </c>
      <c r="L57" s="3" t="inlineStr">
        <is>
          <t>exterior-paint-summer</t>
        </is>
      </c>
      <c r="M57" s="3" t="inlineStr">
        <is>
          <t>exterior-paint-summer.webp</t>
        </is>
      </c>
      <c r="N57" s="3" t="inlineStr">
        <is>
          <t>外壁塗装 夏について、特徴、注意点、費用目安、業者選びのポイントを初心者にもわかりやすく解説します。</t>
        </is>
      </c>
      <c r="O57" s="3" t="inlineStr">
        <is>
          <t>外壁塗装</t>
        </is>
      </c>
      <c r="P57" s="3" t="inlineStr">
        <is>
          <t>外壁塗装</t>
        </is>
      </c>
      <c r="Q57" s="3" t="inlineStr">
        <is>
          <t>未着手</t>
        </is>
      </c>
      <c r="R57" s="3" t="inlineStr">
        <is>
          <t>未着手</t>
        </is>
      </c>
      <c r="S57" s="3" t="inlineStr">
        <is>
          <t>未着手</t>
        </is>
      </c>
      <c r="T57" s="3" t="inlineStr">
        <is>
          <t>未着手</t>
        </is>
      </c>
      <c r="U57" s="3" t="n"/>
      <c r="V57" s="3" t="inlineStr">
        <is>
          <t>関連：外壁塗装工期、足場代、防水工事、屋根カバーへリンク。</t>
        </is>
      </c>
      <c r="W57" s="3" t="n"/>
    </row>
    <row r="58" ht="28.5" customHeight="1" s="24">
      <c r="A58" s="3" t="n">
        <v>57</v>
      </c>
      <c r="B58" s="3" t="inlineStr">
        <is>
          <t>外壁塗装 春</t>
        </is>
      </c>
      <c r="C58" s="3" t="inlineStr">
        <is>
          <t>外壁塗装 春</t>
        </is>
      </c>
      <c r="D58" s="3" t="inlineStr">
        <is>
          <t>外壁塗装は春にできる？季節ごとの注意点を解説</t>
        </is>
      </c>
      <c r="E58" s="3" t="inlineStr">
        <is>
          <t>外壁塗装</t>
        </is>
      </c>
      <c r="F58" s="3" t="inlineStr">
        <is>
          <t>季節・時期型</t>
        </is>
      </c>
      <c r="G58" s="3" t="inlineStr">
        <is>
          <t>4,500〜6,000字</t>
        </is>
      </c>
      <c r="H58" s="3" t="inlineStr">
        <is>
          <t>中</t>
        </is>
      </c>
      <c r="I58" s="3" t="inlineStr">
        <is>
          <t>第3ロット：外壁塗装・防水系</t>
        </is>
      </c>
      <c r="J58" s="3" t="inlineStr">
        <is>
          <t>外壁塗装系</t>
        </is>
      </c>
      <c r="K58" s="3" t="inlineStr">
        <is>
          <t>外壁塗装 春
特徴・費用・注意点</t>
        </is>
      </c>
      <c r="L58" s="3" t="inlineStr">
        <is>
          <t>exterior-paint-spring</t>
        </is>
      </c>
      <c r="M58" s="3" t="inlineStr">
        <is>
          <t>exterior-paint-spring.webp</t>
        </is>
      </c>
      <c r="N58" s="3" t="inlineStr">
        <is>
          <t>外壁塗装 春について、特徴、注意点、費用目安、業者選びのポイントを初心者にもわかりやすく解説します。</t>
        </is>
      </c>
      <c r="O58" s="3" t="inlineStr">
        <is>
          <t>外壁塗装</t>
        </is>
      </c>
      <c r="P58" s="3" t="inlineStr">
        <is>
          <t>外壁塗装</t>
        </is>
      </c>
      <c r="Q58" s="3" t="inlineStr">
        <is>
          <t>未着手</t>
        </is>
      </c>
      <c r="R58" s="3" t="inlineStr">
        <is>
          <t>未着手</t>
        </is>
      </c>
      <c r="S58" s="3" t="inlineStr">
        <is>
          <t>未着手</t>
        </is>
      </c>
      <c r="T58" s="3" t="inlineStr">
        <is>
          <t>未着手</t>
        </is>
      </c>
      <c r="U58" s="3" t="n"/>
      <c r="V58" s="3" t="inlineStr">
        <is>
          <t>関連：外壁塗装工期、足場代、防水工事、屋根カバーへリンク。</t>
        </is>
      </c>
      <c r="W58" s="3" t="n"/>
    </row>
    <row r="59" ht="28.5" customHeight="1" s="24">
      <c r="A59" s="3" t="n">
        <v>58</v>
      </c>
      <c r="B59" s="3" t="inlineStr">
        <is>
          <t>外壁塗装 秋</t>
        </is>
      </c>
      <c r="C59" s="3" t="inlineStr">
        <is>
          <t>外壁塗装 秋</t>
        </is>
      </c>
      <c r="D59" s="3" t="inlineStr">
        <is>
          <t>外壁塗装は秋にできる？季節ごとの注意点を解説</t>
        </is>
      </c>
      <c r="E59" s="3" t="inlineStr">
        <is>
          <t>外壁塗装</t>
        </is>
      </c>
      <c r="F59" s="3" t="inlineStr">
        <is>
          <t>季節・時期型</t>
        </is>
      </c>
      <c r="G59" s="3" t="inlineStr">
        <is>
          <t>4,500〜6,000字</t>
        </is>
      </c>
      <c r="H59" s="3" t="inlineStr">
        <is>
          <t>中</t>
        </is>
      </c>
      <c r="I59" s="3" t="inlineStr">
        <is>
          <t>第3ロット：外壁塗装・防水系</t>
        </is>
      </c>
      <c r="J59" s="3" t="inlineStr">
        <is>
          <t>外壁塗装系</t>
        </is>
      </c>
      <c r="K59" s="3" t="inlineStr">
        <is>
          <t>外壁塗装 秋
特徴・費用・注意点</t>
        </is>
      </c>
      <c r="L59" s="3" t="inlineStr">
        <is>
          <t>exterior-paint-autumn</t>
        </is>
      </c>
      <c r="M59" s="3" t="inlineStr">
        <is>
          <t>exterior-paint-autumn.webp</t>
        </is>
      </c>
      <c r="N59" s="3" t="inlineStr">
        <is>
          <t>外壁塗装 秋について、特徴、注意点、費用目安、業者選びのポイントを初心者にもわかりやすく解説します。</t>
        </is>
      </c>
      <c r="O59" s="3" t="inlineStr">
        <is>
          <t>外壁塗装</t>
        </is>
      </c>
      <c r="P59" s="3" t="inlineStr">
        <is>
          <t>外壁塗装</t>
        </is>
      </c>
      <c r="Q59" s="3" t="inlineStr">
        <is>
          <t>未着手</t>
        </is>
      </c>
      <c r="R59" s="3" t="inlineStr">
        <is>
          <t>未着手</t>
        </is>
      </c>
      <c r="S59" s="3" t="inlineStr">
        <is>
          <t>未着手</t>
        </is>
      </c>
      <c r="T59" s="3" t="inlineStr">
        <is>
          <t>未着手</t>
        </is>
      </c>
      <c r="U59" s="3" t="n"/>
      <c r="V59" s="3" t="inlineStr">
        <is>
          <t>関連：外壁塗装工期、足場代、防水工事、屋根カバーへリンク。</t>
        </is>
      </c>
      <c r="W59" s="3" t="n"/>
    </row>
    <row r="60" ht="28.5" customHeight="1" s="24">
      <c r="A60" s="3" t="n">
        <v>59</v>
      </c>
      <c r="B60" s="3" t="inlineStr">
        <is>
          <t>外壁塗装 工期</t>
        </is>
      </c>
      <c r="C60" s="3" t="inlineStr">
        <is>
          <t>外壁塗装 工期</t>
        </is>
      </c>
      <c r="D60" s="3" t="inlineStr">
        <is>
          <t>外壁塗装の工期はどれくらい？工程・日数・遅れる原因を解説</t>
        </is>
      </c>
      <c r="E60" s="3" t="inlineStr">
        <is>
          <t>外壁塗装</t>
        </is>
      </c>
      <c r="F60" s="3" t="inlineStr">
        <is>
          <t>季節・時期型</t>
        </is>
      </c>
      <c r="G60" s="3" t="inlineStr">
        <is>
          <t>4,500〜6,000字</t>
        </is>
      </c>
      <c r="H60" s="3" t="inlineStr">
        <is>
          <t>中</t>
        </is>
      </c>
      <c r="I60" s="3" t="inlineStr">
        <is>
          <t>第3ロット：外壁塗装・防水系</t>
        </is>
      </c>
      <c r="J60" s="3" t="inlineStr">
        <is>
          <t>外壁塗装系</t>
        </is>
      </c>
      <c r="K60" s="3" t="inlineStr">
        <is>
          <t>外壁塗装 工期
特徴・費用・注意点</t>
        </is>
      </c>
      <c r="L60" s="3" t="inlineStr">
        <is>
          <t>exterior-paint-duration</t>
        </is>
      </c>
      <c r="M60" s="3" t="inlineStr">
        <is>
          <t>exterior-paint-duration.webp</t>
        </is>
      </c>
      <c r="N60" s="3" t="inlineStr">
        <is>
          <t>外壁塗装 工期について、特徴、注意点、費用目安、業者選びのポイントを初心者にもわかりやすく解説します。</t>
        </is>
      </c>
      <c r="O60" s="3" t="inlineStr">
        <is>
          <t>外壁塗装</t>
        </is>
      </c>
      <c r="P60" s="3" t="inlineStr">
        <is>
          <t>外壁塗装</t>
        </is>
      </c>
      <c r="Q60" s="3" t="inlineStr">
        <is>
          <t>未着手</t>
        </is>
      </c>
      <c r="R60" s="3" t="inlineStr">
        <is>
          <t>未着手</t>
        </is>
      </c>
      <c r="S60" s="3" t="inlineStr">
        <is>
          <t>未着手</t>
        </is>
      </c>
      <c r="T60" s="3" t="inlineStr">
        <is>
          <t>未着手</t>
        </is>
      </c>
      <c r="U60" s="3" t="n"/>
      <c r="V60" s="3" t="inlineStr">
        <is>
          <t>関連：外壁塗装工期、足場代、防水工事、屋根カバーへリンク。</t>
        </is>
      </c>
      <c r="W60" s="3" t="n"/>
    </row>
    <row r="61" ht="28.5" customHeight="1" s="24">
      <c r="A61" s="3" t="n">
        <v>60</v>
      </c>
      <c r="B61" s="3" t="inlineStr">
        <is>
          <t>外壁塗装 足場代</t>
        </is>
      </c>
      <c r="C61" s="3" t="inlineStr">
        <is>
          <t>外壁塗装 足場代</t>
        </is>
      </c>
      <c r="D61" s="3" t="inlineStr">
        <is>
          <t>外壁塗装の足場代はいくら？費用相場と節約の考え方</t>
        </is>
      </c>
      <c r="E61" s="3" t="inlineStr">
        <is>
          <t>外壁塗装</t>
        </is>
      </c>
      <c r="F61" s="3" t="inlineStr">
        <is>
          <t>費用・相場型</t>
        </is>
      </c>
      <c r="G61" s="3" t="inlineStr">
        <is>
          <t>4,500〜6,000字</t>
        </is>
      </c>
      <c r="H61" s="3" t="inlineStr">
        <is>
          <t>中</t>
        </is>
      </c>
      <c r="I61" s="3" t="inlineStr">
        <is>
          <t>第3ロット：外壁塗装・防水系</t>
        </is>
      </c>
      <c r="J61" s="3" t="inlineStr">
        <is>
          <t>外壁塗装系</t>
        </is>
      </c>
      <c r="K61" s="3" t="inlineStr">
        <is>
          <t>外壁塗装 足場代
相場と注意点を解説</t>
        </is>
      </c>
      <c r="L61" s="3" t="inlineStr">
        <is>
          <t>exterior-paint-scaffold-cost</t>
        </is>
      </c>
      <c r="M61" s="3" t="inlineStr">
        <is>
          <t>exterior-paint-scaffold-cost.webp</t>
        </is>
      </c>
      <c r="N61" s="3" t="inlineStr">
        <is>
          <t>外壁塗装 足場代について、費用相場、内訳、金額が変わる要因、見積もり時の注意点をわかりやすく解説します。</t>
        </is>
      </c>
      <c r="O61" s="3" t="inlineStr">
        <is>
          <t>外壁塗装</t>
        </is>
      </c>
      <c r="P61" s="3" t="inlineStr">
        <is>
          <t>外壁塗装</t>
        </is>
      </c>
      <c r="Q61" s="3" t="inlineStr">
        <is>
          <t>未着手</t>
        </is>
      </c>
      <c r="R61" s="3" t="inlineStr">
        <is>
          <t>未着手</t>
        </is>
      </c>
      <c r="S61" s="3" t="inlineStr">
        <is>
          <t>未着手</t>
        </is>
      </c>
      <c r="T61" s="3" t="inlineStr">
        <is>
          <t>未着手</t>
        </is>
      </c>
      <c r="U61" s="3" t="n"/>
      <c r="V61" s="3" t="inlineStr">
        <is>
          <t>関連：外壁塗装工期、足場代、防水工事、屋根カバーへリンク。</t>
        </is>
      </c>
      <c r="W61" s="3" t="n"/>
    </row>
    <row r="62" ht="28.5" customHeight="1" s="24">
      <c r="A62" s="3" t="n">
        <v>61</v>
      </c>
      <c r="B62" s="3" t="inlineStr">
        <is>
          <t>樋 塗装 松山市</t>
        </is>
      </c>
      <c r="C62" s="3" t="inlineStr">
        <is>
          <t>雨樋 塗装 松山市</t>
        </is>
      </c>
      <c r="D62" s="3" t="inlineStr">
        <is>
          <t>松山市の雨樋塗装は必要？費用・劣化症状・塗り替え時期を解説</t>
        </is>
      </c>
      <c r="E62" s="3" t="inlineStr">
        <is>
          <t>付帯部</t>
        </is>
      </c>
      <c r="F62" s="3" t="inlineStr">
        <is>
          <t>付帯部型</t>
        </is>
      </c>
      <c r="G62" s="3" t="inlineStr">
        <is>
          <t>4,500〜6,000字</t>
        </is>
      </c>
      <c r="H62" s="3" t="inlineStr">
        <is>
          <t>中</t>
        </is>
      </c>
      <c r="I62" s="3" t="inlineStr">
        <is>
          <t>第4ロット：雨樋・軒天・付帯部系</t>
        </is>
      </c>
      <c r="J62" s="3" t="inlineStr">
        <is>
          <t>付帯部系</t>
        </is>
      </c>
      <c r="K62" s="3" t="inlineStr">
        <is>
          <t>雨樋 塗装 松山市
症状・費用・注意点</t>
        </is>
      </c>
      <c r="L62" s="3" t="inlineStr">
        <is>
          <t>gutter-paint-matsuyama</t>
        </is>
      </c>
      <c r="M62" s="3" t="inlineStr">
        <is>
          <t>gutter-paint-matsuyama.webp</t>
        </is>
      </c>
      <c r="N62" s="3" t="inlineStr">
        <is>
          <t>雨樋 塗装 松山市について、劣化症状、補修・塗装の判断基準、費用目安、外壁塗装と同時施工するメリットを解説します。</t>
        </is>
      </c>
      <c r="O62" s="3" t="inlineStr">
        <is>
          <t>付帯部</t>
        </is>
      </c>
      <c r="P62" s="3" t="inlineStr">
        <is>
          <t>松山市、雨樋、付帯部</t>
        </is>
      </c>
      <c r="Q62" s="3" t="inlineStr">
        <is>
          <t>未着手</t>
        </is>
      </c>
      <c r="R62" s="3" t="inlineStr">
        <is>
          <t>未着手</t>
        </is>
      </c>
      <c r="S62" s="3" t="inlineStr">
        <is>
          <t>未着手</t>
        </is>
      </c>
      <c r="T62" s="3" t="inlineStr">
        <is>
          <t>未着手</t>
        </is>
      </c>
      <c r="U62" s="3" t="n"/>
      <c r="V62" s="3" t="inlineStr">
        <is>
          <t>関連：外壁塗装、雨樋、軒天、付帯部補修記事へリンク。</t>
        </is>
      </c>
      <c r="W62" s="3" t="n"/>
    </row>
    <row r="63" ht="28.5" customHeight="1" s="24">
      <c r="A63" s="3" t="n">
        <v>62</v>
      </c>
      <c r="B63" s="3" t="inlineStr">
        <is>
          <t>雨樋 交換 松山市</t>
        </is>
      </c>
      <c r="C63" s="3" t="inlineStr">
        <is>
          <t>雨樋 交換 松山市</t>
        </is>
      </c>
      <c r="D63" s="3" t="inlineStr">
        <is>
          <t>松山市の雨樋交換はいつ必要？費用・修理との違いを解説</t>
        </is>
      </c>
      <c r="E63" s="3" t="inlineStr">
        <is>
          <t>付帯部</t>
        </is>
      </c>
      <c r="F63" s="3" t="inlineStr">
        <is>
          <t>付帯部型</t>
        </is>
      </c>
      <c r="G63" s="3" t="inlineStr">
        <is>
          <t>4,500〜6,000字</t>
        </is>
      </c>
      <c r="H63" s="3" t="inlineStr">
        <is>
          <t>中</t>
        </is>
      </c>
      <c r="I63" s="3" t="inlineStr">
        <is>
          <t>第4ロット：雨樋・軒天・付帯部系</t>
        </is>
      </c>
      <c r="J63" s="3" t="inlineStr">
        <is>
          <t>付帯部系</t>
        </is>
      </c>
      <c r="K63" s="3" t="inlineStr">
        <is>
          <t>雨樋 交換 松山市
症状・費用・注意点</t>
        </is>
      </c>
      <c r="L63" s="3" t="inlineStr">
        <is>
          <t>gutter-replacement-matsuyama</t>
        </is>
      </c>
      <c r="M63" s="3" t="inlineStr">
        <is>
          <t>gutter-replacement-matsuyama.webp</t>
        </is>
      </c>
      <c r="N63" s="3" t="inlineStr">
        <is>
          <t>雨樋 交換 松山市について、劣化症状、補修・塗装の判断基準、費用目安、外壁塗装と同時施工するメリットを解説します。</t>
        </is>
      </c>
      <c r="O63" s="3" t="inlineStr">
        <is>
          <t>付帯部</t>
        </is>
      </c>
      <c r="P63" s="3" t="inlineStr">
        <is>
          <t>松山市、雨樋、付帯部</t>
        </is>
      </c>
      <c r="Q63" s="3" t="inlineStr">
        <is>
          <t>未着手</t>
        </is>
      </c>
      <c r="R63" s="3" t="inlineStr">
        <is>
          <t>未着手</t>
        </is>
      </c>
      <c r="S63" s="3" t="inlineStr">
        <is>
          <t>未着手</t>
        </is>
      </c>
      <c r="T63" s="3" t="inlineStr">
        <is>
          <t>未着手</t>
        </is>
      </c>
      <c r="U63" s="3" t="n"/>
      <c r="V63" s="3" t="inlineStr">
        <is>
          <t>関連：外壁塗装、雨樋、軒天、付帯部補修記事へリンク。</t>
        </is>
      </c>
      <c r="W63" s="3" t="n"/>
    </row>
    <row r="64" ht="28.5" customHeight="1" s="24">
      <c r="A64" s="3" t="n">
        <v>63</v>
      </c>
      <c r="B64" s="3" t="inlineStr">
        <is>
          <t>雨樋 色あせ</t>
        </is>
      </c>
      <c r="C64" s="3" t="inlineStr">
        <is>
          <t>雨樋 色あせ</t>
        </is>
      </c>
      <c r="D64" s="3" t="inlineStr">
        <is>
          <t>雨樋の色あせは塗装すべき？劣化サインとメンテナンス方法</t>
        </is>
      </c>
      <c r="E64" s="3" t="inlineStr">
        <is>
          <t>付帯部</t>
        </is>
      </c>
      <c r="F64" s="3" t="inlineStr">
        <is>
          <t>付帯部型</t>
        </is>
      </c>
      <c r="G64" s="3" t="inlineStr">
        <is>
          <t>4,000〜5,500字</t>
        </is>
      </c>
      <c r="H64" s="3" t="inlineStr">
        <is>
          <t>中</t>
        </is>
      </c>
      <c r="I64" s="3" t="inlineStr">
        <is>
          <t>第4ロット：雨樋・軒天・付帯部系</t>
        </is>
      </c>
      <c r="J64" s="3" t="inlineStr">
        <is>
          <t>付帯部系</t>
        </is>
      </c>
      <c r="K64" s="3" t="inlineStr">
        <is>
          <t>雨樋 色あせ
ポイントを解説</t>
        </is>
      </c>
      <c r="L64" s="3" t="inlineStr">
        <is>
          <t>gutter-fading</t>
        </is>
      </c>
      <c r="M64" s="3" t="inlineStr">
        <is>
          <t>gutter-fading.webp</t>
        </is>
      </c>
      <c r="N64" s="3" t="inlineStr">
        <is>
          <t>雨樋 色あせについて、劣化症状、補修・塗装の判断基準、費用目安、外壁塗装と同時施工するメリットを解説します。</t>
        </is>
      </c>
      <c r="O64" s="3" t="inlineStr">
        <is>
          <t>付帯部</t>
        </is>
      </c>
      <c r="P64" s="3" t="inlineStr">
        <is>
          <t>雨樋、付帯部</t>
        </is>
      </c>
      <c r="Q64" s="3" t="inlineStr">
        <is>
          <t>未着手</t>
        </is>
      </c>
      <c r="R64" s="3" t="inlineStr">
        <is>
          <t>未着手</t>
        </is>
      </c>
      <c r="S64" s="3" t="inlineStr">
        <is>
          <t>未着手</t>
        </is>
      </c>
      <c r="T64" s="3" t="inlineStr">
        <is>
          <t>未着手</t>
        </is>
      </c>
      <c r="U64" s="3" t="n"/>
      <c r="V64" s="3" t="inlineStr">
        <is>
          <t>関連：外壁塗装、雨樋、軒天、付帯部補修記事へリンク。</t>
        </is>
      </c>
      <c r="W64" s="3" t="n"/>
    </row>
    <row r="65" ht="28.5" customHeight="1" s="24">
      <c r="A65" s="3" t="n">
        <v>64</v>
      </c>
      <c r="B65" s="3" t="inlineStr">
        <is>
          <t>雨樋 塗装 必要</t>
        </is>
      </c>
      <c r="C65" s="3" t="inlineStr">
        <is>
          <t>雨樋 塗装 必要</t>
        </is>
      </c>
      <c r="D65" s="3" t="inlineStr">
        <is>
          <t>雨樋塗装は必要？塗り替えの目的・不要なケースも解説</t>
        </is>
      </c>
      <c r="E65" s="3" t="inlineStr">
        <is>
          <t>付帯部</t>
        </is>
      </c>
      <c r="F65" s="3" t="inlineStr">
        <is>
          <t>付帯部型</t>
        </is>
      </c>
      <c r="G65" s="3" t="inlineStr">
        <is>
          <t>4,500〜6,000字</t>
        </is>
      </c>
      <c r="H65" s="3" t="inlineStr">
        <is>
          <t>中</t>
        </is>
      </c>
      <c r="I65" s="3" t="inlineStr">
        <is>
          <t>第4ロット：雨樋・軒天・付帯部系</t>
        </is>
      </c>
      <c r="J65" s="3" t="inlineStr">
        <is>
          <t>付帯部系</t>
        </is>
      </c>
      <c r="K65" s="3" t="inlineStr">
        <is>
          <t>雨樋 塗装 必要
特徴・費用・注意点</t>
        </is>
      </c>
      <c r="L65" s="3" t="inlineStr">
        <is>
          <t>gutter-paint-necessity</t>
        </is>
      </c>
      <c r="M65" s="3" t="inlineStr">
        <is>
          <t>gutter-paint-necessity.webp</t>
        </is>
      </c>
      <c r="N65" s="3" t="inlineStr">
        <is>
          <t>雨樋 塗装 必要について、劣化症状、補修・塗装の判断基準、費用目安、外壁塗装と同時施工するメリットを解説します。</t>
        </is>
      </c>
      <c r="O65" s="3" t="inlineStr">
        <is>
          <t>付帯部</t>
        </is>
      </c>
      <c r="P65" s="3" t="inlineStr">
        <is>
          <t>雨樋、付帯部</t>
        </is>
      </c>
      <c r="Q65" s="3" t="inlineStr">
        <is>
          <t>未着手</t>
        </is>
      </c>
      <c r="R65" s="3" t="inlineStr">
        <is>
          <t>未着手</t>
        </is>
      </c>
      <c r="S65" s="3" t="inlineStr">
        <is>
          <t>未着手</t>
        </is>
      </c>
      <c r="T65" s="3" t="inlineStr">
        <is>
          <t>未着手</t>
        </is>
      </c>
      <c r="U65" s="3" t="n"/>
      <c r="V65" s="3" t="inlineStr">
        <is>
          <t>関連：外壁塗装、雨樋、軒天、付帯部補修記事へリンク。</t>
        </is>
      </c>
      <c r="W65" s="3" t="n"/>
    </row>
    <row r="66" ht="28.5" customHeight="1" s="24">
      <c r="A66" s="3" t="n">
        <v>65</v>
      </c>
      <c r="B66" s="3" t="inlineStr">
        <is>
          <t>雨樋 塗装 費用</t>
        </is>
      </c>
      <c r="C66" s="3" t="inlineStr">
        <is>
          <t>雨樋 塗装 費用</t>
        </is>
      </c>
      <c r="D66" s="3" t="inlineStr">
        <is>
          <t>雨樋塗装の費用相場はいくら？単価・足場代・注意点を解説</t>
        </is>
      </c>
      <c r="E66" s="3" t="inlineStr">
        <is>
          <t>付帯部</t>
        </is>
      </c>
      <c r="F66" s="3" t="inlineStr">
        <is>
          <t>費用・相場型</t>
        </is>
      </c>
      <c r="G66" s="3" t="inlineStr">
        <is>
          <t>4,500〜6,000字</t>
        </is>
      </c>
      <c r="H66" s="3" t="inlineStr">
        <is>
          <t>中</t>
        </is>
      </c>
      <c r="I66" s="3" t="inlineStr">
        <is>
          <t>第4ロット：雨樋・軒天・付帯部系</t>
        </is>
      </c>
      <c r="J66" s="3" t="inlineStr">
        <is>
          <t>付帯部系</t>
        </is>
      </c>
      <c r="K66" s="3" t="inlineStr">
        <is>
          <t>雨樋 塗装 費用
相場と注意点を解説</t>
        </is>
      </c>
      <c r="L66" s="3" t="inlineStr">
        <is>
          <t>gutter-paint-cost</t>
        </is>
      </c>
      <c r="M66" s="3" t="inlineStr">
        <is>
          <t>gutter-paint-cost.webp</t>
        </is>
      </c>
      <c r="N66" s="3" t="inlineStr">
        <is>
          <t>雨樋 塗装 費用について、費用相場、内訳、金額が変わる要因、見積もり時の注意点をわかりやすく解説します。</t>
        </is>
      </c>
      <c r="O66" s="3" t="inlineStr">
        <is>
          <t>付帯部</t>
        </is>
      </c>
      <c r="P66" s="3" t="inlineStr">
        <is>
          <t>雨樋、費用、付帯部</t>
        </is>
      </c>
      <c r="Q66" s="3" t="inlineStr">
        <is>
          <t>未着手</t>
        </is>
      </c>
      <c r="R66" s="3" t="inlineStr">
        <is>
          <t>未着手</t>
        </is>
      </c>
      <c r="S66" s="3" t="inlineStr">
        <is>
          <t>未着手</t>
        </is>
      </c>
      <c r="T66" s="3" t="inlineStr">
        <is>
          <t>未着手</t>
        </is>
      </c>
      <c r="U66" s="3" t="n"/>
      <c r="V66" s="3" t="inlineStr">
        <is>
          <t>関連：外壁塗装、雨樋、軒天、付帯部補修記事へリンク。</t>
        </is>
      </c>
      <c r="W66" s="3" t="n"/>
    </row>
    <row r="67" ht="28.5" customHeight="1" s="24">
      <c r="A67" s="3" t="n">
        <v>66</v>
      </c>
      <c r="B67" s="3" t="inlineStr">
        <is>
          <t>雨樋 割れ 補修</t>
        </is>
      </c>
      <c r="C67" s="3" t="inlineStr">
        <is>
          <t>雨樋 割れ 補修</t>
        </is>
      </c>
      <c r="D67" s="3" t="inlineStr">
        <is>
          <t>雨樋の割れは補修できる？修理・交換の判断ポイント</t>
        </is>
      </c>
      <c r="E67" s="3" t="inlineStr">
        <is>
          <t>付帯部</t>
        </is>
      </c>
      <c r="F67" s="3" t="inlineStr">
        <is>
          <t>付帯部型</t>
        </is>
      </c>
      <c r="G67" s="3" t="inlineStr">
        <is>
          <t>4,500〜6,000字</t>
        </is>
      </c>
      <c r="H67" s="3" t="inlineStr">
        <is>
          <t>中</t>
        </is>
      </c>
      <c r="I67" s="3" t="inlineStr">
        <is>
          <t>第4ロット：雨樋・軒天・付帯部系</t>
        </is>
      </c>
      <c r="J67" s="3" t="inlineStr">
        <is>
          <t>付帯部系</t>
        </is>
      </c>
      <c r="K67" s="3" t="inlineStr">
        <is>
          <t>雨樋 割れ 補修
ポイントを解説</t>
        </is>
      </c>
      <c r="L67" s="3" t="inlineStr">
        <is>
          <t>gutter-crack-repair</t>
        </is>
      </c>
      <c r="M67" s="3" t="inlineStr">
        <is>
          <t>gutter-crack-repair.webp</t>
        </is>
      </c>
      <c r="N67" s="3" t="inlineStr">
        <is>
          <t>雨樋 割れ 補修について、劣化症状、補修・塗装の判断基準、費用目安、外壁塗装と同時施工するメリットを解説します。</t>
        </is>
      </c>
      <c r="O67" s="3" t="inlineStr">
        <is>
          <t>付帯部</t>
        </is>
      </c>
      <c r="P67" s="3" t="inlineStr">
        <is>
          <t>雨樋、付帯部</t>
        </is>
      </c>
      <c r="Q67" s="3" t="inlineStr">
        <is>
          <t>未着手</t>
        </is>
      </c>
      <c r="R67" s="3" t="inlineStr">
        <is>
          <t>未着手</t>
        </is>
      </c>
      <c r="S67" s="3" t="inlineStr">
        <is>
          <t>未着手</t>
        </is>
      </c>
      <c r="T67" s="3" t="inlineStr">
        <is>
          <t>未着手</t>
        </is>
      </c>
      <c r="U67" s="3" t="n"/>
      <c r="V67" s="3" t="inlineStr">
        <is>
          <t>関連：外壁塗装、雨樋、軒天、付帯部補修記事へリンク。</t>
        </is>
      </c>
      <c r="W67" s="3" t="n"/>
    </row>
    <row r="68" ht="28.5" customHeight="1" s="24">
      <c r="A68" s="3" t="n">
        <v>67</v>
      </c>
      <c r="B68" s="3" t="inlineStr">
        <is>
          <t>雨樋 外れ 修理</t>
        </is>
      </c>
      <c r="C68" s="3" t="inlineStr">
        <is>
          <t>雨樋 外れ 修理</t>
        </is>
      </c>
      <c r="D68" s="3" t="inlineStr">
        <is>
          <t>雨樋が外れたときの修理方法｜原因・費用・放置リスク</t>
        </is>
      </c>
      <c r="E68" s="3" t="inlineStr">
        <is>
          <t>付帯部</t>
        </is>
      </c>
      <c r="F68" s="3" t="inlineStr">
        <is>
          <t>付帯部型</t>
        </is>
      </c>
      <c r="G68" s="3" t="inlineStr">
        <is>
          <t>4,500〜6,000字</t>
        </is>
      </c>
      <c r="H68" s="3" t="inlineStr">
        <is>
          <t>中</t>
        </is>
      </c>
      <c r="I68" s="3" t="inlineStr">
        <is>
          <t>第4ロット：雨樋・軒天・付帯部系</t>
        </is>
      </c>
      <c r="J68" s="3" t="inlineStr">
        <is>
          <t>付帯部系</t>
        </is>
      </c>
      <c r="K68" s="3" t="inlineStr">
        <is>
          <t>雨樋 外れ 修理
ポイントを解説</t>
        </is>
      </c>
      <c r="L68" s="3" t="inlineStr">
        <is>
          <t>gutter-detached-repair</t>
        </is>
      </c>
      <c r="M68" s="3" t="inlineStr">
        <is>
          <t>gutter-detached-repair.webp</t>
        </is>
      </c>
      <c r="N68" s="3" t="inlineStr">
        <is>
          <t>雨樋 外れ 修理について、劣化症状、補修・塗装の判断基準、費用目安、外壁塗装と同時施工するメリットを解説します。</t>
        </is>
      </c>
      <c r="O68" s="3" t="inlineStr">
        <is>
          <t>付帯部</t>
        </is>
      </c>
      <c r="P68" s="3" t="inlineStr">
        <is>
          <t>雨樋、付帯部</t>
        </is>
      </c>
      <c r="Q68" s="3" t="inlineStr">
        <is>
          <t>未着手</t>
        </is>
      </c>
      <c r="R68" s="3" t="inlineStr">
        <is>
          <t>未着手</t>
        </is>
      </c>
      <c r="S68" s="3" t="inlineStr">
        <is>
          <t>未着手</t>
        </is>
      </c>
      <c r="T68" s="3" t="inlineStr">
        <is>
          <t>未着手</t>
        </is>
      </c>
      <c r="U68" s="3" t="n"/>
      <c r="V68" s="3" t="inlineStr">
        <is>
          <t>関連：外壁塗装、雨樋、軒天、付帯部補修記事へリンク。</t>
        </is>
      </c>
      <c r="W68" s="3" t="n"/>
    </row>
    <row r="69" ht="28.5" customHeight="1" s="24">
      <c r="A69" s="3" t="n">
        <v>68</v>
      </c>
      <c r="B69" s="3" t="inlineStr">
        <is>
          <t>雨樋 劣化 症状</t>
        </is>
      </c>
      <c r="C69" s="3" t="inlineStr">
        <is>
          <t>雨樋 劣化 症状</t>
        </is>
      </c>
      <c r="D69" s="3" t="inlineStr">
        <is>
          <t>雨樋の劣化症状とは？塗装・補修・交換の判断基準</t>
        </is>
      </c>
      <c r="E69" s="3" t="inlineStr">
        <is>
          <t>付帯部</t>
        </is>
      </c>
      <c r="F69" s="3" t="inlineStr">
        <is>
          <t>付帯部型</t>
        </is>
      </c>
      <c r="G69" s="3" t="inlineStr">
        <is>
          <t>4,500〜6,000字</t>
        </is>
      </c>
      <c r="H69" s="3" t="inlineStr">
        <is>
          <t>中</t>
        </is>
      </c>
      <c r="I69" s="3" t="inlineStr">
        <is>
          <t>第4ロット：雨樋・軒天・付帯部系</t>
        </is>
      </c>
      <c r="J69" s="3" t="inlineStr">
        <is>
          <t>付帯部系</t>
        </is>
      </c>
      <c r="K69" s="3" t="inlineStr">
        <is>
          <t>雨樋 劣化 症状
ポイントを解説</t>
        </is>
      </c>
      <c r="L69" s="3" t="inlineStr">
        <is>
          <t>gutter-deterioration-symptoms</t>
        </is>
      </c>
      <c r="M69" s="3" t="inlineStr">
        <is>
          <t>gutter-deterioration-symptoms.webp</t>
        </is>
      </c>
      <c r="N69" s="3" t="inlineStr">
        <is>
          <t>雨樋 劣化 症状について、劣化症状、補修・塗装の判断基準、費用目安、外壁塗装と同時施工するメリットを解説します。</t>
        </is>
      </c>
      <c r="O69" s="3" t="inlineStr">
        <is>
          <t>付帯部</t>
        </is>
      </c>
      <c r="P69" s="3" t="inlineStr">
        <is>
          <t>雨樋、付帯部</t>
        </is>
      </c>
      <c r="Q69" s="3" t="inlineStr">
        <is>
          <t>未着手</t>
        </is>
      </c>
      <c r="R69" s="3" t="inlineStr">
        <is>
          <t>未着手</t>
        </is>
      </c>
      <c r="S69" s="3" t="inlineStr">
        <is>
          <t>未着手</t>
        </is>
      </c>
      <c r="T69" s="3" t="inlineStr">
        <is>
          <t>未着手</t>
        </is>
      </c>
      <c r="U69" s="3" t="n"/>
      <c r="V69" s="3" t="inlineStr">
        <is>
          <t>関連：外壁塗装、雨樋、軒天、付帯部補修記事へリンク。</t>
        </is>
      </c>
      <c r="W69" s="3" t="n"/>
    </row>
    <row r="70" ht="28.5" customHeight="1" s="24">
      <c r="A70" s="3" t="n">
        <v>69</v>
      </c>
      <c r="B70" s="3" t="inlineStr">
        <is>
          <t>雨樋 チョーキング</t>
        </is>
      </c>
      <c r="C70" s="3" t="inlineStr">
        <is>
          <t>雨樋 チョーキング</t>
        </is>
      </c>
      <c r="D70" s="3" t="inlineStr">
        <is>
          <t>雨樋のチョーキングとは？塗装時期と劣化の見分け方</t>
        </is>
      </c>
      <c r="E70" s="3" t="inlineStr">
        <is>
          <t>付帯部</t>
        </is>
      </c>
      <c r="F70" s="3" t="inlineStr">
        <is>
          <t>付帯部型</t>
        </is>
      </c>
      <c r="G70" s="3" t="inlineStr">
        <is>
          <t>4,000〜5,500字</t>
        </is>
      </c>
      <c r="H70" s="3" t="inlineStr">
        <is>
          <t>中</t>
        </is>
      </c>
      <c r="I70" s="3" t="inlineStr">
        <is>
          <t>第4ロット：雨樋・軒天・付帯部系</t>
        </is>
      </c>
      <c r="J70" s="3" t="inlineStr">
        <is>
          <t>付帯部系</t>
        </is>
      </c>
      <c r="K70" s="3" t="inlineStr">
        <is>
          <t>雨樋 チョーキング
ポイントを解説</t>
        </is>
      </c>
      <c r="L70" s="3" t="inlineStr">
        <is>
          <t>gutter-chalking</t>
        </is>
      </c>
      <c r="M70" s="3" t="inlineStr">
        <is>
          <t>gutter-chalking.webp</t>
        </is>
      </c>
      <c r="N70" s="3" t="inlineStr">
        <is>
          <t>雨樋 チョーキングについて、劣化症状、補修・塗装の判断基準、費用目安、外壁塗装と同時施工するメリットを解説します。</t>
        </is>
      </c>
      <c r="O70" s="3" t="inlineStr">
        <is>
          <t>付帯部</t>
        </is>
      </c>
      <c r="P70" s="3" t="inlineStr">
        <is>
          <t>雨樋、付帯部</t>
        </is>
      </c>
      <c r="Q70" s="3" t="inlineStr">
        <is>
          <t>未着手</t>
        </is>
      </c>
      <c r="R70" s="3" t="inlineStr">
        <is>
          <t>未着手</t>
        </is>
      </c>
      <c r="S70" s="3" t="inlineStr">
        <is>
          <t>未着手</t>
        </is>
      </c>
      <c r="T70" s="3" t="inlineStr">
        <is>
          <t>未着手</t>
        </is>
      </c>
      <c r="U70" s="3" t="n"/>
      <c r="V70" s="3" t="inlineStr">
        <is>
          <t>関連：外壁塗装、雨樋、軒天、付帯部補修記事へリンク。</t>
        </is>
      </c>
      <c r="W70" s="3" t="n"/>
    </row>
    <row r="71" ht="28.5" customHeight="1" s="24">
      <c r="A71" s="3" t="n">
        <v>70</v>
      </c>
      <c r="B71" s="3" t="inlineStr">
        <is>
          <t>雨樋 塗り替え時期</t>
        </is>
      </c>
      <c r="C71" s="3" t="inlineStr">
        <is>
          <t>雨樋 塗り替え時期</t>
        </is>
      </c>
      <c r="D71" s="3" t="inlineStr">
        <is>
          <t>雨樋の塗り替え時期はいつ？劣化サインと費用目安</t>
        </is>
      </c>
      <c r="E71" s="3" t="inlineStr">
        <is>
          <t>付帯部</t>
        </is>
      </c>
      <c r="F71" s="3" t="inlineStr">
        <is>
          <t>付帯部型</t>
        </is>
      </c>
      <c r="G71" s="3" t="inlineStr">
        <is>
          <t>4,500〜6,000字</t>
        </is>
      </c>
      <c r="H71" s="3" t="inlineStr">
        <is>
          <t>中</t>
        </is>
      </c>
      <c r="I71" s="3" t="inlineStr">
        <is>
          <t>第4ロット：雨樋・軒天・付帯部系</t>
        </is>
      </c>
      <c r="J71" s="3" t="inlineStr">
        <is>
          <t>付帯部系</t>
        </is>
      </c>
      <c r="K71" s="3" t="inlineStr">
        <is>
          <t>雨樋 塗り替え時期
ポイントを解説</t>
        </is>
      </c>
      <c r="L71" s="3" t="inlineStr">
        <is>
          <t>gutter-repaint-timing</t>
        </is>
      </c>
      <c r="M71" s="3" t="inlineStr">
        <is>
          <t>gutter-repaint-timing.webp</t>
        </is>
      </c>
      <c r="N71" s="3" t="inlineStr">
        <is>
          <t>雨樋 塗り替え時期について、劣化症状、補修・塗装の判断基準、費用目安、外壁塗装と同時施工するメリットを解説します。</t>
        </is>
      </c>
      <c r="O71" s="3" t="inlineStr">
        <is>
          <t>付帯部</t>
        </is>
      </c>
      <c r="P71" s="3" t="inlineStr">
        <is>
          <t>雨樋、付帯部</t>
        </is>
      </c>
      <c r="Q71" s="3" t="inlineStr">
        <is>
          <t>未着手</t>
        </is>
      </c>
      <c r="R71" s="3" t="inlineStr">
        <is>
          <t>未着手</t>
        </is>
      </c>
      <c r="S71" s="3" t="inlineStr">
        <is>
          <t>未着手</t>
        </is>
      </c>
      <c r="T71" s="3" t="inlineStr">
        <is>
          <t>未着手</t>
        </is>
      </c>
      <c r="U71" s="3" t="n"/>
      <c r="V71" s="3" t="inlineStr">
        <is>
          <t>関連：外壁塗装、雨樋、軒天、付帯部補修記事へリンク。</t>
        </is>
      </c>
      <c r="W71" s="3" t="n"/>
    </row>
    <row r="72" ht="28.5" customHeight="1" s="24">
      <c r="A72" s="3" t="n">
        <v>71</v>
      </c>
      <c r="B72" s="3" t="inlineStr">
        <is>
          <t>軒天 塗装 松山市</t>
        </is>
      </c>
      <c r="C72" s="3" t="inlineStr">
        <is>
          <t>軒天 塗装 松山市</t>
        </is>
      </c>
      <c r="D72" s="3" t="inlineStr">
        <is>
          <t>松山市の軒天塗装はいつ必要？費用・劣化症状・注意点</t>
        </is>
      </c>
      <c r="E72" s="3" t="inlineStr">
        <is>
          <t>付帯部</t>
        </is>
      </c>
      <c r="F72" s="3" t="inlineStr">
        <is>
          <t>付帯部型</t>
        </is>
      </c>
      <c r="G72" s="3" t="inlineStr">
        <is>
          <t>4,500〜6,000字</t>
        </is>
      </c>
      <c r="H72" s="3" t="inlineStr">
        <is>
          <t>中</t>
        </is>
      </c>
      <c r="I72" s="3" t="inlineStr">
        <is>
          <t>第4ロット：雨樋・軒天・付帯部系</t>
        </is>
      </c>
      <c r="J72" s="3" t="inlineStr">
        <is>
          <t>付帯部系</t>
        </is>
      </c>
      <c r="K72" s="3" t="inlineStr">
        <is>
          <t>軒天 塗装 松山市
症状・費用・注意点</t>
        </is>
      </c>
      <c r="L72" s="3" t="inlineStr">
        <is>
          <t>soffit-paint-matsuyama</t>
        </is>
      </c>
      <c r="M72" s="3" t="inlineStr">
        <is>
          <t>soffit-paint-matsuyama.webp</t>
        </is>
      </c>
      <c r="N72" s="3" t="inlineStr">
        <is>
          <t>軒天 塗装 松山市について、劣化症状、補修・塗装の判断基準、費用目安、外壁塗装と同時施工するメリットを解説します。</t>
        </is>
      </c>
      <c r="O72" s="3" t="inlineStr">
        <is>
          <t>付帯部</t>
        </is>
      </c>
      <c r="P72" s="3" t="inlineStr">
        <is>
          <t>松山市、軒天、付帯部</t>
        </is>
      </c>
      <c r="Q72" s="3" t="inlineStr">
        <is>
          <t>未着手</t>
        </is>
      </c>
      <c r="R72" s="3" t="inlineStr">
        <is>
          <t>未着手</t>
        </is>
      </c>
      <c r="S72" s="3" t="inlineStr">
        <is>
          <t>未着手</t>
        </is>
      </c>
      <c r="T72" s="3" t="inlineStr">
        <is>
          <t>未着手</t>
        </is>
      </c>
      <c r="U72" s="3" t="n"/>
      <c r="V72" s="3" t="inlineStr">
        <is>
          <t>関連：外壁塗装、雨樋、軒天、付帯部補修記事へリンク。</t>
        </is>
      </c>
      <c r="W72" s="3" t="n"/>
    </row>
    <row r="73" ht="28.5" customHeight="1" s="24">
      <c r="A73" s="3" t="n">
        <v>72</v>
      </c>
      <c r="B73" s="3" t="inlineStr">
        <is>
          <t>軒天 シミ 原因</t>
        </is>
      </c>
      <c r="C73" s="3" t="inlineStr">
        <is>
          <t>軒天 シミ 原因</t>
        </is>
      </c>
      <c r="D73" s="3" t="inlineStr">
        <is>
          <t>軒天のシミの原因とは？雨漏りとの関係と補修方法</t>
        </is>
      </c>
      <c r="E73" s="3" t="inlineStr">
        <is>
          <t>付帯部</t>
        </is>
      </c>
      <c r="F73" s="3" t="inlineStr">
        <is>
          <t>付帯部型</t>
        </is>
      </c>
      <c r="G73" s="3" t="inlineStr">
        <is>
          <t>4,500〜6,000字</t>
        </is>
      </c>
      <c r="H73" s="3" t="inlineStr">
        <is>
          <t>中</t>
        </is>
      </c>
      <c r="I73" s="3" t="inlineStr">
        <is>
          <t>第4ロット：雨樋・軒天・付帯部系</t>
        </is>
      </c>
      <c r="J73" s="3" t="inlineStr">
        <is>
          <t>付帯部系</t>
        </is>
      </c>
      <c r="K73" s="3" t="inlineStr">
        <is>
          <t>軒天 シミ 原因
放置リスクと対処法</t>
        </is>
      </c>
      <c r="L73" s="3" t="inlineStr">
        <is>
          <t>soffit-stain-cause</t>
        </is>
      </c>
      <c r="M73" s="3" t="inlineStr">
        <is>
          <t>soffit-stain-cause.webp</t>
        </is>
      </c>
      <c r="N73" s="3" t="inlineStr">
        <is>
          <t>軒天 シミ 原因について、劣化症状、補修・塗装の判断基準、費用目安、外壁塗装と同時施工するメリットを解説します。</t>
        </is>
      </c>
      <c r="O73" s="3" t="inlineStr">
        <is>
          <t>付帯部</t>
        </is>
      </c>
      <c r="P73" s="3" t="inlineStr">
        <is>
          <t>軒天、付帯部</t>
        </is>
      </c>
      <c r="Q73" s="3" t="inlineStr">
        <is>
          <t>未着手</t>
        </is>
      </c>
      <c r="R73" s="3" t="inlineStr">
        <is>
          <t>未着手</t>
        </is>
      </c>
      <c r="S73" s="3" t="inlineStr">
        <is>
          <t>未着手</t>
        </is>
      </c>
      <c r="T73" s="3" t="inlineStr">
        <is>
          <t>未着手</t>
        </is>
      </c>
      <c r="U73" s="3" t="n"/>
      <c r="V73" s="3" t="inlineStr">
        <is>
          <t>関連：外壁塗装、雨樋、軒天、付帯部補修記事へリンク。</t>
        </is>
      </c>
      <c r="W73" s="3" t="n"/>
    </row>
    <row r="74" ht="28.5" customHeight="1" s="24">
      <c r="A74" s="3" t="n">
        <v>73</v>
      </c>
      <c r="B74" s="3" t="inlineStr">
        <is>
          <t>軒天 黒ずみ</t>
        </is>
      </c>
      <c r="C74" s="3" t="inlineStr">
        <is>
          <t>軒天 黒ずみ</t>
        </is>
      </c>
      <c r="D74" s="3" t="inlineStr">
        <is>
          <t>軒天の黒ずみは放置して大丈夫？原因・掃除・塗装の判断</t>
        </is>
      </c>
      <c r="E74" s="3" t="inlineStr">
        <is>
          <t>付帯部</t>
        </is>
      </c>
      <c r="F74" s="3" t="inlineStr">
        <is>
          <t>付帯部型</t>
        </is>
      </c>
      <c r="G74" s="3" t="inlineStr">
        <is>
          <t>4,000〜5,500字</t>
        </is>
      </c>
      <c r="H74" s="3" t="inlineStr">
        <is>
          <t>中</t>
        </is>
      </c>
      <c r="I74" s="3" t="inlineStr">
        <is>
          <t>第4ロット：雨樋・軒天・付帯部系</t>
        </is>
      </c>
      <c r="J74" s="3" t="inlineStr">
        <is>
          <t>付帯部系</t>
        </is>
      </c>
      <c r="K74" s="3" t="inlineStr">
        <is>
          <t>軒天 黒ずみ
ポイントを解説</t>
        </is>
      </c>
      <c r="L74" s="3" t="inlineStr">
        <is>
          <t>soffit-black-stain</t>
        </is>
      </c>
      <c r="M74" s="3" t="inlineStr">
        <is>
          <t>soffit-black-stain.webp</t>
        </is>
      </c>
      <c r="N74" s="3" t="inlineStr">
        <is>
          <t>軒天 黒ずみについて、劣化症状、補修・塗装の判断基準、費用目安、外壁塗装と同時施工するメリットを解説します。</t>
        </is>
      </c>
      <c r="O74" s="3" t="inlineStr">
        <is>
          <t>付帯部</t>
        </is>
      </c>
      <c r="P74" s="3" t="inlineStr">
        <is>
          <t>軒天、付帯部</t>
        </is>
      </c>
      <c r="Q74" s="3" t="inlineStr">
        <is>
          <t>未着手</t>
        </is>
      </c>
      <c r="R74" s="3" t="inlineStr">
        <is>
          <t>未着手</t>
        </is>
      </c>
      <c r="S74" s="3" t="inlineStr">
        <is>
          <t>未着手</t>
        </is>
      </c>
      <c r="T74" s="3" t="inlineStr">
        <is>
          <t>未着手</t>
        </is>
      </c>
      <c r="U74" s="3" t="n"/>
      <c r="V74" s="3" t="inlineStr">
        <is>
          <t>関連：外壁塗装、雨樋、軒天、付帯部補修記事へリンク。</t>
        </is>
      </c>
      <c r="W74" s="3" t="n"/>
    </row>
    <row r="75" ht="28.5" customHeight="1" s="24">
      <c r="A75" s="3" t="n">
        <v>74</v>
      </c>
      <c r="B75" s="3" t="inlineStr">
        <is>
          <t>軒天 カビ</t>
        </is>
      </c>
      <c r="C75" s="3" t="inlineStr">
        <is>
          <t>軒天 カビ</t>
        </is>
      </c>
      <c r="D75" s="3" t="inlineStr">
        <is>
          <t>軒天のカビの原因とは？雨漏りリスクと補修方法を解説</t>
        </is>
      </c>
      <c r="E75" s="3" t="inlineStr">
        <is>
          <t>付帯部</t>
        </is>
      </c>
      <c r="F75" s="3" t="inlineStr">
        <is>
          <t>付帯部型</t>
        </is>
      </c>
      <c r="G75" s="3" t="inlineStr">
        <is>
          <t>4,000〜5,500字</t>
        </is>
      </c>
      <c r="H75" s="3" t="inlineStr">
        <is>
          <t>中</t>
        </is>
      </c>
      <c r="I75" s="3" t="inlineStr">
        <is>
          <t>第4ロット：雨樋・軒天・付帯部系</t>
        </is>
      </c>
      <c r="J75" s="3" t="inlineStr">
        <is>
          <t>付帯部系</t>
        </is>
      </c>
      <c r="K75" s="3" t="inlineStr">
        <is>
          <t>軒天 カビ
ポイントを解説</t>
        </is>
      </c>
      <c r="L75" s="3" t="inlineStr">
        <is>
          <t>soffit-mold</t>
        </is>
      </c>
      <c r="M75" s="3" t="inlineStr">
        <is>
          <t>soffit-mold.webp</t>
        </is>
      </c>
      <c r="N75" s="3" t="inlineStr">
        <is>
          <t>軒天 カビについて、劣化症状、補修・塗装の判断基準、費用目安、外壁塗装と同時施工するメリットを解説します。</t>
        </is>
      </c>
      <c r="O75" s="3" t="inlineStr">
        <is>
          <t>付帯部</t>
        </is>
      </c>
      <c r="P75" s="3" t="inlineStr">
        <is>
          <t>軒天、付帯部</t>
        </is>
      </c>
      <c r="Q75" s="3" t="inlineStr">
        <is>
          <t>未着手</t>
        </is>
      </c>
      <c r="R75" s="3" t="inlineStr">
        <is>
          <t>未着手</t>
        </is>
      </c>
      <c r="S75" s="3" t="inlineStr">
        <is>
          <t>未着手</t>
        </is>
      </c>
      <c r="T75" s="3" t="inlineStr">
        <is>
          <t>未着手</t>
        </is>
      </c>
      <c r="U75" s="3" t="n"/>
      <c r="V75" s="3" t="inlineStr">
        <is>
          <t>関連：外壁塗装、雨樋、軒天、付帯部補修記事へリンク。</t>
        </is>
      </c>
      <c r="W75" s="3" t="n"/>
    </row>
    <row r="76" ht="28.5" customHeight="1" s="24">
      <c r="A76" s="3" t="n">
        <v>75</v>
      </c>
      <c r="B76" s="3" t="inlineStr">
        <is>
          <t>軒天 剥がれ</t>
        </is>
      </c>
      <c r="C76" s="3" t="inlineStr">
        <is>
          <t>軒天 剥がれ</t>
        </is>
      </c>
      <c r="D76" s="3" t="inlineStr">
        <is>
          <t>軒天の剥がれは補修が必要？原因・費用・放置リスク</t>
        </is>
      </c>
      <c r="E76" s="3" t="inlineStr">
        <is>
          <t>付帯部</t>
        </is>
      </c>
      <c r="F76" s="3" t="inlineStr">
        <is>
          <t>付帯部型</t>
        </is>
      </c>
      <c r="G76" s="3" t="inlineStr">
        <is>
          <t>4,500〜6,000字</t>
        </is>
      </c>
      <c r="H76" s="3" t="inlineStr">
        <is>
          <t>中</t>
        </is>
      </c>
      <c r="I76" s="3" t="inlineStr">
        <is>
          <t>第4ロット：雨樋・軒天・付帯部系</t>
        </is>
      </c>
      <c r="J76" s="3" t="inlineStr">
        <is>
          <t>付帯部系</t>
        </is>
      </c>
      <c r="K76" s="3" t="inlineStr">
        <is>
          <t>軒天 剥がれ
ポイントを解説</t>
        </is>
      </c>
      <c r="L76" s="3" t="inlineStr">
        <is>
          <t>soffit-peeling</t>
        </is>
      </c>
      <c r="M76" s="3" t="inlineStr">
        <is>
          <t>soffit-peeling.webp</t>
        </is>
      </c>
      <c r="N76" s="3" t="inlineStr">
        <is>
          <t>軒天 剥がれについて、劣化症状、補修・塗装の判断基準、費用目安、外壁塗装と同時施工するメリットを解説します。</t>
        </is>
      </c>
      <c r="O76" s="3" t="inlineStr">
        <is>
          <t>付帯部</t>
        </is>
      </c>
      <c r="P76" s="3" t="inlineStr">
        <is>
          <t>軒天、付帯部</t>
        </is>
      </c>
      <c r="Q76" s="3" t="inlineStr">
        <is>
          <t>未着手</t>
        </is>
      </c>
      <c r="R76" s="3" t="inlineStr">
        <is>
          <t>未着手</t>
        </is>
      </c>
      <c r="S76" s="3" t="inlineStr">
        <is>
          <t>未着手</t>
        </is>
      </c>
      <c r="T76" s="3" t="inlineStr">
        <is>
          <t>未着手</t>
        </is>
      </c>
      <c r="U76" s="3" t="n"/>
      <c r="V76" s="3" t="inlineStr">
        <is>
          <t>関連：外壁塗装、雨樋、軒天、付帯部補修記事へリンク。</t>
        </is>
      </c>
      <c r="W76" s="3" t="n"/>
    </row>
    <row r="77" ht="28.5" customHeight="1" s="24">
      <c r="A77" s="3" t="n">
        <v>76</v>
      </c>
      <c r="B77" s="3" t="inlineStr">
        <is>
          <t>軒天 ベニヤ 張り替え</t>
        </is>
      </c>
      <c r="C77" s="3" t="inlineStr">
        <is>
          <t>軒天 ベニヤ 張り替え</t>
        </is>
      </c>
      <c r="D77" s="3" t="inlineStr">
        <is>
          <t>軒天ベニヤの張り替えはいつ必要？費用・材料・注意点</t>
        </is>
      </c>
      <c r="E77" s="3" t="inlineStr">
        <is>
          <t>付帯部</t>
        </is>
      </c>
      <c r="F77" s="3" t="inlineStr">
        <is>
          <t>付帯部型</t>
        </is>
      </c>
      <c r="G77" s="3" t="inlineStr">
        <is>
          <t>4,500〜6,000字</t>
        </is>
      </c>
      <c r="H77" s="3" t="inlineStr">
        <is>
          <t>中</t>
        </is>
      </c>
      <c r="I77" s="3" t="inlineStr">
        <is>
          <t>第4ロット：雨樋・軒天・付帯部系</t>
        </is>
      </c>
      <c r="J77" s="3" t="inlineStr">
        <is>
          <t>付帯部系</t>
        </is>
      </c>
      <c r="K77" s="3" t="inlineStr">
        <is>
          <t>軒天 ベニヤ 張り替え
ポイントを解説</t>
        </is>
      </c>
      <c r="L77" s="3" t="inlineStr">
        <is>
          <t>soffit-plywood-replacement</t>
        </is>
      </c>
      <c r="M77" s="3" t="inlineStr">
        <is>
          <t>soffit-plywood-replacement.webp</t>
        </is>
      </c>
      <c r="N77" s="3" t="inlineStr">
        <is>
          <t>軒天 ベニヤ 張り替えについて、劣化症状、補修・塗装の判断基準、費用目安、外壁塗装と同時施工するメリットを解説します。</t>
        </is>
      </c>
      <c r="O77" s="3" t="inlineStr">
        <is>
          <t>付帯部</t>
        </is>
      </c>
      <c r="P77" s="3" t="inlineStr">
        <is>
          <t>軒天、付帯部</t>
        </is>
      </c>
      <c r="Q77" s="3" t="inlineStr">
        <is>
          <t>未着手</t>
        </is>
      </c>
      <c r="R77" s="3" t="inlineStr">
        <is>
          <t>未着手</t>
        </is>
      </c>
      <c r="S77" s="3" t="inlineStr">
        <is>
          <t>未着手</t>
        </is>
      </c>
      <c r="T77" s="3" t="inlineStr">
        <is>
          <t>未着手</t>
        </is>
      </c>
      <c r="U77" s="3" t="n"/>
      <c r="V77" s="3" t="inlineStr">
        <is>
          <t>関連：外壁塗装、雨樋、軒天、付帯部補修記事へリンク。</t>
        </is>
      </c>
      <c r="W77" s="3" t="n"/>
    </row>
    <row r="78" ht="28.5" customHeight="1" s="24">
      <c r="A78" s="3" t="n">
        <v>77</v>
      </c>
      <c r="B78" s="3" t="inlineStr">
        <is>
          <t>軒天 雨漏り</t>
        </is>
      </c>
      <c r="C78" s="3" t="inlineStr">
        <is>
          <t>軒天 雨漏り</t>
        </is>
      </c>
      <c r="D78" s="3" t="inlineStr">
        <is>
          <t>軒天の雨漏りはどこから？原因調査と補修方法を解説</t>
        </is>
      </c>
      <c r="E78" s="3" t="inlineStr">
        <is>
          <t>付帯部</t>
        </is>
      </c>
      <c r="F78" s="3" t="inlineStr">
        <is>
          <t>付帯部型</t>
        </is>
      </c>
      <c r="G78" s="3" t="inlineStr">
        <is>
          <t>4,500〜6,000字</t>
        </is>
      </c>
      <c r="H78" s="3" t="inlineStr">
        <is>
          <t>中</t>
        </is>
      </c>
      <c r="I78" s="3" t="inlineStr">
        <is>
          <t>第4ロット：雨樋・軒天・付帯部系</t>
        </is>
      </c>
      <c r="J78" s="3" t="inlineStr">
        <is>
          <t>付帯部系</t>
        </is>
      </c>
      <c r="K78" s="3" t="inlineStr">
        <is>
          <t>軒天 雨漏り
原因と修理方法</t>
        </is>
      </c>
      <c r="L78" s="3" t="inlineStr">
        <is>
          <t>soffit-leak</t>
        </is>
      </c>
      <c r="M78" s="3" t="inlineStr">
        <is>
          <t>soffit-leak.webp</t>
        </is>
      </c>
      <c r="N78" s="3" t="inlineStr">
        <is>
          <t>軒天 雨漏りについて、劣化症状、補修・塗装の判断基準、費用目安、外壁塗装と同時施工するメリットを解説します。</t>
        </is>
      </c>
      <c r="O78" s="3" t="inlineStr">
        <is>
          <t>付帯部</t>
        </is>
      </c>
      <c r="P78" s="3" t="inlineStr">
        <is>
          <t>雨漏り、軒天、付帯部</t>
        </is>
      </c>
      <c r="Q78" s="3" t="inlineStr">
        <is>
          <t>未着手</t>
        </is>
      </c>
      <c r="R78" s="3" t="inlineStr">
        <is>
          <t>未着手</t>
        </is>
      </c>
      <c r="S78" s="3" t="inlineStr">
        <is>
          <t>未着手</t>
        </is>
      </c>
      <c r="T78" s="3" t="inlineStr">
        <is>
          <t>未着手</t>
        </is>
      </c>
      <c r="U78" s="3" t="n"/>
      <c r="V78" s="3" t="inlineStr">
        <is>
          <t>関連：外壁塗装、雨樋、軒天、付帯部補修記事へリンク。</t>
        </is>
      </c>
      <c r="W78" s="3" t="n"/>
    </row>
    <row r="79" ht="28.5" customHeight="1" s="24">
      <c r="A79" s="3" t="n">
        <v>78</v>
      </c>
      <c r="B79" s="3" t="inlineStr">
        <is>
          <t>軒天 塗装 費用</t>
        </is>
      </c>
      <c r="C79" s="3" t="inlineStr">
        <is>
          <t>軒天 塗装 費用</t>
        </is>
      </c>
      <c r="D79" s="3" t="inlineStr">
        <is>
          <t>軒天塗装の費用相場はいくら？単価・足場代・注意点</t>
        </is>
      </c>
      <c r="E79" s="3" t="inlineStr">
        <is>
          <t>付帯部</t>
        </is>
      </c>
      <c r="F79" s="3" t="inlineStr">
        <is>
          <t>費用・相場型</t>
        </is>
      </c>
      <c r="G79" s="3" t="inlineStr">
        <is>
          <t>4,500〜6,000字</t>
        </is>
      </c>
      <c r="H79" s="3" t="inlineStr">
        <is>
          <t>中</t>
        </is>
      </c>
      <c r="I79" s="3" t="inlineStr">
        <is>
          <t>第4ロット：雨樋・軒天・付帯部系</t>
        </is>
      </c>
      <c r="J79" s="3" t="inlineStr">
        <is>
          <t>付帯部系</t>
        </is>
      </c>
      <c r="K79" s="3" t="inlineStr">
        <is>
          <t>軒天 塗装 費用
相場と注意点を解説</t>
        </is>
      </c>
      <c r="L79" s="3" t="inlineStr">
        <is>
          <t>soffit-paint-cost</t>
        </is>
      </c>
      <c r="M79" s="3" t="inlineStr">
        <is>
          <t>soffit-paint-cost.webp</t>
        </is>
      </c>
      <c r="N79" s="3" t="inlineStr">
        <is>
          <t>軒天 塗装 費用について、費用相場、内訳、金額が変わる要因、見積もり時の注意点をわかりやすく解説します。</t>
        </is>
      </c>
      <c r="O79" s="3" t="inlineStr">
        <is>
          <t>付帯部</t>
        </is>
      </c>
      <c r="P79" s="3" t="inlineStr">
        <is>
          <t>軒天、費用、付帯部</t>
        </is>
      </c>
      <c r="Q79" s="3" t="inlineStr">
        <is>
          <t>未着手</t>
        </is>
      </c>
      <c r="R79" s="3" t="inlineStr">
        <is>
          <t>未着手</t>
        </is>
      </c>
      <c r="S79" s="3" t="inlineStr">
        <is>
          <t>未着手</t>
        </is>
      </c>
      <c r="T79" s="3" t="inlineStr">
        <is>
          <t>未着手</t>
        </is>
      </c>
      <c r="U79" s="3" t="n"/>
      <c r="V79" s="3" t="inlineStr">
        <is>
          <t>関連：外壁塗装、雨樋、軒天、付帯部補修記事へリンク。</t>
        </is>
      </c>
      <c r="W79" s="3" t="n"/>
    </row>
    <row r="80" ht="28.5" customHeight="1" s="24">
      <c r="A80" s="3" t="n">
        <v>79</v>
      </c>
      <c r="B80" s="3" t="inlineStr">
        <is>
          <t>軒天 補修</t>
        </is>
      </c>
      <c r="C80" s="3" t="inlineStr">
        <is>
          <t>軒天 補修</t>
        </is>
      </c>
      <c r="D80" s="3" t="inlineStr">
        <is>
          <t>軒天補修の方法とは？剥がれ・シミ・雨漏り症状別に解説</t>
        </is>
      </c>
      <c r="E80" s="3" t="inlineStr">
        <is>
          <t>付帯部</t>
        </is>
      </c>
      <c r="F80" s="3" t="inlineStr">
        <is>
          <t>付帯部型</t>
        </is>
      </c>
      <c r="G80" s="3" t="inlineStr">
        <is>
          <t>4,500〜6,000字</t>
        </is>
      </c>
      <c r="H80" s="3" t="inlineStr">
        <is>
          <t>中</t>
        </is>
      </c>
      <c r="I80" s="3" t="inlineStr">
        <is>
          <t>第4ロット：雨樋・軒天・付帯部系</t>
        </is>
      </c>
      <c r="J80" s="3" t="inlineStr">
        <is>
          <t>付帯部系</t>
        </is>
      </c>
      <c r="K80" s="3" t="inlineStr">
        <is>
          <t>軒天 補修
ポイントを解説</t>
        </is>
      </c>
      <c r="L80" s="3" t="inlineStr">
        <is>
          <t>soffit-repair</t>
        </is>
      </c>
      <c r="M80" s="3" t="inlineStr">
        <is>
          <t>soffit-repair.webp</t>
        </is>
      </c>
      <c r="N80" s="3" t="inlineStr">
        <is>
          <t>軒天 補修について、劣化症状、補修・塗装の判断基準、費用目安、外壁塗装と同時施工するメリットを解説します。</t>
        </is>
      </c>
      <c r="O80" s="3" t="inlineStr">
        <is>
          <t>付帯部</t>
        </is>
      </c>
      <c r="P80" s="3" t="inlineStr">
        <is>
          <t>軒天、付帯部</t>
        </is>
      </c>
      <c r="Q80" s="3" t="inlineStr">
        <is>
          <t>未着手</t>
        </is>
      </c>
      <c r="R80" s="3" t="inlineStr">
        <is>
          <t>未着手</t>
        </is>
      </c>
      <c r="S80" s="3" t="inlineStr">
        <is>
          <t>未着手</t>
        </is>
      </c>
      <c r="T80" s="3" t="inlineStr">
        <is>
          <t>未着手</t>
        </is>
      </c>
      <c r="U80" s="3" t="n"/>
      <c r="V80" s="3" t="inlineStr">
        <is>
          <t>関連：外壁塗装、雨樋、軒天、付帯部補修記事へリンク。</t>
        </is>
      </c>
      <c r="W80" s="3" t="n"/>
    </row>
    <row r="81" ht="28.5" customHeight="1" s="24">
      <c r="A81" s="3" t="n">
        <v>80</v>
      </c>
      <c r="B81" s="3" t="inlineStr">
        <is>
          <t>軒天 材料 種類</t>
        </is>
      </c>
      <c r="C81" s="3" t="inlineStr">
        <is>
          <t>軒天 材料 種類</t>
        </is>
      </c>
      <c r="D81" s="3" t="inlineStr">
        <is>
          <t>軒天の材料には何がある？種類・特徴・選び方を解説</t>
        </is>
      </c>
      <c r="E81" s="3" t="inlineStr">
        <is>
          <t>付帯部</t>
        </is>
      </c>
      <c r="F81" s="3" t="inlineStr">
        <is>
          <t>付帯部型</t>
        </is>
      </c>
      <c r="G81" s="3" t="inlineStr">
        <is>
          <t>4,500〜6,000字</t>
        </is>
      </c>
      <c r="H81" s="3" t="inlineStr">
        <is>
          <t>中</t>
        </is>
      </c>
      <c r="I81" s="3" t="inlineStr">
        <is>
          <t>第4ロット：雨樋・軒天・付帯部系</t>
        </is>
      </c>
      <c r="J81" s="3" t="inlineStr">
        <is>
          <t>付帯部系</t>
        </is>
      </c>
      <c r="K81" s="3" t="inlineStr">
        <is>
          <t>軒天 材料 種類
ポイントを解説</t>
        </is>
      </c>
      <c r="L81" s="3" t="inlineStr">
        <is>
          <t>soffit-material-types</t>
        </is>
      </c>
      <c r="M81" s="3" t="inlineStr">
        <is>
          <t>soffit-material-types.webp</t>
        </is>
      </c>
      <c r="N81" s="3" t="inlineStr">
        <is>
          <t>軒天 材料 種類について、劣化症状、補修・塗装の判断基準、費用目安、外壁塗装と同時施工するメリットを解説します。</t>
        </is>
      </c>
      <c r="O81" s="3" t="inlineStr">
        <is>
          <t>付帯部</t>
        </is>
      </c>
      <c r="P81" s="3" t="inlineStr">
        <is>
          <t>軒天、付帯部</t>
        </is>
      </c>
      <c r="Q81" s="3" t="inlineStr">
        <is>
          <t>未着手</t>
        </is>
      </c>
      <c r="R81" s="3" t="inlineStr">
        <is>
          <t>未着手</t>
        </is>
      </c>
      <c r="S81" s="3" t="inlineStr">
        <is>
          <t>未着手</t>
        </is>
      </c>
      <c r="T81" s="3" t="inlineStr">
        <is>
          <t>未着手</t>
        </is>
      </c>
      <c r="U81" s="3" t="n"/>
      <c r="V81" s="3" t="inlineStr">
        <is>
          <t>関連：外壁塗装、雨樋、軒天、付帯部補修記事へリンク。</t>
        </is>
      </c>
      <c r="W81" s="3"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4.25"/>
  <cols>
    <col width="28" customWidth="1" style="24" min="1" max="4"/>
  </cols>
  <sheetData>
    <row r="1" ht="21.95" customHeight="1" s="24">
      <c r="A1" s="25" t="inlineStr">
        <is>
          <t>画像生成 共通プロンプト</t>
        </is>
      </c>
    </row>
    <row r="2" ht="21.95" customHeight="1" s="24"/>
    <row r="3" ht="21.95" customHeight="1" s="24">
      <c r="A3" s="16" t="inlineStr">
        <is>
          <t>使い方</t>
        </is>
      </c>
    </row>
    <row r="4" ht="21.95" customHeight="1" s="24">
      <c r="A4" s="5" t="inlineStr">
        <is>
          <t>1. 画像生成は必ず1記事ずつ行う</t>
        </is>
      </c>
    </row>
    <row r="5" ht="21.95" customHeight="1" s="24">
      <c r="A5" s="5" t="inlineStr">
        <is>
          <t>2. 『画像生成プロンプト一覧』シートの完成プロンプト列をコピーして使う</t>
        </is>
      </c>
    </row>
    <row r="6" ht="21.95" customHeight="1" s="24">
      <c r="A6" s="5" t="inlineStr">
        <is>
          <t>3. 保存名は eyecatches/001.png のように管理する</t>
        </is>
      </c>
    </row>
    <row r="7" ht="21.95" customHeight="1" s="24"/>
    <row r="8" ht="21.95" customHeight="1" s="24">
      <c r="A8" s="16" t="inlineStr">
        <is>
          <t>共通プロンプト</t>
        </is>
      </c>
    </row>
    <row r="9" ht="320.1" customHeight="1" s="24">
      <c r="A9" s="23" t="inlineStr">
        <is>
          <t xml:space="preserve">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t>
        </is>
      </c>
    </row>
    <row r="10" ht="21.95" customHeight="1" s="24"/>
    <row r="11" ht="21.95" customHeight="1" s="24"/>
    <row r="12" ht="21.95" customHeight="1" s="24"/>
    <row r="13" ht="21.95" customHeight="1" s="24"/>
    <row r="14" ht="21.95" customHeight="1" s="24"/>
    <row r="15" ht="21.95" customHeight="1" s="24"/>
    <row r="16" ht="21.95" customHeight="1" s="24"/>
    <row r="17" ht="21.95" customHeight="1" s="24"/>
    <row r="18" ht="21.95" customHeight="1" s="24"/>
    <row r="19" ht="21.95" customHeight="1" s="24"/>
    <row r="20" ht="21.95" customHeight="1" s="24"/>
    <row r="21" ht="21.95" customHeight="1" s="24"/>
    <row r="22" ht="21.95" customHeight="1" s="24"/>
    <row r="23" ht="21.95" customHeight="1" s="24"/>
    <row r="24" ht="21.95" customHeight="1" s="24"/>
    <row r="25" ht="21.95" customHeight="1" s="24"/>
    <row r="26" ht="21.95" customHeight="1" s="24"/>
    <row r="27" ht="21.95" customHeight="1" s="24"/>
  </sheetData>
  <mergeCells count="2">
    <mergeCell ref="A9:D27"/>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82"/>
  <sheetViews>
    <sheetView workbookViewId="0">
      <pane ySplit="2" topLeftCell="A3" activePane="bottomLeft" state="frozen"/>
      <selection pane="bottomLeft" activeCell="A1" sqref="A1"/>
    </sheetView>
  </sheetViews>
  <sheetFormatPr baseColWidth="8" defaultRowHeight="14.25"/>
  <cols>
    <col width="7" customWidth="1" style="24" min="1" max="1"/>
    <col width="24" customWidth="1" style="24" min="2" max="2"/>
    <col width="38" customWidth="1" style="24" min="3" max="3"/>
    <col width="18" customWidth="1" style="24" min="4" max="5"/>
    <col width="22" customWidth="1" style="24" min="6" max="6"/>
    <col width="24" customWidth="1" style="24" min="7" max="7"/>
    <col width="28" customWidth="1" style="24" min="8" max="8"/>
    <col width="24" customWidth="1" style="24" min="9" max="9"/>
    <col width="28" customWidth="1" style="24" min="10" max="10"/>
    <col width="24" customWidth="1" style="24" min="11" max="11"/>
    <col width="18" customWidth="1" style="24" min="12" max="12"/>
    <col width="12" customWidth="1" style="24" min="13" max="13"/>
    <col width="18" customWidth="1" style="24" min="14" max="14"/>
    <col width="42" customWidth="1" style="24" min="15" max="15"/>
    <col width="40" customWidth="1" style="24" min="16" max="16"/>
    <col width="52" customWidth="1" style="24" min="17" max="17"/>
    <col width="70" customWidth="1" style="24" min="18" max="18"/>
  </cols>
  <sheetData>
    <row r="1" ht="15" customHeight="1" s="24">
      <c r="A1" s="17" t="inlineStr">
        <is>
          <t>No</t>
        </is>
      </c>
      <c r="B1" s="17" t="inlineStr">
        <is>
          <t>指定KW</t>
        </is>
      </c>
      <c r="C1" s="17" t="inlineStr">
        <is>
          <t>記事タイトル</t>
        </is>
      </c>
      <c r="D1" s="17" t="inlineStr">
        <is>
          <t>記事カテゴリ</t>
        </is>
      </c>
      <c r="E1" s="17" t="inlineStr">
        <is>
          <t>記事タイプ</t>
        </is>
      </c>
      <c r="F1" s="17" t="inlineStr">
        <is>
          <t>画像ファイル名(PNG)</t>
        </is>
      </c>
      <c r="G1" s="17" t="inlineStr">
        <is>
          <t>メインコピー</t>
        </is>
      </c>
      <c r="H1" s="17" t="inlineStr">
        <is>
          <t>サブコピー</t>
        </is>
      </c>
      <c r="I1" s="17" t="inlineStr">
        <is>
          <t>補助コピー</t>
        </is>
      </c>
      <c r="J1" s="17" t="inlineStr">
        <is>
          <t>小見出し・チェック項目</t>
        </is>
      </c>
      <c r="K1" s="17" t="inlineStr">
        <is>
          <t>背景モチーフ</t>
        </is>
      </c>
      <c r="L1" s="17" t="inlineStr">
        <is>
          <t>人物モチーフ</t>
        </is>
      </c>
      <c r="M1" s="17" t="inlineStr">
        <is>
          <t>地域要素</t>
        </is>
      </c>
      <c r="N1" s="17" t="inlineStr">
        <is>
          <t>方向性</t>
        </is>
      </c>
      <c r="O1" s="17" t="inlineStr">
        <is>
          <t>背景・構図</t>
        </is>
      </c>
      <c r="P1" s="17" t="inlineStr">
        <is>
          <t>画像の印象</t>
        </is>
      </c>
      <c r="Q1" s="17" t="inlineStr">
        <is>
          <t>個別プロンプト</t>
        </is>
      </c>
      <c r="R1" s="17" t="inlineStr">
        <is>
          <t>完成プロンプト</t>
        </is>
      </c>
    </row>
    <row r="2" ht="36" customHeight="1" s="24">
      <c r="A2" s="18" t="inlineStr">
        <is>
          <t>使い方</t>
        </is>
      </c>
      <c r="B2" s="26" t="inlineStr">
        <is>
          <t>『画像生成共通プロンプト』シートを確認し、完成プロンプト列を1記事ずつ画像生成トークへ貼り付けて使用する。</t>
        </is>
      </c>
      <c r="C2" s="31" t="n"/>
      <c r="D2" s="31" t="n"/>
      <c r="E2" s="31" t="n"/>
      <c r="F2" s="31" t="n"/>
      <c r="G2" s="31" t="n"/>
      <c r="H2" s="31" t="n"/>
      <c r="I2" s="31" t="n"/>
      <c r="J2" s="31" t="n"/>
      <c r="K2" s="31" t="n"/>
      <c r="L2" s="31" t="n"/>
      <c r="M2" s="31" t="n"/>
      <c r="N2" s="31" t="n"/>
      <c r="O2" s="31" t="n"/>
      <c r="P2" s="31" t="n"/>
      <c r="Q2" s="31" t="n"/>
      <c r="R2" s="32" t="n"/>
    </row>
    <row r="3" ht="90" customHeight="1" s="24">
      <c r="A3" s="19" t="inlineStr">
        <is>
          <t>001</t>
        </is>
      </c>
      <c r="B3" s="20" t="inlineStr">
        <is>
          <t>松山市 雨漏り修理</t>
        </is>
      </c>
      <c r="C3" s="20" t="inlineStr">
        <is>
          <t>松山市で雨漏り修理を依頼するなら？原因調査・費用・業者選びを解説</t>
        </is>
      </c>
      <c r="D3" s="20" t="inlineStr">
        <is>
          <t>雨漏り</t>
        </is>
      </c>
      <c r="E3" s="20" t="inlineStr">
        <is>
          <t>地域サービス型</t>
        </is>
      </c>
      <c r="F3" s="19" t="inlineStr">
        <is>
          <t>eyecatches/001.png</t>
        </is>
      </c>
      <c r="G3" s="20" t="inlineStr">
        <is>
          <t>松山市の雨漏り修理</t>
        </is>
      </c>
      <c r="H3" s="20" t="inlineStr">
        <is>
          <t>原因・費用・業者選びをプロが解説</t>
        </is>
      </c>
      <c r="I3" s="20" t="inlineStr">
        <is>
          <t>無料点検受付中</t>
        </is>
      </c>
      <c r="J3" s="20" t="inlineStr">
        <is>
          <t>・天井のシミ
・屋根の劣化
・外壁の雨染み</t>
        </is>
      </c>
      <c r="K3" s="20" t="inlineStr">
        <is>
          <t>天井シミ・雨だれ・屋根点検</t>
        </is>
      </c>
      <c r="L3" s="20" t="inlineStr">
        <is>
          <t>ヘルメットの職人</t>
        </is>
      </c>
      <c r="M3" s="20" t="inlineStr">
        <is>
          <t>松山市版</t>
        </is>
      </c>
      <c r="N3" s="20" t="inlineStr">
        <is>
          <t>強めサムネ・雨漏り訴求</t>
        </is>
      </c>
      <c r="O3" s="20" t="inlineStr">
        <is>
          <t>天井シミ、雨だれ、屋根点検が分かる背景にする。
ヘルメットの職人が、修理箇所を確認しながら、必要な工事内容を説明している。
記事テーマがひと目で伝わるよう、劣化箇所や説明アイコンを分かりやすく配置する。
「松山市版」の小さなラベルを入れる。</t>
        </is>
      </c>
      <c r="P3" s="20" t="inlineStr">
        <is>
          <t>強めサムネ・雨漏り訴求を意識しつつ、記事テーマが一目で伝わる強めのアイキャッチにする。
読者が『この記事で何が分かるか』を瞬時に理解できる印象にする。</t>
        </is>
      </c>
      <c r="Q3" s="20" t="inlineStr">
        <is>
          <t xml:space="preserve">【対象記事】
No：001
指定KW：松山市 雨漏り修理
記事タイトル：松山市で雨漏り修理を依頼するなら？原因調査・費用・業者選びを解説
【画像に入れたい文字】
メインコピー：
松山市の雨漏り修理
サブコピー：
原因・費用・業者選びをプロが解説
補助コピー：
無料点検受付中
小見出し・チェック項目：
・天井のシミ
・屋根の劣化
・外壁の雨染み
【背景・構図】
天井シミ、雨だれ、屋根点検が分かる背景にする。
ヘルメットの職人が、修理箇所を確認しながら、必要な工事内容を説明している。
記事テーマがひと目で伝わるよう、劣化箇所や説明アイコンを分かりやすく配置する。
「松山市版」の小さなラベルを入れる。
【画像の印象】
強めサムネ・雨漏り訴求を意識しつつ、記事テーマが一目で伝わる強めのアイキャッチにする。
読者が『この記事で何が分かるか』を瞬時に理解できる印象にする。
</t>
        </is>
      </c>
      <c r="R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No：001
指定KW：松山市 雨漏り修理
記事タイトル：松山市で雨漏り修理を依頼するなら？原因調査・費用・業者選びを解説
【画像に入れたい文字】
メインコピー：
松山市の雨漏り修理
サブコピー：
原因・費用・業者選びをプロが解説
補助コピー：
無料点検受付中
小見出し・チェック項目：
・天井のシミ
・屋根の劣化
・外壁の雨染み
【背景・構図】
天井シミ、雨だれ、屋根点検が分かる背景にする。
ヘルメットの職人が、修理箇所を確認しながら、必要な工事内容を説明している。
記事テーマがひと目で伝わるよう、劣化箇所や説明アイコンを分かりやすく配置する。
「松山市版」の小さなラベルを入れる。
【画像の印象】
強めサムネ・雨漏り訴求を意識しつつ、記事テーマが一目で伝わる強めのアイキャッチにする。
読者が『この記事で何が分かるか』を瞬時に理解できる印象にする。</t>
        </is>
      </c>
    </row>
    <row r="4" ht="90" customHeight="1" s="24">
      <c r="A4" s="19" t="inlineStr">
        <is>
          <t>002</t>
        </is>
      </c>
      <c r="B4" s="20" t="inlineStr">
        <is>
          <t>松山市 雨漏り調査</t>
        </is>
      </c>
      <c r="C4" s="20" t="inlineStr">
        <is>
          <t>松山市の雨漏り調査とは？調査方法・費用・依頼前の注意点</t>
        </is>
      </c>
      <c r="D4" s="20" t="inlineStr">
        <is>
          <t>雨漏り</t>
        </is>
      </c>
      <c r="E4" s="20" t="inlineStr">
        <is>
          <t>地域サービス型</t>
        </is>
      </c>
      <c r="F4" s="19" t="inlineStr">
        <is>
          <t>eyecatches/002.png</t>
        </is>
      </c>
      <c r="G4" s="20" t="inlineStr">
        <is>
          <t>雨漏り調査は原因特定が命</t>
        </is>
      </c>
      <c r="H4" s="20" t="inlineStr">
        <is>
          <t>散水調査・写真付き診断を解説</t>
        </is>
      </c>
      <c r="I4" s="20" t="inlineStr">
        <is>
          <t>見えない侵入口を確認</t>
        </is>
      </c>
      <c r="J4" s="20" t="inlineStr">
        <is>
          <t>・散水調査
・赤外線調査
・写真付き診断書</t>
        </is>
      </c>
      <c r="K4" s="20" t="inlineStr">
        <is>
          <t>外壁ひび割れ・サッシ・虫眼鏡</t>
        </is>
      </c>
      <c r="L4" s="20" t="inlineStr">
        <is>
          <t>虫眼鏡を持つ職人</t>
        </is>
      </c>
      <c r="M4" s="20" t="inlineStr">
        <is>
          <t>松山市版</t>
        </is>
      </c>
      <c r="N4" s="20" t="inlineStr">
        <is>
          <t>調査訴求・原因特定</t>
        </is>
      </c>
      <c r="O4" s="20" t="inlineStr">
        <is>
          <t>外壁ひび割れ、サッシ、虫眼鏡が分かる背景にする。
虫眼鏡を持つ職人が、外壁やサッシまわりを細かく調査している。
調査用のアイコンとして、散水、赤外線カメラ、診断書を分かりやすく配置する。
「松山市版」の小さなラベルを入れる。</t>
        </is>
      </c>
      <c r="P4" s="20" t="inlineStr">
        <is>
          <t>修理ではなく「調査・原因特定」が主役の画像にする。
雨漏りの見えない原因をプロが調べる、という印象を強く出す。</t>
        </is>
      </c>
      <c r="Q4" s="20" t="inlineStr">
        <is>
          <t xml:space="preserve">【対象記事】
No：002
指定KW：松山市 雨漏り調査
記事タイトル：松山市の雨漏り調査とは？調査方法・費用・依頼前の注意点
【画像に入れたい文字】
メインコピー：
雨漏り調査は原因特定が命
サブコピー：
散水調査・写真付き診断を解説
補助コピー：
見えない侵入口を確認
小見出し・チェック項目：
・散水調査
・赤外線調査
・写真付き診断書
【背景・構図】
外壁ひび割れ、サッシ、虫眼鏡が分かる背景にする。
虫眼鏡を持つ職人が、外壁やサッシまわりを細かく調査している。
調査用のアイコンとして、散水、赤外線カメラ、診断書を分かりやすく配置する。
「松山市版」の小さなラベルを入れる。
【画像の印象】
修理ではなく「調査・原因特定」が主役の画像にする。
雨漏りの見えない原因をプロが調べる、という印象を強く出す。
</t>
        </is>
      </c>
      <c r="R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No：002
指定KW：松山市 雨漏り調査
記事タイトル：松山市の雨漏り調査とは？調査方法・費用・依頼前の注意点
【画像に入れたい文字】
メインコピー：
雨漏り調査は原因特定が命
サブコピー：
散水調査・写真付き診断を解説
補助コピー：
見えない侵入口を確認
小見出し・チェック項目：
・散水調査
・赤外線調査
・写真付き診断書
【背景・構図】
外壁ひび割れ、サッシ、虫眼鏡が分かる背景にする。
虫眼鏡を持つ職人が、外壁やサッシまわりを細かく調査している。
調査用のアイコンとして、散水、赤外線カメラ、診断書を分かりやすく配置する。
「松山市版」の小さなラベルを入れる。
【画像の印象】
修理ではなく「調査・原因特定」が主役の画像にする。
雨漏りの見えない原因をプロが調べる、という印象を強く出す。</t>
        </is>
      </c>
    </row>
    <row r="5" ht="90" customHeight="1" s="24">
      <c r="A5" s="19" t="inlineStr">
        <is>
          <t>003</t>
        </is>
      </c>
      <c r="B5" s="20" t="inlineStr">
        <is>
          <t>松山市 雨漏り診断</t>
        </is>
      </c>
      <c r="C5" s="20" t="inlineStr">
        <is>
          <t>松山市の雨漏り診断でわかること｜原因特定と修理前の確認ポイント</t>
        </is>
      </c>
      <c r="D5" s="20" t="inlineStr">
        <is>
          <t>雨漏り</t>
        </is>
      </c>
      <c r="E5" s="20" t="inlineStr">
        <is>
          <t>地域サービス型</t>
        </is>
      </c>
      <c r="F5" s="19" t="inlineStr">
        <is>
          <t>eyecatches/003.png</t>
        </is>
      </c>
      <c r="G5" s="20" t="inlineStr">
        <is>
          <t>これって雨漏り？</t>
        </is>
      </c>
      <c r="H5" s="20" t="inlineStr">
        <is>
          <t>天井シミ・壁紙浮き・カビ臭を確認</t>
        </is>
      </c>
      <c r="I5" s="20" t="inlineStr">
        <is>
          <t>無料現地診断でチェック</t>
        </is>
      </c>
      <c r="J5" s="20" t="inlineStr">
        <is>
          <t>・天井のシミ
・壁紙の浮き
・カビ臭い
・雨の日だけ濡れる</t>
        </is>
      </c>
      <c r="K5" s="20" t="inlineStr">
        <is>
          <t>住宅外観・チェックリスト・雨染み</t>
        </is>
      </c>
      <c r="L5" s="20" t="inlineStr">
        <is>
          <t>困った住人＋職人</t>
        </is>
      </c>
      <c r="M5" s="20" t="inlineStr">
        <is>
          <t>松山市版</t>
        </is>
      </c>
      <c r="N5" s="20" t="inlineStr">
        <is>
          <t>診断訴求・不安解消</t>
        </is>
      </c>
      <c r="O5" s="20" t="inlineStr">
        <is>
          <t>住宅外観、チェックリスト、雨染みが分かる背景にする。
困った住人＋職人が、住宅の状態を住人へわかりやすく説明している。
診断項目がひと目でわかるよう、チェックリストや吹き出しを配置する。
「松山市版」の小さなラベルを入れる。</t>
        </is>
      </c>
      <c r="P5" s="20" t="inlineStr">
        <is>
          <t>不安をあおりすぎず、まずは現地診断で状態を確認できる安心感を出す。
雨漏りかどうか分からない読者が相談しやすい印象にする。</t>
        </is>
      </c>
      <c r="Q5" s="20" t="inlineStr">
        <is>
          <t xml:space="preserve">【対象記事】
No：003
指定KW：松山市 雨漏り診断
記事タイトル：松山市の雨漏り診断でわかること｜原因特定と修理前の確認ポイント
【画像に入れたい文字】
メインコピー：
これって雨漏り？
サブコピー：
天井シミ・壁紙浮き・カビ臭を確認
補助コピー：
無料現地診断でチェック
小見出し・チェック項目：
・天井のシミ
・壁紙の浮き
・カビ臭い
・雨の日だけ濡れる
【背景・構図】
住宅外観、チェックリスト、雨染みが分かる背景にする。
困った住人＋職人が、住宅の状態を住人へわかりやすく説明している。
診断項目がひと目でわかるよう、チェックリストや吹き出しを配置する。
「松山市版」の小さなラベルを入れる。
【画像の印象】
不安をあおりすぎず、まずは現地診断で状態を確認できる安心感を出す。
雨漏りかどうか分からない読者が相談しやすい印象にする。
</t>
        </is>
      </c>
      <c r="R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No：003
指定KW：松山市 雨漏り診断
記事タイトル：松山市の雨漏り診断でわかること｜原因特定と修理前の確認ポイント
【画像に入れたい文字】
メインコピー：
これって雨漏り？
サブコピー：
天井シミ・壁紙浮き・カビ臭を確認
補助コピー：
無料現地診断でチェック
小見出し・チェック項目：
・天井のシミ
・壁紙の浮き
・カビ臭い
・雨の日だけ濡れる
【背景・構図】
住宅外観、チェックリスト、雨染みが分かる背景にする。
困った住人＋職人が、住宅の状態を住人へわかりやすく説明している。
診断項目がひと目でわかるよう、チェックリストや吹き出しを配置する。
「松山市版」の小さなラベルを入れる。
【画像の印象】
不安をあおりすぎず、まずは現地診断で状態を確認できる安心感を出す。
雨漏りかどうか分からない読者が相談しやすい印象にする。</t>
        </is>
      </c>
    </row>
    <row r="6" ht="90" customHeight="1" s="24">
      <c r="A6" s="19" t="inlineStr">
        <is>
          <t>004</t>
        </is>
      </c>
      <c r="B6" s="20" t="inlineStr">
        <is>
          <t>松山市 雨漏り業者</t>
        </is>
      </c>
      <c r="C6" s="20" t="inlineStr">
        <is>
          <t>松山市で雨漏り業者を選ぶポイント｜失敗しない比較方法を解説</t>
        </is>
      </c>
      <c r="D6" s="20" t="inlineStr">
        <is>
          <t>雨漏り</t>
        </is>
      </c>
      <c r="E6" s="20" t="inlineStr">
        <is>
          <t>地域サービス型</t>
        </is>
      </c>
      <c r="F6" s="19" t="inlineStr">
        <is>
          <t>eyecatches/004.png</t>
        </is>
      </c>
      <c r="G6" s="20" t="inlineStr">
        <is>
          <t>雨漏り業者の選び方</t>
        </is>
      </c>
      <c r="H6" s="20" t="inlineStr">
        <is>
          <t>安さだけで選ぶと危険!?</t>
        </is>
      </c>
      <c r="I6" s="20" t="inlineStr">
        <is>
          <t>見積り・保証・原因説明</t>
        </is>
      </c>
      <c r="J6" s="20" t="inlineStr">
        <is>
          <t>・見積りの内容
・原因の説明
・保証・アフター
・地域での実績</t>
        </is>
      </c>
      <c r="K6" s="20" t="inlineStr">
        <is>
          <t>見積書・住宅外観・比較表</t>
        </is>
      </c>
      <c r="L6" s="20" t="inlineStr">
        <is>
          <t>考える住人＋職人</t>
        </is>
      </c>
      <c r="M6" s="20" t="inlineStr">
        <is>
          <t>松山市版</t>
        </is>
      </c>
      <c r="N6" s="20" t="inlineStr">
        <is>
          <t>業者選び訴求</t>
        </is>
      </c>
      <c r="O6" s="20" t="inlineStr">
        <is>
          <t>見積書、住宅外観、比較表が分かる背景にする。
考える住人＋職人が、見積書や比較ポイントを示しながら相談に乗っている。
見積書、比較表、保証のアイコンなどを分かりやすく配置する。
「松山市版」の小さなラベルを入れる。</t>
        </is>
      </c>
      <c r="P6" s="20" t="inlineStr">
        <is>
          <t>業者選びで失敗したくない読者に向けて、比較ポイントが一目で伝わる画像にする。
安さだけではなく、説明・見積り・保証が大切だと感じられる印象にする。</t>
        </is>
      </c>
      <c r="Q6" s="20" t="inlineStr">
        <is>
          <t xml:space="preserve">【対象記事】
No：004
指定KW：松山市 雨漏り業者
記事タイトル：松山市で雨漏り業者を選ぶポイント｜失敗しない比較方法を解説
【画像に入れたい文字】
メインコピー：
雨漏り業者の選び方
サブコピー：
安さだけで選ぶと危険!?
補助コピー：
見積り・保証・原因説明
小見出し・チェック項目：
・見積りの内容
・原因の説明
・保証・アフター
・地域での実績
【背景・構図】
見積書、住宅外観、比較表が分かる背景にする。
考える住人＋職人が、見積書や比較ポイントを示しながら相談に乗っている。
見積書、比較表、保証のアイコンなどを分かりやすく配置する。
「松山市版」の小さなラベルを入れる。
【画像の印象】
業者選びで失敗したくない読者に向けて、比較ポイントが一目で伝わる画像にする。
安さだけではなく、説明・見積り・保証が大切だと感じられる印象にする。
</t>
        </is>
      </c>
      <c r="R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No：004
指定KW：松山市 雨漏り業者
記事タイトル：松山市で雨漏り業者を選ぶポイント｜失敗しない比較方法を解説
【画像に入れたい文字】
メインコピー：
雨漏り業者の選び方
サブコピー：
安さだけで選ぶと危険!?
補助コピー：
見積り・保証・原因説明
小見出し・チェック項目：
・見積りの内容
・原因の説明
・保証・アフター
・地域での実績
【背景・構図】
見積書、住宅外観、比較表が分かる背景にする。
考える住人＋職人が、見積書や比較ポイントを示しながら相談に乗っている。
見積書、比較表、保証のアイコンなどを分かりやすく配置する。
「松山市版」の小さなラベルを入れる。
【画像の印象】
業者選びで失敗したくない読者に向けて、比較ポイントが一目で伝わる画像にする。
安さだけではなく、説明・見積り・保証が大切だと感じられる印象にする。</t>
        </is>
      </c>
    </row>
    <row r="7" ht="90" customHeight="1" s="24">
      <c r="A7" s="19" t="inlineStr">
        <is>
          <t>005</t>
        </is>
      </c>
      <c r="B7" s="20" t="inlineStr">
        <is>
          <t>松山市 雨漏り修理 費用</t>
        </is>
      </c>
      <c r="C7" s="20" t="inlineStr">
        <is>
          <t>松山市の雨漏り修理費用はいくら？相場・内訳・業者選びを解説</t>
        </is>
      </c>
      <c r="D7" s="20" t="inlineStr">
        <is>
          <t>雨漏り</t>
        </is>
      </c>
      <c r="E7" s="20" t="inlineStr">
        <is>
          <t>地域サービス型</t>
        </is>
      </c>
      <c r="F7" s="19" t="inlineStr">
        <is>
          <t>eyecatches/005.png</t>
        </is>
      </c>
      <c r="G7" s="20" t="inlineStr">
        <is>
          <t>雨漏り修理の費用はいくら？</t>
        </is>
      </c>
      <c r="H7" s="20" t="inlineStr">
        <is>
          <t>相場と内訳を職人が解説</t>
        </is>
      </c>
      <c r="I7" s="20" t="inlineStr">
        <is>
          <t>応急処置／屋根補修／防水工事</t>
        </is>
      </c>
      <c r="J7" s="20" t="inlineStr">
        <is>
          <t>・応急処置
・屋根補修
・防水工事
・費用の内訳</t>
        </is>
      </c>
      <c r="K7" s="20" t="inlineStr">
        <is>
          <t>見積書・天井シミ・屋根修理の現場</t>
        </is>
      </c>
      <c r="L7" s="20" t="inlineStr">
        <is>
          <t>不安そうな住人＋職人</t>
        </is>
      </c>
      <c r="M7" s="20" t="inlineStr">
        <is>
          <t>松山市版</t>
        </is>
      </c>
      <c r="N7" s="20" t="inlineStr">
        <is>
          <t>強めサムネ・費用訴求</t>
        </is>
      </c>
      <c r="O7" s="20" t="inlineStr">
        <is>
          <t>見積書、天井シミ、屋根修理の現場が分かる背景にする。
不安そうな住人＋職人が、見積書や工事内容を示しながら費用の違いを説明している。
見積書、金額ラベル、費用内訳のアイコンなどを分かりやすく配置する。
「松山市版」の小さなラベルを入れる。</t>
        </is>
      </c>
      <c r="P7" s="20" t="inlineStr">
        <is>
          <t>費用への不安を持つ読者に向けて、相場や内訳が分かりやすい印象にする。
安売り感ではなく、無料見積りで納得して相談できる安心感を出す。</t>
        </is>
      </c>
      <c r="Q7" s="20" t="inlineStr">
        <is>
          <t xml:space="preserve">【対象記事】
No：005
指定KW：松山市 雨漏り修理 費用
記事タイトル：松山市の雨漏り修理費用はいくら？相場・内訳・業者選びを解説
【画像に入れたい文字】
メインコピー：
雨漏り修理の費用はいくら？
サブコピー：
相場と内訳を職人が解説
補助コピー：
応急処置／屋根補修／防水工事
小見出し・チェック項目：
・応急処置
・屋根補修
・防水工事
・費用の内訳
【背景・構図】
見積書、天井シミ、屋根修理の現場が分かる背景にする。
不安そうな住人＋職人が、見積書や工事内容を示しながら費用の違いを説明している。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
</t>
        </is>
      </c>
      <c r="R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No：005
指定KW：松山市 雨漏り修理 費用
記事タイトル：松山市の雨漏り修理費用はいくら？相場・内訳・業者選びを解説
【画像に入れたい文字】
メインコピー：
雨漏り修理の費用はいくら？
サブコピー：
相場と内訳を職人が解説
補助コピー：
応急処置／屋根補修／防水工事
小見出し・チェック項目：
・応急処置
・屋根補修
・防水工事
・費用の内訳
【背景・構図】
見積書、天井シミ、屋根修理の現場が分かる背景にする。
不安そうな住人＋職人が、見積書や工事内容を示しながら費用の違いを説明している。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t>
        </is>
      </c>
    </row>
    <row r="8" ht="90" customHeight="1" s="24">
      <c r="A8" s="19" t="inlineStr">
        <is>
          <t>006</t>
        </is>
      </c>
      <c r="B8" s="20" t="inlineStr">
        <is>
          <t>松山市 雨漏り 原因</t>
        </is>
      </c>
      <c r="C8" s="20" t="inlineStr">
        <is>
          <t>松山市で多い雨漏りの原因とは？屋根・外壁・ベランダ別に解説</t>
        </is>
      </c>
      <c r="D8" s="20" t="inlineStr">
        <is>
          <t>雨漏り</t>
        </is>
      </c>
      <c r="E8" s="20" t="inlineStr">
        <is>
          <t>地域サービス型</t>
        </is>
      </c>
      <c r="F8" s="19" t="inlineStr">
        <is>
          <t>eyecatches/006.png</t>
        </is>
      </c>
      <c r="G8" s="20" t="inlineStr">
        <is>
          <t>雨漏り 原因の原因は？</t>
        </is>
      </c>
      <c r="H8" s="20" t="inlineStr">
        <is>
          <t>放置リスクと対処法を解説</t>
        </is>
      </c>
      <c r="I8" s="20" t="inlineStr">
        <is>
          <t>早めの確認が大切</t>
        </is>
      </c>
      <c r="J8" s="20" t="inlineStr">
        <is>
          <t>・屋根からの侵入
・外壁のひび割れ
・サッシまわり
・ベランダ防水の劣化</t>
        </is>
      </c>
      <c r="K8" s="20" t="inlineStr">
        <is>
          <t>劣化箇所の拡大・雨染み・ひび割れ</t>
        </is>
      </c>
      <c r="L8" s="20" t="inlineStr">
        <is>
          <t>職人</t>
        </is>
      </c>
      <c r="M8" s="20" t="inlineStr">
        <is>
          <t>松山市版</t>
        </is>
      </c>
      <c r="N8" s="20" t="inlineStr">
        <is>
          <t>原因解説訴求</t>
        </is>
      </c>
      <c r="O8" s="20" t="inlineStr">
        <is>
          <t>劣化箇所の拡大、雨染み、ひび割れが分かる背景にする。
職人が、雨漏りや劣化の原因箇所を指さして説明している。
ひび割れ、コーキング、雨染みなど原因箇所が分かる要素を配置する。
「松山市版」の小さなラベルを入れる。</t>
        </is>
      </c>
      <c r="P8" s="20" t="inlineStr">
        <is>
          <t>原因や症状が一目で伝わる、分かりやすい解説型の画像にする。
放置リスクと早めの対策の大切さが伝わる印象にする。</t>
        </is>
      </c>
      <c r="Q8" s="20" t="inlineStr">
        <is>
          <t xml:space="preserve">【対象記事】
No：006
指定KW：松山市 雨漏り 原因
記事タイトル：松山市で多い雨漏りの原因とは？屋根・外壁・ベランダ別に解説
【画像に入れたい文字】
メインコピー：
雨漏り 原因の原因は？
サブコピー：
放置リスクと対処法を解説
補助コピー：
早めの確認が大切
小見出し・チェック項目：
・屋根からの侵入
・外壁のひび割れ
・サッシまわり
・ベランダ防水の劣化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
</t>
        </is>
      </c>
      <c r="R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No：006
指定KW：松山市 雨漏り 原因
記事タイトル：松山市で多い雨漏りの原因とは？屋根・外壁・ベランダ別に解説
【画像に入れたい文字】
メインコピー：
雨漏り 原因の原因は？
サブコピー：
放置リスクと対処法を解説
補助コピー：
早めの確認が大切
小見出し・チェック項目：
・屋根からの侵入
・外壁のひび割れ
・サッシまわり
・ベランダ防水の劣化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t>
        </is>
      </c>
    </row>
    <row r="9" ht="90" customHeight="1" s="24">
      <c r="A9" s="19" t="inlineStr">
        <is>
          <t>007</t>
        </is>
      </c>
      <c r="B9" s="20" t="inlineStr">
        <is>
          <t>松山市 ベランダ雨漏り</t>
        </is>
      </c>
      <c r="C9" s="20" t="inlineStr">
        <is>
          <t>松山市のベランダ雨漏りはなぜ起こる？原因・修理費用・防水対策</t>
        </is>
      </c>
      <c r="D9" s="20" t="inlineStr">
        <is>
          <t>雨漏り</t>
        </is>
      </c>
      <c r="E9" s="20" t="inlineStr">
        <is>
          <t>地域サービス型</t>
        </is>
      </c>
      <c r="F9" s="19" t="inlineStr">
        <is>
          <t>eyecatches/007.png</t>
        </is>
      </c>
      <c r="G9" s="20" t="inlineStr">
        <is>
          <t>ベランダ雨漏り</t>
        </is>
      </c>
      <c r="H9" s="20" t="inlineStr">
        <is>
          <t>雨漏り前に防水状態をチェック</t>
        </is>
      </c>
      <c r="I9" s="20" t="inlineStr">
        <is>
          <t>費用・耐用年数を解説</t>
        </is>
      </c>
      <c r="J9" s="20" t="inlineStr">
        <is>
          <t>・防水層の劣化
・ひび割れ
・排水不良
・トップコートの傷み</t>
        </is>
      </c>
      <c r="K9" s="20" t="inlineStr">
        <is>
          <t>ベランダ床・防水層・排水口</t>
        </is>
      </c>
      <c r="L9" s="20" t="inlineStr">
        <is>
          <t>点検する職人</t>
        </is>
      </c>
      <c r="M9" s="20" t="inlineStr">
        <is>
          <t>松山市版</t>
        </is>
      </c>
      <c r="N9" s="20" t="inlineStr">
        <is>
          <t>防水訴求</t>
        </is>
      </c>
      <c r="O9" s="20" t="inlineStr">
        <is>
          <t>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t>
        </is>
      </c>
      <c r="P9" s="20" t="inlineStr">
        <is>
          <t>防水訴求を意識しつつ、記事テーマが一目で伝わる強めのアイキャッチにする。
読者が『この記事で何が分かるか』を瞬時に理解できる印象にする。</t>
        </is>
      </c>
      <c r="Q9" s="20" t="inlineStr">
        <is>
          <t xml:space="preserve">【対象記事】
No：007
指定KW：松山市 ベランダ雨漏り
記事タイトル：松山市のベランダ雨漏りはなぜ起こる？原因・修理費用・防水対策
【画像に入れたい文字】
メインコピー：
ベランダ雨漏り
サブコピー：
雨漏り前に防水状態をチェック
補助コピー：
費用・耐用年数を解説
小見出し・チェック項目：
・防水層の劣化
・ひび割れ
・排水不良
・トップコートの傷み
【背景・構図】
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防水訴求を意識しつつ、記事テーマが一目で伝わる強めのアイキャッチにする。
読者が『この記事で何が分かるか』を瞬時に理解できる印象にする。
</t>
        </is>
      </c>
      <c r="R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No：007
指定KW：松山市 ベランダ雨漏り
記事タイトル：松山市のベランダ雨漏りはなぜ起こる？原因・修理費用・防水対策
【画像に入れたい文字】
メインコピー：
ベランダ雨漏り
サブコピー：
雨漏り前に防水状態をチェック
補助コピー：
費用・耐用年数を解説
小見出し・チェック項目：
・防水層の劣化
・ひび割れ
・排水不良
・トップコートの傷み
【背景・構図】
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防水訴求を意識しつつ、記事テーマが一目で伝わる強めのアイキャッチにする。
読者が『この記事で何が分かるか』を瞬時に理解できる印象にする。</t>
        </is>
      </c>
    </row>
    <row r="10" ht="90" customHeight="1" s="24">
      <c r="A10" s="19" t="inlineStr">
        <is>
          <t>008</t>
        </is>
      </c>
      <c r="B10" s="20" t="inlineStr">
        <is>
          <t>松山市 サッシ雨漏り</t>
        </is>
      </c>
      <c r="C10" s="20" t="inlineStr">
        <is>
          <t>松山市のサッシ雨漏りの原因とは？窓まわりの補修方法を解説</t>
        </is>
      </c>
      <c r="D10" s="20" t="inlineStr">
        <is>
          <t>雨漏り</t>
        </is>
      </c>
      <c r="E10" s="20" t="inlineStr">
        <is>
          <t>地域サービス型</t>
        </is>
      </c>
      <c r="F10" s="19" t="inlineStr">
        <is>
          <t>eyecatches/008.png</t>
        </is>
      </c>
      <c r="G10" s="20" t="inlineStr">
        <is>
          <t>サッシ雨漏り</t>
        </is>
      </c>
      <c r="H10" s="20" t="inlineStr">
        <is>
          <t>症状・費用・注意点を解説</t>
        </is>
      </c>
      <c r="I10" s="20" t="inlineStr">
        <is>
          <t>プロが分かりやすく解説</t>
        </is>
      </c>
      <c r="J10" s="20" t="inlineStr">
        <is>
          <t>・サッシまわり
・コーキング劣化
・外壁の取り合い
・雨水の侵入口</t>
        </is>
      </c>
      <c r="K10" s="20" t="inlineStr">
        <is>
          <t>住宅外観・劣化箇所</t>
        </is>
      </c>
      <c r="L10" s="20" t="inlineStr">
        <is>
          <t>職人</t>
        </is>
      </c>
      <c r="M10" s="20" t="inlineStr">
        <is>
          <t>松山市版</t>
        </is>
      </c>
      <c r="N10" s="20" t="inlineStr">
        <is>
          <t>汎用外装訴求</t>
        </is>
      </c>
      <c r="O10" s="20" t="inlineStr">
        <is>
          <t>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t>
        </is>
      </c>
      <c r="P10" s="20" t="inlineStr">
        <is>
          <t>汎用外装訴求を意識しつつ、記事テーマが一目で伝わる強めのアイキャッチにする。
読者が『この記事で何が分かるか』を瞬時に理解できる印象にする。</t>
        </is>
      </c>
      <c r="Q10" s="20" t="inlineStr">
        <is>
          <t xml:space="preserve">【対象記事】
No：008
指定KW：松山市 サッシ雨漏り
記事タイトル：松山市のサッシ雨漏りの原因とは？窓まわりの補修方法を解説
【画像に入れたい文字】
メインコピー：
サッシ雨漏り
サブコピー：
症状・費用・注意点を解説
補助コピー：
プロが分かりやすく解説
小見出し・チェック項目：
・サッシまわり
・コーキング劣化
・外壁の取り合い
・雨水の侵入口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
</t>
        </is>
      </c>
      <c r="R1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No：008
指定KW：松山市 サッシ雨漏り
記事タイトル：松山市のサッシ雨漏りの原因とは？窓まわりの補修方法を解説
【画像に入れたい文字】
メインコピー：
サッシ雨漏り
サブコピー：
症状・費用・注意点を解説
補助コピー：
プロが分かりやすく解説
小見出し・チェック項目：
・サッシまわり
・コーキング劣化
・外壁の取り合い
・雨水の侵入口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t>
        </is>
      </c>
    </row>
    <row r="11" ht="90" customHeight="1" s="24">
      <c r="A11" s="19" t="inlineStr">
        <is>
          <t>009</t>
        </is>
      </c>
      <c r="B11" s="20" t="inlineStr">
        <is>
          <t>松山市 外壁雨漏り</t>
        </is>
      </c>
      <c r="C11" s="20" t="inlineStr">
        <is>
          <t>松山市の外壁雨漏りの原因と対策｜ひび割れ・シーリング劣化に注意</t>
        </is>
      </c>
      <c r="D11" s="20" t="inlineStr">
        <is>
          <t>雨漏り</t>
        </is>
      </c>
      <c r="E11" s="20" t="inlineStr">
        <is>
          <t>地域サービス型</t>
        </is>
      </c>
      <c r="F11" s="19" t="inlineStr">
        <is>
          <t>eyecatches/009.png</t>
        </is>
      </c>
      <c r="G11" s="20" t="inlineStr">
        <is>
          <t>外壁雨漏り</t>
        </is>
      </c>
      <c r="H11" s="20" t="inlineStr">
        <is>
          <t>症状・費用・注意点を解説</t>
        </is>
      </c>
      <c r="I11" s="20" t="inlineStr">
        <is>
          <t>プロが分かりやすく解説</t>
        </is>
      </c>
      <c r="J11" s="20" t="inlineStr">
        <is>
          <t>・外壁のひび割れ
・コーキング劣化
・塗膜の劣化
・雨染み</t>
        </is>
      </c>
      <c r="K11" s="20" t="inlineStr">
        <is>
          <t>住宅外観・劣化箇所</t>
        </is>
      </c>
      <c r="L11" s="20" t="inlineStr">
        <is>
          <t>職人</t>
        </is>
      </c>
      <c r="M11" s="20" t="inlineStr">
        <is>
          <t>松山市版</t>
        </is>
      </c>
      <c r="N11" s="20" t="inlineStr">
        <is>
          <t>汎用外装訴求</t>
        </is>
      </c>
      <c r="O11" s="20" t="inlineStr">
        <is>
          <t>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t>
        </is>
      </c>
      <c r="P11" s="20" t="inlineStr">
        <is>
          <t>汎用外装訴求を意識しつつ、記事テーマが一目で伝わる強めのアイキャッチにする。
読者が『この記事で何が分かるか』を瞬時に理解できる印象にする。</t>
        </is>
      </c>
      <c r="Q11" s="20" t="inlineStr">
        <is>
          <t xml:space="preserve">【対象記事】
No：009
指定KW：松山市 外壁雨漏り
記事タイトル：松山市の外壁雨漏りの原因と対策｜ひび割れ・シーリング劣化に注意
【画像に入れたい文字】
メインコピー：
外壁雨漏り
サブコピー：
症状・費用・注意点を解説
補助コピー：
プロが分かりやすく解説
小見出し・チェック項目：
・外壁のひび割れ
・コーキング劣化
・塗膜の劣化
・雨染み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
</t>
        </is>
      </c>
      <c r="R1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No：009
指定KW：松山市 外壁雨漏り
記事タイトル：松山市の外壁雨漏りの原因と対策｜ひび割れ・シーリング劣化に注意
【画像に入れたい文字】
メインコピー：
外壁雨漏り
サブコピー：
症状・費用・注意点を解説
補助コピー：
プロが分かりやすく解説
小見出し・チェック項目：
・外壁のひび割れ
・コーキング劣化
・塗膜の劣化
・雨染み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t>
        </is>
      </c>
    </row>
    <row r="12" ht="90" customHeight="1" s="24">
      <c r="A12" s="19" t="inlineStr">
        <is>
          <t>010</t>
        </is>
      </c>
      <c r="B12" s="20" t="inlineStr">
        <is>
          <t>松山市 屋根雨漏り</t>
        </is>
      </c>
      <c r="C12" s="20" t="inlineStr">
        <is>
          <t>松山市の屋根雨漏りは早めの修理が重要｜原因・費用・業者選び</t>
        </is>
      </c>
      <c r="D12" s="20" t="inlineStr">
        <is>
          <t>雨漏り</t>
        </is>
      </c>
      <c r="E12" s="20" t="inlineStr">
        <is>
          <t>地域サービス型</t>
        </is>
      </c>
      <c r="F12" s="19" t="inlineStr">
        <is>
          <t>eyecatches/010.png</t>
        </is>
      </c>
      <c r="G12" s="20" t="inlineStr">
        <is>
          <t>屋根雨漏り</t>
        </is>
      </c>
      <c r="H12" s="20" t="inlineStr">
        <is>
          <t>雨漏り前に劣化を確認</t>
        </is>
      </c>
      <c r="I12" s="20" t="inlineStr">
        <is>
          <t>屋根点検・修理方法を解説</t>
        </is>
      </c>
      <c r="J12" s="20" t="inlineStr">
        <is>
          <t>・瓦のズレ
・板金の浮き
・漆喰の傷み
・屋根下地の劣化</t>
        </is>
      </c>
      <c r="K12" s="20" t="inlineStr">
        <is>
          <t>屋根材・瓦・板金・雨空</t>
        </is>
      </c>
      <c r="L12" s="20" t="inlineStr">
        <is>
          <t>屋根を点検する職人</t>
        </is>
      </c>
      <c r="M12" s="20" t="inlineStr">
        <is>
          <t>松山市版</t>
        </is>
      </c>
      <c r="N12" s="20" t="inlineStr">
        <is>
          <t>屋根修理訴求</t>
        </is>
      </c>
      <c r="O12" s="20" t="inlineStr">
        <is>
          <t>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t>
        </is>
      </c>
      <c r="P12" s="20" t="inlineStr">
        <is>
          <t>屋根の劣化や修理の必要性がひと目で伝わる画像にする。
専門性を感じさせつつ、地域で相談できる安心感も出す。</t>
        </is>
      </c>
      <c r="Q12" s="20" t="inlineStr">
        <is>
          <t xml:space="preserve">【対象記事】
No：010
指定KW：松山市 屋根雨漏り
記事タイトル：松山市の屋根雨漏りは早めの修理が重要｜原因・費用・業者選び
【画像に入れたい文字】
メインコピー：
屋根雨漏り
サブコピー：
雨漏り前に劣化を確認
補助コピー：
屋根点検・修理方法を解説
小見出し・チェック項目：
・瓦のズレ
・板金の浮き
・漆喰の傷み
・屋根下地の劣化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No：010
指定KW：松山市 屋根雨漏り
記事タイトル：松山市の屋根雨漏りは早めの修理が重要｜原因・費用・業者選び
【画像に入れたい文字】
メインコピー：
屋根雨漏り
サブコピー：
雨漏り前に劣化を確認
補助コピー：
屋根点検・修理方法を解説
小見出し・チェック項目：
・瓦のズレ
・板金の浮き
・漆喰の傷み
・屋根下地の劣化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13" ht="90" customHeight="1" s="24">
      <c r="A13" s="19" t="inlineStr">
        <is>
          <t>011</t>
        </is>
      </c>
      <c r="B13" s="20" t="inlineStr">
        <is>
          <t>松山市 屋根修理</t>
        </is>
      </c>
      <c r="C13" s="20" t="inlineStr">
        <is>
          <t>松山市の屋根修理はどこに頼む？症状別の対処法と費用目安</t>
        </is>
      </c>
      <c r="D13" s="20" t="inlineStr">
        <is>
          <t>屋根修理・屋根材</t>
        </is>
      </c>
      <c r="E13" s="20" t="inlineStr">
        <is>
          <t>地域サービス型</t>
        </is>
      </c>
      <c r="F13" s="19" t="inlineStr">
        <is>
          <t>eyecatches/011.png</t>
        </is>
      </c>
      <c r="G13" s="20" t="inlineStr">
        <is>
          <t>屋根修理</t>
        </is>
      </c>
      <c r="H13" s="20" t="inlineStr">
        <is>
          <t>雨漏り前に劣化を確認</t>
        </is>
      </c>
      <c r="I13" s="20" t="inlineStr">
        <is>
          <t>屋根点検・修理方法を解説</t>
        </is>
      </c>
      <c r="J13" s="20" t="inlineStr">
        <is>
          <t>・劣化症状
・修理方法
・費用相場
・放置リスク</t>
        </is>
      </c>
      <c r="K13" s="20" t="inlineStr">
        <is>
          <t>屋根材・瓦・板金・雨空</t>
        </is>
      </c>
      <c r="L13" s="20" t="inlineStr">
        <is>
          <t>屋根を点検する職人</t>
        </is>
      </c>
      <c r="M13" s="20" t="inlineStr">
        <is>
          <t>松山市版</t>
        </is>
      </c>
      <c r="N13" s="20" t="inlineStr">
        <is>
          <t>屋根修理訴求</t>
        </is>
      </c>
      <c r="O13"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13" s="20" t="inlineStr">
        <is>
          <t>屋根の劣化や修理の必要性がひと目で伝わる画像にする。
専門性を感じさせつつ、地域で相談できる安心感も出す。</t>
        </is>
      </c>
      <c r="Q13" s="20" t="inlineStr">
        <is>
          <t xml:space="preserve">【対象記事】
No：011
指定KW：松山市 屋根修理
記事タイトル：松山市の屋根修理はどこに頼む？症状別の対処法と費用目安
【画像に入れたい文字】
メインコピー：
屋根修理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No：011
指定KW：松山市 屋根修理
記事タイトル：松山市の屋根修理はどこに頼む？症状別の対処法と費用目安
【画像に入れたい文字】
メインコピー：
屋根修理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14" ht="90" customHeight="1" s="24">
      <c r="A14" s="19" t="inlineStr">
        <is>
          <t>012</t>
        </is>
      </c>
      <c r="B14" s="20" t="inlineStr">
        <is>
          <t>松山市 棟板金修理</t>
        </is>
      </c>
      <c r="C14" s="20" t="inlineStr">
        <is>
          <t>松山市の棟板金修理とは？浮き・釘抜け・雨漏りリスクを解説</t>
        </is>
      </c>
      <c r="D14" s="20" t="inlineStr">
        <is>
          <t>屋根修理・屋根材</t>
        </is>
      </c>
      <c r="E14" s="20" t="inlineStr">
        <is>
          <t>地域サービス型</t>
        </is>
      </c>
      <c r="F14" s="19" t="inlineStr">
        <is>
          <t>eyecatches/012.png</t>
        </is>
      </c>
      <c r="G14" s="20" t="inlineStr">
        <is>
          <t>棟板金修理</t>
        </is>
      </c>
      <c r="H14" s="20" t="inlineStr">
        <is>
          <t>雨漏り前に劣化を確認</t>
        </is>
      </c>
      <c r="I14" s="20" t="inlineStr">
        <is>
          <t>屋根点検・修理方法を解説</t>
        </is>
      </c>
      <c r="J14" s="20" t="inlineStr">
        <is>
          <t>・劣化症状
・修理方法
・費用相場
・放置リスク</t>
        </is>
      </c>
      <c r="K14" s="20" t="inlineStr">
        <is>
          <t>屋根材・瓦・板金・雨空</t>
        </is>
      </c>
      <c r="L14" s="20" t="inlineStr">
        <is>
          <t>屋根を点検する職人</t>
        </is>
      </c>
      <c r="M14" s="20" t="inlineStr">
        <is>
          <t>松山市版</t>
        </is>
      </c>
      <c r="N14" s="20" t="inlineStr">
        <is>
          <t>屋根修理訴求</t>
        </is>
      </c>
      <c r="O14"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14" s="20" t="inlineStr">
        <is>
          <t>屋根の劣化や修理の必要性がひと目で伝わる画像にする。
専門性を感じさせつつ、地域で相談できる安心感も出す。</t>
        </is>
      </c>
      <c r="Q14" s="20" t="inlineStr">
        <is>
          <t xml:space="preserve">【対象記事】
No：012
指定KW：松山市 棟板金修理
記事タイトル：松山市の棟板金修理とは？浮き・釘抜け・雨漏りリスクを解説
【画像に入れたい文字】
メインコピー：
棟板金修理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No：012
指定KW：松山市 棟板金修理
記事タイトル：松山市の棟板金修理とは？浮き・釘抜け・雨漏りリスクを解説
【画像に入れたい文字】
メインコピー：
棟板金修理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15" ht="90" customHeight="1" s="24">
      <c r="A15" s="19" t="inlineStr">
        <is>
          <t>013</t>
        </is>
      </c>
      <c r="B15" s="20" t="inlineStr">
        <is>
          <t>松山市 谷板金修理</t>
        </is>
      </c>
      <c r="C15" s="20" t="inlineStr">
        <is>
          <t>松山市の谷板金修理が必要な症状｜雨漏り原因と費用目安</t>
        </is>
      </c>
      <c r="D15" s="20" t="inlineStr">
        <is>
          <t>屋根修理・屋根材</t>
        </is>
      </c>
      <c r="E15" s="20" t="inlineStr">
        <is>
          <t>地域サービス型</t>
        </is>
      </c>
      <c r="F15" s="19" t="inlineStr">
        <is>
          <t>eyecatches/013.png</t>
        </is>
      </c>
      <c r="G15" s="20" t="inlineStr">
        <is>
          <t>谷板金修理</t>
        </is>
      </c>
      <c r="H15" s="20" t="inlineStr">
        <is>
          <t>雨漏り前に劣化を確認</t>
        </is>
      </c>
      <c r="I15" s="20" t="inlineStr">
        <is>
          <t>屋根点検・修理方法を解説</t>
        </is>
      </c>
      <c r="J15" s="20" t="inlineStr">
        <is>
          <t>・劣化症状
・修理方法
・費用相場
・放置リスク</t>
        </is>
      </c>
      <c r="K15" s="20" t="inlineStr">
        <is>
          <t>屋根材・瓦・板金・雨空</t>
        </is>
      </c>
      <c r="L15" s="20" t="inlineStr">
        <is>
          <t>屋根を点検する職人</t>
        </is>
      </c>
      <c r="M15" s="20" t="inlineStr">
        <is>
          <t>松山市版</t>
        </is>
      </c>
      <c r="N15" s="20" t="inlineStr">
        <is>
          <t>屋根修理訴求</t>
        </is>
      </c>
      <c r="O15"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15" s="20" t="inlineStr">
        <is>
          <t>屋根の劣化や修理の必要性がひと目で伝わる画像にする。
専門性を感じさせつつ、地域で相談できる安心感も出す。</t>
        </is>
      </c>
      <c r="Q15" s="20" t="inlineStr">
        <is>
          <t xml:space="preserve">【対象記事】
No：013
指定KW：松山市 谷板金修理
記事タイトル：松山市の谷板金修理が必要な症状｜雨漏り原因と費用目安
【画像に入れたい文字】
メインコピー：
谷板金修理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No：013
指定KW：松山市 谷板金修理
記事タイトル：松山市の谷板金修理が必要な症状｜雨漏り原因と費用目安
【画像に入れたい文字】
メインコピー：
谷板金修理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16" ht="90" customHeight="1" s="24">
      <c r="A16" s="19" t="inlineStr">
        <is>
          <t>014</t>
        </is>
      </c>
      <c r="B16" s="20" t="inlineStr">
        <is>
          <t>松山市 瓦修理</t>
        </is>
      </c>
      <c r="C16" s="20" t="inlineStr">
        <is>
          <t>松山市の瓦修理はいつ必要？割れ・ズレ・雨漏りの対処法</t>
        </is>
      </c>
      <c r="D16" s="20" t="inlineStr">
        <is>
          <t>屋根修理・屋根材</t>
        </is>
      </c>
      <c r="E16" s="20" t="inlineStr">
        <is>
          <t>地域サービス型</t>
        </is>
      </c>
      <c r="F16" s="19" t="inlineStr">
        <is>
          <t>eyecatches/014.png</t>
        </is>
      </c>
      <c r="G16" s="20" t="inlineStr">
        <is>
          <t>瓦修理</t>
        </is>
      </c>
      <c r="H16" s="20" t="inlineStr">
        <is>
          <t>雨漏り前に劣化を確認</t>
        </is>
      </c>
      <c r="I16" s="20" t="inlineStr">
        <is>
          <t>屋根点検・修理方法を解説</t>
        </is>
      </c>
      <c r="J16" s="20" t="inlineStr">
        <is>
          <t>・劣化症状
・修理方法
・費用相場
・放置リスク</t>
        </is>
      </c>
      <c r="K16" s="20" t="inlineStr">
        <is>
          <t>屋根材・瓦・板金・雨空</t>
        </is>
      </c>
      <c r="L16" s="20" t="inlineStr">
        <is>
          <t>屋根を点検する職人</t>
        </is>
      </c>
      <c r="M16" s="20" t="inlineStr">
        <is>
          <t>松山市版</t>
        </is>
      </c>
      <c r="N16" s="20" t="inlineStr">
        <is>
          <t>屋根修理訴求</t>
        </is>
      </c>
      <c r="O16"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16" s="20" t="inlineStr">
        <is>
          <t>屋根の劣化や修理の必要性がひと目で伝わる画像にする。
専門性を感じさせつつ、地域で相談できる安心感も出す。</t>
        </is>
      </c>
      <c r="Q16" s="20" t="inlineStr">
        <is>
          <t xml:space="preserve">【対象記事】
No：014
指定KW：松山市 瓦修理
記事タイトル：松山市の瓦修理はいつ必要？割れ・ズレ・雨漏りの対処法
【画像に入れたい文字】
メインコピー：
瓦修理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No：014
指定KW：松山市 瓦修理
記事タイトル：松山市の瓦修理はいつ必要？割れ・ズレ・雨漏りの対処法
【画像に入れたい文字】
メインコピー：
瓦修理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17" ht="90" customHeight="1" s="24">
      <c r="A17" s="19" t="inlineStr">
        <is>
          <t>015</t>
        </is>
      </c>
      <c r="B17" s="20" t="inlineStr">
        <is>
          <t>松山市 漆喰補修</t>
        </is>
      </c>
      <c r="C17" s="20" t="inlineStr">
        <is>
          <t>松山市の漆喰補修とは？劣化症状・費用・雨漏り予防を解説</t>
        </is>
      </c>
      <c r="D17" s="20" t="inlineStr">
        <is>
          <t>屋根修理・屋根材</t>
        </is>
      </c>
      <c r="E17" s="20" t="inlineStr">
        <is>
          <t>地域サービス型</t>
        </is>
      </c>
      <c r="F17" s="19" t="inlineStr">
        <is>
          <t>eyecatches/015.png</t>
        </is>
      </c>
      <c r="G17" s="20" t="inlineStr">
        <is>
          <t>漆喰補修</t>
        </is>
      </c>
      <c r="H17" s="20" t="inlineStr">
        <is>
          <t>雨漏り前に劣化を確認</t>
        </is>
      </c>
      <c r="I17" s="20" t="inlineStr">
        <is>
          <t>屋根点検・修理方法を解説</t>
        </is>
      </c>
      <c r="J17" s="20" t="inlineStr">
        <is>
          <t>・劣化症状
・修理方法
・費用相場
・放置リスク</t>
        </is>
      </c>
      <c r="K17" s="20" t="inlineStr">
        <is>
          <t>屋根材・瓦・板金・雨空</t>
        </is>
      </c>
      <c r="L17" s="20" t="inlineStr">
        <is>
          <t>屋根を点検する職人</t>
        </is>
      </c>
      <c r="M17" s="20" t="inlineStr">
        <is>
          <t>松山市版</t>
        </is>
      </c>
      <c r="N17" s="20" t="inlineStr">
        <is>
          <t>屋根修理訴求</t>
        </is>
      </c>
      <c r="O17"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17" s="20" t="inlineStr">
        <is>
          <t>屋根の劣化や修理の必要性がひと目で伝わる画像にする。
専門性を感じさせつつ、地域で相談できる安心感も出す。</t>
        </is>
      </c>
      <c r="Q17" s="20" t="inlineStr">
        <is>
          <t xml:space="preserve">【対象記事】
No：015
指定KW：松山市 漆喰補修
記事タイトル：松山市の漆喰補修とは？劣化症状・費用・雨漏り予防を解説
【画像に入れたい文字】
メインコピー：
漆喰補修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No：015
指定KW：松山市 漆喰補修
記事タイトル：松山市の漆喰補修とは？劣化症状・費用・雨漏り予防を解説
【画像に入れたい文字】
メインコピー：
漆喰補修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18" ht="90" customHeight="1" s="24">
      <c r="A18" s="19" t="inlineStr">
        <is>
          <t>016</t>
        </is>
      </c>
      <c r="B18" s="20" t="inlineStr">
        <is>
          <t>松山市 屋根リフォーム</t>
        </is>
      </c>
      <c r="C18" s="20" t="inlineStr">
        <is>
          <t>松山市の屋根リフォーム方法｜カバー工法・葺き替え・修理の違い</t>
        </is>
      </c>
      <c r="D18" s="20" t="inlineStr">
        <is>
          <t>屋根修理・屋根材</t>
        </is>
      </c>
      <c r="E18" s="20" t="inlineStr">
        <is>
          <t>地域サービス型</t>
        </is>
      </c>
      <c r="F18" s="19" t="inlineStr">
        <is>
          <t>eyecatches/016.png</t>
        </is>
      </c>
      <c r="G18" s="20" t="inlineStr">
        <is>
          <t>屋根リフォーム</t>
        </is>
      </c>
      <c r="H18" s="20" t="inlineStr">
        <is>
          <t>雨漏り前に劣化を確認</t>
        </is>
      </c>
      <c r="I18" s="20" t="inlineStr">
        <is>
          <t>屋根点検・修理方法を解説</t>
        </is>
      </c>
      <c r="J18" s="20" t="inlineStr">
        <is>
          <t>・劣化症状
・修理方法
・費用相場
・放置リスク</t>
        </is>
      </c>
      <c r="K18" s="20" t="inlineStr">
        <is>
          <t>屋根材・瓦・板金・雨空</t>
        </is>
      </c>
      <c r="L18" s="20" t="inlineStr">
        <is>
          <t>屋根を点検する職人</t>
        </is>
      </c>
      <c r="M18" s="20" t="inlineStr">
        <is>
          <t>松山市版</t>
        </is>
      </c>
      <c r="N18" s="20" t="inlineStr">
        <is>
          <t>屋根修理訴求</t>
        </is>
      </c>
      <c r="O18"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18" s="20" t="inlineStr">
        <is>
          <t>屋根の劣化や修理の必要性がひと目で伝わる画像にする。
専門性を感じさせつつ、地域で相談できる安心感も出す。</t>
        </is>
      </c>
      <c r="Q18" s="20" t="inlineStr">
        <is>
          <t xml:space="preserve">【対象記事】
No：016
指定KW：松山市 屋根リフォーム
記事タイトル：松山市の屋根リフォーム方法｜カバー工法・葺き替え・修理の違い
【画像に入れたい文字】
メインコピー：
屋根リフォーム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No：016
指定KW：松山市 屋根リフォーム
記事タイトル：松山市の屋根リフォーム方法｜カバー工法・葺き替え・修理の違い
【画像に入れたい文字】
メインコピー：
屋根リフォーム
サブコピー：
雨漏り前に劣化を確認
補助コピー：
屋根点検・修理方法を解説
小見出し・チェック項目：
・劣化症状
・修理方法
・費用相場
・放置リスク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19" ht="90" customHeight="1" s="24">
      <c r="A19" s="19" t="inlineStr">
        <is>
          <t>017</t>
        </is>
      </c>
      <c r="B19" s="20" t="inlineStr">
        <is>
          <t>松山市 ガルテクト</t>
        </is>
      </c>
      <c r="C19" s="20" t="inlineStr">
        <is>
          <t>松山市でガルテクトを使う屋根工事｜特徴・費用・注意点</t>
        </is>
      </c>
      <c r="D19" s="20" t="inlineStr">
        <is>
          <t>屋根修理・屋根材</t>
        </is>
      </c>
      <c r="E19" s="20" t="inlineStr">
        <is>
          <t>屋根材注意型</t>
        </is>
      </c>
      <c r="F19" s="19" t="inlineStr">
        <is>
          <t>eyecatches/017.png</t>
        </is>
      </c>
      <c r="G19" s="20" t="inlineStr">
        <is>
          <t>ガルテクト</t>
        </is>
      </c>
      <c r="H19" s="20" t="inlineStr">
        <is>
          <t>雨漏り前に劣化を確認</t>
        </is>
      </c>
      <c r="I19" s="20" t="inlineStr">
        <is>
          <t>屋根点検・修理方法を解説</t>
        </is>
      </c>
      <c r="J19" s="20" t="inlineStr">
        <is>
          <t>・屋根材の特徴
・注意点
・劣化症状
・対策</t>
        </is>
      </c>
      <c r="K19" s="20" t="inlineStr">
        <is>
          <t>屋根材・瓦・板金・雨空</t>
        </is>
      </c>
      <c r="L19" s="20" t="inlineStr">
        <is>
          <t>屋根を点検する職人</t>
        </is>
      </c>
      <c r="M19" s="20" t="inlineStr">
        <is>
          <t>松山市版</t>
        </is>
      </c>
      <c r="N19" s="20" t="inlineStr">
        <is>
          <t>屋根修理訴求</t>
        </is>
      </c>
      <c r="O19" s="20" t="inlineStr">
        <is>
          <t>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t>
        </is>
      </c>
      <c r="P19" s="20" t="inlineStr">
        <is>
          <t>屋根の劣化や修理の必要性がひと目で伝わる画像にする。
専門性を感じさせつつ、地域で相談できる安心感も出す。</t>
        </is>
      </c>
      <c r="Q19" s="20" t="inlineStr">
        <is>
          <t xml:space="preserve">【対象記事】
No：017
指定KW：松山市 ガルテクト
記事タイトル：松山市でガルテクトを使う屋根工事｜特徴・費用・注意点
【画像に入れたい文字】
メインコピー：
ガルテクト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1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No：017
指定KW：松山市 ガルテクト
記事タイトル：松山市でガルテクトを使う屋根工事｜特徴・費用・注意点
【画像に入れたい文字】
メインコピー：
ガルテクト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20" ht="90" customHeight="1" s="24">
      <c r="A20" s="19" t="inlineStr">
        <is>
          <t>018</t>
        </is>
      </c>
      <c r="B20" s="20" t="inlineStr">
        <is>
          <t>松山市 ヴェルウッド</t>
        </is>
      </c>
      <c r="C20" s="20" t="inlineStr">
        <is>
          <t>松山市でヴェルウッドを使う屋根工事｜特徴・注意点を解説</t>
        </is>
      </c>
      <c r="D20" s="20" t="inlineStr">
        <is>
          <t>屋根修理・屋根材</t>
        </is>
      </c>
      <c r="E20" s="20" t="inlineStr">
        <is>
          <t>屋根材注意型</t>
        </is>
      </c>
      <c r="F20" s="19" t="inlineStr">
        <is>
          <t>eyecatches/018.png</t>
        </is>
      </c>
      <c r="G20" s="20" t="inlineStr">
        <is>
          <t>ヴェルウッド</t>
        </is>
      </c>
      <c r="H20" s="20" t="inlineStr">
        <is>
          <t>雨漏り前に劣化を確認</t>
        </is>
      </c>
      <c r="I20" s="20" t="inlineStr">
        <is>
          <t>屋根点検・修理方法を解説</t>
        </is>
      </c>
      <c r="J20" s="20" t="inlineStr">
        <is>
          <t>・屋根材の特徴
・注意点
・劣化症状
・対策</t>
        </is>
      </c>
      <c r="K20" s="20" t="inlineStr">
        <is>
          <t>屋根材・瓦・板金・雨空</t>
        </is>
      </c>
      <c r="L20" s="20" t="inlineStr">
        <is>
          <t>屋根を点検する職人</t>
        </is>
      </c>
      <c r="M20" s="20" t="inlineStr">
        <is>
          <t>松山市版</t>
        </is>
      </c>
      <c r="N20" s="20" t="inlineStr">
        <is>
          <t>屋根修理訴求</t>
        </is>
      </c>
      <c r="O20" s="20" t="inlineStr">
        <is>
          <t>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t>
        </is>
      </c>
      <c r="P20" s="20" t="inlineStr">
        <is>
          <t>屋根の劣化や修理の必要性がひと目で伝わる画像にする。
専門性を感じさせつつ、地域で相談できる安心感も出す。</t>
        </is>
      </c>
      <c r="Q20" s="20" t="inlineStr">
        <is>
          <t xml:space="preserve">【対象記事】
No：018
指定KW：松山市 ヴェルウッド
記事タイトル：松山市でヴェルウッドを使う屋根工事｜特徴・注意点を解説
【画像に入れたい文字】
メインコピー：
ヴェルウッド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2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No：018
指定KW：松山市 ヴェルウッド
記事タイトル：松山市でヴェルウッドを使う屋根工事｜特徴・注意点を解説
【画像に入れたい文字】
メインコピー：
ヴェルウッド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21" ht="90" customHeight="1" s="24">
      <c r="A21" s="19" t="inlineStr">
        <is>
          <t>019</t>
        </is>
      </c>
      <c r="B21" s="20" t="inlineStr">
        <is>
          <t>松山市 パミール屋根</t>
        </is>
      </c>
      <c r="C21" s="20" t="inlineStr">
        <is>
          <t>松山市のパミール屋根は塗装できる？劣化症状と対策を解説</t>
        </is>
      </c>
      <c r="D21" s="20" t="inlineStr">
        <is>
          <t>屋根修理・屋根材</t>
        </is>
      </c>
      <c r="E21" s="20" t="inlineStr">
        <is>
          <t>屋根材注意型</t>
        </is>
      </c>
      <c r="F21" s="19" t="inlineStr">
        <is>
          <t>eyecatches/019.png</t>
        </is>
      </c>
      <c r="G21" s="20" t="inlineStr">
        <is>
          <t>パミール屋根</t>
        </is>
      </c>
      <c r="H21" s="20" t="inlineStr">
        <is>
          <t>雨漏り前に劣化を確認</t>
        </is>
      </c>
      <c r="I21" s="20" t="inlineStr">
        <is>
          <t>屋根点検・修理方法を解説</t>
        </is>
      </c>
      <c r="J21" s="20" t="inlineStr">
        <is>
          <t>・屋根材の特徴
・注意点
・劣化症状
・対策</t>
        </is>
      </c>
      <c r="K21" s="20" t="inlineStr">
        <is>
          <t>屋根材・瓦・板金・雨空</t>
        </is>
      </c>
      <c r="L21" s="20" t="inlineStr">
        <is>
          <t>屋根を点検する職人</t>
        </is>
      </c>
      <c r="M21" s="20" t="inlineStr">
        <is>
          <t>松山市版</t>
        </is>
      </c>
      <c r="N21" s="20" t="inlineStr">
        <is>
          <t>屋根修理訴求</t>
        </is>
      </c>
      <c r="O21" s="20" t="inlineStr">
        <is>
          <t>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t>
        </is>
      </c>
      <c r="P21" s="20" t="inlineStr">
        <is>
          <t>屋根の劣化や修理の必要性がひと目で伝わる画像にする。
専門性を感じさせつつ、地域で相談できる安心感も出す。</t>
        </is>
      </c>
      <c r="Q21" s="20" t="inlineStr">
        <is>
          <t xml:space="preserve">【対象記事】
No：019
指定KW：松山市 パミール屋根
記事タイトル：松山市のパミール屋根は塗装できる？劣化症状と対策を解説
【画像に入れたい文字】
メインコピー：
パミール屋根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2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No：019
指定KW：松山市 パミール屋根
記事タイトル：松山市のパミール屋根は塗装できる？劣化症状と対策を解説
【画像に入れたい文字】
メインコピー：
パミール屋根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22" ht="90" customHeight="1" s="24">
      <c r="A22" s="19" t="inlineStr">
        <is>
          <t>020</t>
        </is>
      </c>
      <c r="B22" s="20" t="inlineStr">
        <is>
          <t>パナソニックホームズ 外壁塗装 松山市</t>
        </is>
      </c>
      <c r="C22" s="20" t="inlineStr">
        <is>
          <t>パナソニックホームズの外壁塗装を松山市で行う際の注意点を解説</t>
        </is>
      </c>
      <c r="D22" s="20" t="inlineStr">
        <is>
          <t>ハウスメーカー外壁塗装</t>
        </is>
      </c>
      <c r="E22" s="20" t="inlineStr">
        <is>
          <t>ハウスメーカー型</t>
        </is>
      </c>
      <c r="F22" s="19" t="inlineStr">
        <is>
          <t>eyecatches/020.png</t>
        </is>
      </c>
      <c r="G22" s="20" t="inlineStr">
        <is>
          <t>パナソニックホームズ 外壁塗装 松山市</t>
        </is>
      </c>
      <c r="H22" s="20" t="inlineStr">
        <is>
          <t>放置リスクと判断基準を解説</t>
        </is>
      </c>
      <c r="I22" s="20" t="inlineStr">
        <is>
          <t>無料診断で状態確認</t>
        </is>
      </c>
      <c r="J22" s="20" t="inlineStr">
        <is>
          <t>・外壁の特徴
・注意点
・塗装時期
・業者選び</t>
        </is>
      </c>
      <c r="K22" s="20" t="inlineStr">
        <is>
          <t>外壁ひび割れ・チョーキング・住宅外観</t>
        </is>
      </c>
      <c r="L22" s="20" t="inlineStr">
        <is>
          <t>職人＋困った住人</t>
        </is>
      </c>
      <c r="M22" s="20" t="inlineStr">
        <is>
          <t>松山市版</t>
        </is>
      </c>
      <c r="N22" s="20" t="inlineStr">
        <is>
          <t>外壁塗装訴求</t>
        </is>
      </c>
      <c r="O22"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22" s="20" t="inlineStr">
        <is>
          <t>外壁塗装の必要性や注意点が分かる、強めで分かりやすい画像にする。
塗り替え時期や工事のポイントを知りたい読者に向けた印象にする。</t>
        </is>
      </c>
      <c r="Q22" s="20" t="inlineStr">
        <is>
          <t xml:space="preserve">【対象記事】
No：020
指定KW：パナソニックホームズ 外壁塗装 松山市
記事タイトル：パナソニックホームズの外壁塗装を松山市で行う際の注意点を解説
【画像に入れたい文字】
メインコピー：
パナソニックホームズ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2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No：020
指定KW：パナソニックホームズ 外壁塗装 松山市
記事タイトル：パナソニックホームズの外壁塗装を松山市で行う際の注意点を解説
【画像に入れたい文字】
メインコピー：
パナソニックホームズ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23" ht="90" customHeight="1" s="24">
      <c r="A23" s="19" t="inlineStr">
        <is>
          <t>021</t>
        </is>
      </c>
      <c r="B23" s="20" t="inlineStr">
        <is>
          <t>レオハウス 外壁塗装 松山市</t>
        </is>
      </c>
      <c r="C23" s="20" t="inlineStr">
        <is>
          <t>レオハウスの外壁塗装を松山市で行う際の注意点を解説</t>
        </is>
      </c>
      <c r="D23" s="20" t="inlineStr">
        <is>
          <t>ハウスメーカー外壁塗装</t>
        </is>
      </c>
      <c r="E23" s="20" t="inlineStr">
        <is>
          <t>ハウスメーカー型</t>
        </is>
      </c>
      <c r="F23" s="19" t="inlineStr">
        <is>
          <t>eyecatches/021.png</t>
        </is>
      </c>
      <c r="G23" s="20" t="inlineStr">
        <is>
          <t>レオハウス 外壁塗装 松山市</t>
        </is>
      </c>
      <c r="H23" s="20" t="inlineStr">
        <is>
          <t>放置リスクと判断基準を解説</t>
        </is>
      </c>
      <c r="I23" s="20" t="inlineStr">
        <is>
          <t>無料診断で状態確認</t>
        </is>
      </c>
      <c r="J23" s="20" t="inlineStr">
        <is>
          <t>・外壁の特徴
・注意点
・塗装時期
・業者選び</t>
        </is>
      </c>
      <c r="K23" s="20" t="inlineStr">
        <is>
          <t>外壁ひび割れ・チョーキング・住宅外観</t>
        </is>
      </c>
      <c r="L23" s="20" t="inlineStr">
        <is>
          <t>職人＋困った住人</t>
        </is>
      </c>
      <c r="M23" s="20" t="inlineStr">
        <is>
          <t>松山市版</t>
        </is>
      </c>
      <c r="N23" s="20" t="inlineStr">
        <is>
          <t>外壁塗装訴求</t>
        </is>
      </c>
      <c r="O23"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23" s="20" t="inlineStr">
        <is>
          <t>外壁塗装の必要性や注意点が分かる、強めで分かりやすい画像にする。
塗り替え時期や工事のポイントを知りたい読者に向けた印象にする。</t>
        </is>
      </c>
      <c r="Q23" s="20" t="inlineStr">
        <is>
          <t xml:space="preserve">【対象記事】
No：021
指定KW：レオハウス 外壁塗装 松山市
記事タイトル：レオハウスの外壁塗装を松山市で行う際の注意点を解説
【画像に入れたい文字】
メインコピー：
レオハウス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2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No：021
指定KW：レオハウス 外壁塗装 松山市
記事タイトル：レオハウスの外壁塗装を松山市で行う際の注意点を解説
【画像に入れたい文字】
メインコピー：
レオハウス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24" ht="90" customHeight="1" s="24">
      <c r="A24" s="19" t="inlineStr">
        <is>
          <t>022</t>
        </is>
      </c>
      <c r="B24" s="20" t="inlineStr">
        <is>
          <t>アットハウジング 外壁塗装 松山市</t>
        </is>
      </c>
      <c r="C24" s="20" t="inlineStr">
        <is>
          <t>アットハウジングの外壁塗装を松山市で行う際の注意点を解説</t>
        </is>
      </c>
      <c r="D24" s="20" t="inlineStr">
        <is>
          <t>ハウスメーカー外壁塗装</t>
        </is>
      </c>
      <c r="E24" s="20" t="inlineStr">
        <is>
          <t>ハウスメーカー型</t>
        </is>
      </c>
      <c r="F24" s="19" t="inlineStr">
        <is>
          <t>eyecatches/022.png</t>
        </is>
      </c>
      <c r="G24" s="20" t="inlineStr">
        <is>
          <t>アットハウジング 外壁塗装 松山市</t>
        </is>
      </c>
      <c r="H24" s="20" t="inlineStr">
        <is>
          <t>放置リスクと判断基準を解説</t>
        </is>
      </c>
      <c r="I24" s="20" t="inlineStr">
        <is>
          <t>無料診断で状態確認</t>
        </is>
      </c>
      <c r="J24" s="20" t="inlineStr">
        <is>
          <t>・外壁の特徴
・注意点
・塗装時期
・業者選び</t>
        </is>
      </c>
      <c r="K24" s="20" t="inlineStr">
        <is>
          <t>外壁ひび割れ・チョーキング・住宅外観</t>
        </is>
      </c>
      <c r="L24" s="20" t="inlineStr">
        <is>
          <t>職人＋困った住人</t>
        </is>
      </c>
      <c r="M24" s="20" t="inlineStr">
        <is>
          <t>松山市版</t>
        </is>
      </c>
      <c r="N24" s="20" t="inlineStr">
        <is>
          <t>外壁塗装訴求</t>
        </is>
      </c>
      <c r="O24"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24" s="20" t="inlineStr">
        <is>
          <t>外壁塗装の必要性や注意点が分かる、強めで分かりやすい画像にする。
塗り替え時期や工事のポイントを知りたい読者に向けた印象にする。</t>
        </is>
      </c>
      <c r="Q24" s="20" t="inlineStr">
        <is>
          <t xml:space="preserve">【対象記事】
No：022
指定KW：アットハウジング 外壁塗装 松山市
記事タイトル：アットハウジングの外壁塗装を松山市で行う際の注意点を解説
【画像に入れたい文字】
メインコピー：
アットハウジング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2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No：022
指定KW：アットハウジング 外壁塗装 松山市
記事タイトル：アットハウジングの外壁塗装を松山市で行う際の注意点を解説
【画像に入れたい文字】
メインコピー：
アットハウジング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25" ht="90" customHeight="1" s="24">
      <c r="A25" s="19" t="inlineStr">
        <is>
          <t>023</t>
        </is>
      </c>
      <c r="B25" s="20" t="inlineStr">
        <is>
          <t>日本ハウスHD 外壁塗装 松山市</t>
        </is>
      </c>
      <c r="C25" s="20" t="inlineStr">
        <is>
          <t>日本ハウスHDの外壁塗装を松山市で行う際の注意点を解説</t>
        </is>
      </c>
      <c r="D25" s="20" t="inlineStr">
        <is>
          <t>ハウスメーカー外壁塗装</t>
        </is>
      </c>
      <c r="E25" s="20" t="inlineStr">
        <is>
          <t>ハウスメーカー型</t>
        </is>
      </c>
      <c r="F25" s="19" t="inlineStr">
        <is>
          <t>eyecatches/023.png</t>
        </is>
      </c>
      <c r="G25" s="20" t="inlineStr">
        <is>
          <t>日本ハウスHD 外壁塗装 松山市</t>
        </is>
      </c>
      <c r="H25" s="20" t="inlineStr">
        <is>
          <t>放置リスクと判断基準を解説</t>
        </is>
      </c>
      <c r="I25" s="20" t="inlineStr">
        <is>
          <t>無料診断で状態確認</t>
        </is>
      </c>
      <c r="J25" s="20" t="inlineStr">
        <is>
          <t>・外壁の特徴
・注意点
・塗装時期
・業者選び</t>
        </is>
      </c>
      <c r="K25" s="20" t="inlineStr">
        <is>
          <t>外壁ひび割れ・チョーキング・住宅外観</t>
        </is>
      </c>
      <c r="L25" s="20" t="inlineStr">
        <is>
          <t>職人＋困った住人</t>
        </is>
      </c>
      <c r="M25" s="20" t="inlineStr">
        <is>
          <t>松山市版</t>
        </is>
      </c>
      <c r="N25" s="20" t="inlineStr">
        <is>
          <t>外壁塗装訴求</t>
        </is>
      </c>
      <c r="O25"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25" s="20" t="inlineStr">
        <is>
          <t>外壁塗装の必要性や注意点が分かる、強めで分かりやすい画像にする。
塗り替え時期や工事のポイントを知りたい読者に向けた印象にする。</t>
        </is>
      </c>
      <c r="Q25" s="20" t="inlineStr">
        <is>
          <t xml:space="preserve">【対象記事】
No：023
指定KW：日本ハウスHD 外壁塗装 松山市
記事タイトル：日本ハウスHDの外壁塗装を松山市で行う際の注意点を解説
【画像に入れたい文字】
メインコピー：
日本ハウスHD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2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No：023
指定KW：日本ハウスHD 外壁塗装 松山市
記事タイトル：日本ハウスHDの外壁塗装を松山市で行う際の注意点を解説
【画像に入れたい文字】
メインコピー：
日本ハウスHD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26" ht="90" customHeight="1" s="24">
      <c r="A26" s="19" t="inlineStr">
        <is>
          <t>024</t>
        </is>
      </c>
      <c r="B26" s="20" t="inlineStr">
        <is>
          <t>アイフルホーム 外壁塗装 松山市</t>
        </is>
      </c>
      <c r="C26" s="20" t="inlineStr">
        <is>
          <t>アイフルホームの外壁塗装を松山市で行う際の注意点を解説</t>
        </is>
      </c>
      <c r="D26" s="20" t="inlineStr">
        <is>
          <t>ハウスメーカー外壁塗装</t>
        </is>
      </c>
      <c r="E26" s="20" t="inlineStr">
        <is>
          <t>ハウスメーカー型</t>
        </is>
      </c>
      <c r="F26" s="19" t="inlineStr">
        <is>
          <t>eyecatches/024.png</t>
        </is>
      </c>
      <c r="G26" s="20" t="inlineStr">
        <is>
          <t>アイフルホーム 外壁塗装 松山市</t>
        </is>
      </c>
      <c r="H26" s="20" t="inlineStr">
        <is>
          <t>放置リスクと判断基準を解説</t>
        </is>
      </c>
      <c r="I26" s="20" t="inlineStr">
        <is>
          <t>無料診断で状態確認</t>
        </is>
      </c>
      <c r="J26" s="20" t="inlineStr">
        <is>
          <t>・外壁の特徴
・注意点
・塗装時期
・業者選び</t>
        </is>
      </c>
      <c r="K26" s="20" t="inlineStr">
        <is>
          <t>外壁ひび割れ・チョーキング・住宅外観</t>
        </is>
      </c>
      <c r="L26" s="20" t="inlineStr">
        <is>
          <t>職人＋困った住人</t>
        </is>
      </c>
      <c r="M26" s="20" t="inlineStr">
        <is>
          <t>松山市版</t>
        </is>
      </c>
      <c r="N26" s="20" t="inlineStr">
        <is>
          <t>外壁塗装訴求</t>
        </is>
      </c>
      <c r="O26"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26" s="20" t="inlineStr">
        <is>
          <t>外壁塗装の必要性や注意点が分かる、強めで分かりやすい画像にする。
塗り替え時期や工事のポイントを知りたい読者に向けた印象にする。</t>
        </is>
      </c>
      <c r="Q26" s="20" t="inlineStr">
        <is>
          <t xml:space="preserve">【対象記事】
No：024
指定KW：アイフルホーム 外壁塗装 松山市
記事タイトル：アイフルホームの外壁塗装を松山市で行う際の注意点を解説
【画像に入れたい文字】
メインコピー：
アイフルホーム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2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No：024
指定KW：アイフルホーム 外壁塗装 松山市
記事タイトル：アイフルホームの外壁塗装を松山市で行う際の注意点を解説
【画像に入れたい文字】
メインコピー：
アイフルホーム 外壁塗装 松山市
サブコピー：
放置リスクと判断基準を解説
補助コピー：
無料診断で状態確認
小見出し・チェック項目：
・外壁の特徴
・注意点
・塗装時期
・業者選び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27" ht="90" customHeight="1" s="24">
      <c r="A27" s="19" t="inlineStr">
        <is>
          <t>025</t>
        </is>
      </c>
      <c r="B27" s="20" t="inlineStr">
        <is>
          <t>外壁から雨漏りする原因</t>
        </is>
      </c>
      <c r="C27" s="20" t="inlineStr">
        <is>
          <t>外壁から雨漏りする原因とは？ひび割れ・コーキング劣化の対策</t>
        </is>
      </c>
      <c r="D27" s="20" t="inlineStr">
        <is>
          <t>雨漏り</t>
        </is>
      </c>
      <c r="E27" s="20" t="inlineStr">
        <is>
          <t>原因・症状型</t>
        </is>
      </c>
      <c r="F27" s="19" t="inlineStr">
        <is>
          <t>eyecatches/025.png</t>
        </is>
      </c>
      <c r="G27" s="20" t="inlineStr">
        <is>
          <t>外壁から雨漏りする原因の原因は？</t>
        </is>
      </c>
      <c r="H27" s="20" t="inlineStr">
        <is>
          <t>放置リスクと対処法を解説</t>
        </is>
      </c>
      <c r="I27" s="20" t="inlineStr">
        <is>
          <t>早めの確認が大切</t>
        </is>
      </c>
      <c r="J27" s="20" t="inlineStr">
        <is>
          <t>・劣化箇所の拡大
・雨染み
・ひび割れ</t>
        </is>
      </c>
      <c r="K27" s="20" t="inlineStr">
        <is>
          <t>劣化箇所の拡大・雨染み・ひび割れ</t>
        </is>
      </c>
      <c r="L27" s="20" t="inlineStr">
        <is>
          <t>職人</t>
        </is>
      </c>
      <c r="M27" s="20" t="inlineStr">
        <is>
          <t>松山市版</t>
        </is>
      </c>
      <c r="N27" s="20" t="inlineStr">
        <is>
          <t>原因解説訴求</t>
        </is>
      </c>
      <c r="O27" s="20" t="inlineStr">
        <is>
          <t>劣化箇所の拡大、雨染み、ひび割れが分かる背景にする。
職人が、雨漏りや劣化の原因箇所を指さして説明している。
ひび割れ、コーキング、雨染みなど原因箇所が分かる要素を配置する。
「松山市版」の小さなラベルを入れる。</t>
        </is>
      </c>
      <c r="P27" s="20" t="inlineStr">
        <is>
          <t>原因や症状が一目で伝わる、分かりやすい解説型の画像にする。
放置リスクと早めの対策の大切さが伝わる印象にする。</t>
        </is>
      </c>
      <c r="Q27" s="20" t="inlineStr">
        <is>
          <t xml:space="preserve">【対象記事】
No：025
指定KW：外壁から雨漏りする原因
記事タイトル：外壁から雨漏りする原因とは？ひび割れ・コーキング劣化の対策
【画像に入れたい文字】
メインコピー：
外壁から雨漏りする原因の原因は？
サブコピー：
放置リスクと対処法を解説
補助コピー：
早めの確認が大切
小見出し・チェック項目：
・劣化箇所の拡大
・雨染み
・ひび割れ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
</t>
        </is>
      </c>
      <c r="R2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No：025
指定KW：外壁から雨漏りする原因
記事タイトル：外壁から雨漏りする原因とは？ひび割れ・コーキング劣化の対策
【画像に入れたい文字】
メインコピー：
外壁から雨漏りする原因の原因は？
サブコピー：
放置リスクと対処法を解説
補助コピー：
早めの確認が大切
小見出し・チェック項目：
・劣化箇所の拡大
・雨染み
・ひび割れ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t>
        </is>
      </c>
    </row>
    <row r="28" ht="90" customHeight="1" s="24">
      <c r="A28" s="19" t="inlineStr">
        <is>
          <t>026</t>
        </is>
      </c>
      <c r="B28" s="20" t="inlineStr">
        <is>
          <t>窓枠から雨漏りする原因</t>
        </is>
      </c>
      <c r="C28" s="20" t="inlineStr">
        <is>
          <t>窓枠から雨漏りする原因とは？サッシまわりの劣化と修理方法</t>
        </is>
      </c>
      <c r="D28" s="20" t="inlineStr">
        <is>
          <t>雨漏り</t>
        </is>
      </c>
      <c r="E28" s="20" t="inlineStr">
        <is>
          <t>原因・症状型</t>
        </is>
      </c>
      <c r="F28" s="19" t="inlineStr">
        <is>
          <t>eyecatches/026.png</t>
        </is>
      </c>
      <c r="G28" s="20" t="inlineStr">
        <is>
          <t>窓枠から雨漏りする原因の原因は？</t>
        </is>
      </c>
      <c r="H28" s="20" t="inlineStr">
        <is>
          <t>放置リスクと対処法を解説</t>
        </is>
      </c>
      <c r="I28" s="20" t="inlineStr">
        <is>
          <t>早めの確認が大切</t>
        </is>
      </c>
      <c r="J28" s="20" t="inlineStr">
        <is>
          <t>・劣化箇所の拡大
・雨染み
・ひび割れ</t>
        </is>
      </c>
      <c r="K28" s="20" t="inlineStr">
        <is>
          <t>劣化箇所の拡大・雨染み・ひび割れ</t>
        </is>
      </c>
      <c r="L28" s="20" t="inlineStr">
        <is>
          <t>職人</t>
        </is>
      </c>
      <c r="M28" s="20" t="inlineStr">
        <is>
          <t>松山市版</t>
        </is>
      </c>
      <c r="N28" s="20" t="inlineStr">
        <is>
          <t>原因解説訴求</t>
        </is>
      </c>
      <c r="O28" s="20" t="inlineStr">
        <is>
          <t>劣化箇所の拡大、雨染み、ひび割れが分かる背景にする。
職人が、雨漏りや劣化の原因箇所を指さして説明している。
ひび割れ、コーキング、雨染みなど原因箇所が分かる要素を配置する。
「松山市版」の小さなラベルを入れる。</t>
        </is>
      </c>
      <c r="P28" s="20" t="inlineStr">
        <is>
          <t>原因や症状が一目で伝わる、分かりやすい解説型の画像にする。
放置リスクと早めの対策の大切さが伝わる印象にする。</t>
        </is>
      </c>
      <c r="Q28" s="20" t="inlineStr">
        <is>
          <t xml:space="preserve">【対象記事】
No：026
指定KW：窓枠から雨漏りする原因
記事タイトル：窓枠から雨漏りする原因とは？サッシまわりの劣化と修理方法
【画像に入れたい文字】
メインコピー：
窓枠から雨漏りする原因の原因は？
サブコピー：
放置リスクと対処法を解説
補助コピー：
早めの確認が大切
小見出し・チェック項目：
・劣化箇所の拡大
・雨染み
・ひび割れ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
</t>
        </is>
      </c>
      <c r="R2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No：026
指定KW：窓枠から雨漏りする原因
記事タイトル：窓枠から雨漏りする原因とは？サッシまわりの劣化と修理方法
【画像に入れたい文字】
メインコピー：
窓枠から雨漏りする原因の原因は？
サブコピー：
放置リスクと対処法を解説
補助コピー：
早めの確認が大切
小見出し・チェック項目：
・劣化箇所の拡大
・雨染み
・ひび割れ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t>
        </is>
      </c>
    </row>
    <row r="29" ht="90" customHeight="1" s="24">
      <c r="A29" s="19" t="inlineStr">
        <is>
          <t>027</t>
        </is>
      </c>
      <c r="B29" s="20" t="inlineStr">
        <is>
          <t>天窓雨漏り修理</t>
        </is>
      </c>
      <c r="C29" s="20" t="inlineStr">
        <is>
          <t>天窓の雨漏り修理はどうする？原因・費用・放置リスクを解説</t>
        </is>
      </c>
      <c r="D29" s="20" t="inlineStr">
        <is>
          <t>雨漏り</t>
        </is>
      </c>
      <c r="E29" s="20" t="inlineStr">
        <is>
          <t>原因・症状型</t>
        </is>
      </c>
      <c r="F29" s="19" t="inlineStr">
        <is>
          <t>eyecatches/027.png</t>
        </is>
      </c>
      <c r="G29" s="20" t="inlineStr">
        <is>
          <t>松山市の雨漏り修理</t>
        </is>
      </c>
      <c r="H29" s="20" t="inlineStr">
        <is>
          <t>原因・費用・業者選びをプロが解説</t>
        </is>
      </c>
      <c r="I29" s="20" t="inlineStr">
        <is>
          <t>無料点検受付中</t>
        </is>
      </c>
      <c r="J29" s="20" t="inlineStr">
        <is>
          <t>・天井シミ
・雨だれ
・屋根点検</t>
        </is>
      </c>
      <c r="K29" s="20" t="inlineStr">
        <is>
          <t>天井シミ・雨だれ・屋根点検</t>
        </is>
      </c>
      <c r="L29" s="20" t="inlineStr">
        <is>
          <t>ヘルメットの職人</t>
        </is>
      </c>
      <c r="M29" s="20" t="inlineStr">
        <is>
          <t>松山市版</t>
        </is>
      </c>
      <c r="N29" s="20" t="inlineStr">
        <is>
          <t>強めサムネ・雨漏り訴求</t>
        </is>
      </c>
      <c r="O29" s="20" t="inlineStr">
        <is>
          <t>天井シミ、雨だれ、屋根点検が分かる背景にする。
ヘルメットの職人が、修理箇所を確認しながら、必要な工事内容を説明している。
記事テーマがひと目で伝わるよう、劣化箇所や説明アイコンを分かりやすく配置する。
「松山市版」の小さなラベルを入れる。</t>
        </is>
      </c>
      <c r="P29" s="20" t="inlineStr">
        <is>
          <t>強めサムネ・雨漏り訴求を意識しつつ、記事テーマが一目で伝わる強めのアイキャッチにする。
読者が『この記事で何が分かるか』を瞬時に理解できる印象にする。</t>
        </is>
      </c>
      <c r="Q29" s="20" t="inlineStr">
        <is>
          <t xml:space="preserve">【対象記事】
No：027
指定KW：天窓雨漏り修理
記事タイトル：天窓の雨漏り修理はどうする？原因・費用・放置リスクを解説
【画像に入れたい文字】
メインコピー：
松山市の雨漏り修理
サブコピー：
原因・費用・業者選びをプロが解説
補助コピー：
無料点検受付中
小見出し・チェック項目：
・天井シミ
・雨だれ
・屋根点検
【背景・構図】
天井シミ、雨だれ、屋根点検が分かる背景にする。
ヘルメットの職人が、修理箇所を確認しながら、必要な工事内容を説明している。
記事テーマがひと目で伝わるよう、劣化箇所や説明アイコンを分かりやすく配置する。
「松山市版」の小さなラベルを入れる。
【画像の印象】
強めサムネ・雨漏り訴求を意識しつつ、記事テーマが一目で伝わる強めのアイキャッチにする。
読者が『この記事で何が分かるか』を瞬時に理解できる印象にする。
</t>
        </is>
      </c>
      <c r="R2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No：027
指定KW：天窓雨漏り修理
記事タイトル：天窓の雨漏り修理はどうする？原因・費用・放置リスクを解説
【画像に入れたい文字】
メインコピー：
松山市の雨漏り修理
サブコピー：
原因・費用・業者選びをプロが解説
補助コピー：
無料点検受付中
小見出し・チェック項目：
・天井シミ
・雨だれ
・屋根点検
【背景・構図】
天井シミ、雨だれ、屋根点検が分かる背景にする。
ヘルメットの職人が、修理箇所を確認しながら、必要な工事内容を説明している。
記事テーマがひと目で伝わるよう、劣化箇所や説明アイコンを分かりやすく配置する。
「松山市版」の小さなラベルを入れる。
【画像の印象】
強めサムネ・雨漏り訴求を意識しつつ、記事テーマが一目で伝わる強めのアイキャッチにする。
読者が『この記事で何が分かるか』を瞬時に理解できる印象にする。</t>
        </is>
      </c>
    </row>
    <row r="30" ht="90" customHeight="1" s="24">
      <c r="A30" s="19" t="inlineStr">
        <is>
          <t>028</t>
        </is>
      </c>
      <c r="B30" s="20" t="inlineStr">
        <is>
          <t>笠木雨漏り</t>
        </is>
      </c>
      <c r="C30" s="20" t="inlineStr">
        <is>
          <t>笠木雨漏りの原因とは？ベランダ・外壁まわりの防水対策</t>
        </is>
      </c>
      <c r="D30" s="20" t="inlineStr">
        <is>
          <t>雨漏り</t>
        </is>
      </c>
      <c r="E30" s="20" t="inlineStr">
        <is>
          <t>原因・症状型</t>
        </is>
      </c>
      <c r="F30" s="19" t="inlineStr">
        <is>
          <t>eyecatches/028.png</t>
        </is>
      </c>
      <c r="G30" s="20" t="inlineStr">
        <is>
          <t>笠木雨漏り</t>
        </is>
      </c>
      <c r="H30" s="20" t="inlineStr">
        <is>
          <t>症状・費用・注意点を解説</t>
        </is>
      </c>
      <c r="I30" s="20" t="inlineStr">
        <is>
          <t>プロが分かりやすく解説</t>
        </is>
      </c>
      <c r="J30" s="20" t="inlineStr">
        <is>
          <t>・住宅外観
・劣化箇所</t>
        </is>
      </c>
      <c r="K30" s="20" t="inlineStr">
        <is>
          <t>住宅外観・劣化箇所</t>
        </is>
      </c>
      <c r="L30" s="20" t="inlineStr">
        <is>
          <t>職人</t>
        </is>
      </c>
      <c r="M30" s="20" t="inlineStr">
        <is>
          <t>松山市版</t>
        </is>
      </c>
      <c r="N30" s="20" t="inlineStr">
        <is>
          <t>汎用外装訴求</t>
        </is>
      </c>
      <c r="O30" s="20" t="inlineStr">
        <is>
          <t>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t>
        </is>
      </c>
      <c r="P30" s="20" t="inlineStr">
        <is>
          <t>汎用外装訴求を意識しつつ、記事テーマが一目で伝わる強めのアイキャッチにする。
読者が『この記事で何が分かるか』を瞬時に理解できる印象にする。</t>
        </is>
      </c>
      <c r="Q30" s="20" t="inlineStr">
        <is>
          <t xml:space="preserve">【対象記事】
No：028
指定KW：笠木雨漏り
記事タイトル：笠木雨漏りの原因とは？ベランダ・外壁まわりの防水対策
【画像に入れたい文字】
メインコピー：
笠木雨漏り
サブコピー：
症状・費用・注意点を解説
補助コピー：
プロが分かりやすく解説
小見出し・チェック項目：
・住宅外観
・劣化箇所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
</t>
        </is>
      </c>
      <c r="R3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No：028
指定KW：笠木雨漏り
記事タイトル：笠木雨漏りの原因とは？ベランダ・外壁まわりの防水対策
【画像に入れたい文字】
メインコピー：
笠木雨漏り
サブコピー：
症状・費用・注意点を解説
補助コピー：
プロが分かりやすく解説
小見出し・チェック項目：
・住宅外観
・劣化箇所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t>
        </is>
      </c>
    </row>
    <row r="31" ht="90" customHeight="1" s="24">
      <c r="A31" s="19" t="inlineStr">
        <is>
          <t>029</t>
        </is>
      </c>
      <c r="B31" s="20" t="inlineStr">
        <is>
          <t>幕板雨漏り</t>
        </is>
      </c>
      <c r="C31" s="20" t="inlineStr">
        <is>
          <t>幕板から雨漏りする原因とは？劣化症状と補修方法を解説</t>
        </is>
      </c>
      <c r="D31" s="20" t="inlineStr">
        <is>
          <t>雨漏り</t>
        </is>
      </c>
      <c r="E31" s="20" t="inlineStr">
        <is>
          <t>原因・症状型</t>
        </is>
      </c>
      <c r="F31" s="19" t="inlineStr">
        <is>
          <t>eyecatches/029.png</t>
        </is>
      </c>
      <c r="G31" s="20" t="inlineStr">
        <is>
          <t>幕板雨漏り</t>
        </is>
      </c>
      <c r="H31" s="20" t="inlineStr">
        <is>
          <t>症状・費用・注意点を解説</t>
        </is>
      </c>
      <c r="I31" s="20" t="inlineStr">
        <is>
          <t>プロが分かりやすく解説</t>
        </is>
      </c>
      <c r="J31" s="20" t="inlineStr">
        <is>
          <t>・劣化症状
・補修・塗装方法
・費用相場
・メンテ時期</t>
        </is>
      </c>
      <c r="K31" s="20" t="inlineStr">
        <is>
          <t>住宅外観・劣化箇所</t>
        </is>
      </c>
      <c r="L31" s="20" t="inlineStr">
        <is>
          <t>職人</t>
        </is>
      </c>
      <c r="M31" s="20" t="inlineStr">
        <is>
          <t>松山市版</t>
        </is>
      </c>
      <c r="N31" s="20" t="inlineStr">
        <is>
          <t>汎用外装訴求</t>
        </is>
      </c>
      <c r="O31" s="20" t="inlineStr">
        <is>
          <t>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t>
        </is>
      </c>
      <c r="P31" s="20" t="inlineStr">
        <is>
          <t>汎用外装訴求を意識しつつ、記事テーマが一目で伝わる強めのアイキャッチにする。
読者が『この記事で何が分かるか』を瞬時に理解できる印象にする。</t>
        </is>
      </c>
      <c r="Q31" s="20" t="inlineStr">
        <is>
          <t xml:space="preserve">【対象記事】
No：029
指定KW：幕板雨漏り
記事タイトル：幕板から雨漏りする原因とは？劣化症状と補修方法を解説
【画像に入れたい文字】
メインコピー：
幕板雨漏り
サブコピー：
症状・費用・注意点を解説
補助コピー：
プロが分かりやすく解説
小見出し・チェック項目：
・劣化症状
・補修・塗装方法
・費用相場
・メンテ時期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
</t>
        </is>
      </c>
      <c r="R3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No：029
指定KW：幕板雨漏り
記事タイトル：幕板から雨漏りする原因とは？劣化症状と補修方法を解説
【画像に入れたい文字】
メインコピー：
幕板雨漏り
サブコピー：
症状・費用・注意点を解説
補助コピー：
プロが分かりやすく解説
小見出し・チェック項目：
・劣化症状
・補修・塗装方法
・費用相場
・メンテ時期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t>
        </is>
      </c>
    </row>
    <row r="32" ht="90" customHeight="1" s="24">
      <c r="A32" s="19" t="inlineStr">
        <is>
          <t>030</t>
        </is>
      </c>
      <c r="B32" s="20" t="inlineStr">
        <is>
          <t>バルコニー雨漏り</t>
        </is>
      </c>
      <c r="C32" s="20" t="inlineStr">
        <is>
          <t>バルコニー雨漏りの原因と修理方法｜防水工事の費用目安も解説</t>
        </is>
      </c>
      <c r="D32" s="20" t="inlineStr">
        <is>
          <t>雨漏り</t>
        </is>
      </c>
      <c r="E32" s="20" t="inlineStr">
        <is>
          <t>原因・症状型</t>
        </is>
      </c>
      <c r="F32" s="19" t="inlineStr">
        <is>
          <t>eyecatches/030.png</t>
        </is>
      </c>
      <c r="G32" s="20" t="inlineStr">
        <is>
          <t>バルコニー雨漏り</t>
        </is>
      </c>
      <c r="H32" s="20" t="inlineStr">
        <is>
          <t>症状・費用・注意点を解説</t>
        </is>
      </c>
      <c r="I32" s="20" t="inlineStr">
        <is>
          <t>プロが分かりやすく解説</t>
        </is>
      </c>
      <c r="J32" s="20" t="inlineStr">
        <is>
          <t>・住宅外観
・劣化箇所</t>
        </is>
      </c>
      <c r="K32" s="20" t="inlineStr">
        <is>
          <t>住宅外観・劣化箇所</t>
        </is>
      </c>
      <c r="L32" s="20" t="inlineStr">
        <is>
          <t>職人</t>
        </is>
      </c>
      <c r="M32" s="20" t="inlineStr">
        <is>
          <t>松山市版</t>
        </is>
      </c>
      <c r="N32" s="20" t="inlineStr">
        <is>
          <t>汎用外装訴求</t>
        </is>
      </c>
      <c r="O32" s="20" t="inlineStr">
        <is>
          <t>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t>
        </is>
      </c>
      <c r="P32" s="20" t="inlineStr">
        <is>
          <t>汎用外装訴求を意識しつつ、記事テーマが一目で伝わる強めのアイキャッチにする。
読者が『この記事で何が分かるか』を瞬時に理解できる印象にする。</t>
        </is>
      </c>
      <c r="Q32" s="20" t="inlineStr">
        <is>
          <t xml:space="preserve">【対象記事】
No：030
指定KW：バルコニー雨漏り
記事タイトル：バルコニー雨漏りの原因と修理方法｜防水工事の費用目安も解説
【画像に入れたい文字】
メインコピー：
バルコニー雨漏り
サブコピー：
症状・費用・注意点を解説
補助コピー：
プロが分かりやすく解説
小見出し・チェック項目：
・住宅外観
・劣化箇所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
</t>
        </is>
      </c>
      <c r="R3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No：030
指定KW：バルコニー雨漏り
記事タイトル：バルコニー雨漏りの原因と修理方法｜防水工事の費用目安も解説
【画像に入れたい文字】
メインコピー：
バルコニー雨漏り
サブコピー：
症状・費用・注意点を解説
補助コピー：
プロが分かりやすく解説
小見出し・チェック項目：
・住宅外観
・劣化箇所
【背景・構図】
住宅外観、劣化箇所が分かる背景にする。
職人が、住まいの状態を確認しながら、ポイントを説明している。
記事テーマがひと目で伝わるよう、劣化箇所や説明アイコンを分かりやすく配置する。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t>
        </is>
      </c>
    </row>
    <row r="33" ht="90" customHeight="1" s="24">
      <c r="A33" s="19" t="inlineStr">
        <is>
          <t>031</t>
        </is>
      </c>
      <c r="B33" s="20" t="inlineStr">
        <is>
          <t>軒天雨漏り</t>
        </is>
      </c>
      <c r="C33" s="20" t="inlineStr">
        <is>
          <t>軒天の雨漏りは危険？シミ・剥がれの原因と補修方法</t>
        </is>
      </c>
      <c r="D33" s="20" t="inlineStr">
        <is>
          <t>雨漏り</t>
        </is>
      </c>
      <c r="E33" s="20" t="inlineStr">
        <is>
          <t>原因・症状型</t>
        </is>
      </c>
      <c r="F33" s="19" t="inlineStr">
        <is>
          <t>eyecatches/031.png</t>
        </is>
      </c>
      <c r="G33" s="20" t="inlineStr">
        <is>
          <t>軒天雨漏り</t>
        </is>
      </c>
      <c r="H33" s="20" t="inlineStr">
        <is>
          <t>シミ・黒ずみ・剥がれは要注意</t>
        </is>
      </c>
      <c r="I33" s="20" t="inlineStr">
        <is>
          <t>補修と塗装の判断ポイント</t>
        </is>
      </c>
      <c r="J33" s="20" t="inlineStr">
        <is>
          <t>・劣化症状
・原因
・補修・塗装方法
・費用相場</t>
        </is>
      </c>
      <c r="K33" s="20" t="inlineStr">
        <is>
          <t>軒天シミ・黒ずみ・住宅軒下</t>
        </is>
      </c>
      <c r="L33" s="20" t="inlineStr">
        <is>
          <t>見上げる住人＋職人</t>
        </is>
      </c>
      <c r="M33" s="20" t="inlineStr">
        <is>
          <t>松山市版</t>
        </is>
      </c>
      <c r="N33" s="20" t="inlineStr">
        <is>
          <t>軒天訴求</t>
        </is>
      </c>
      <c r="O33" s="20" t="inlineStr">
        <is>
          <t>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t>
        </is>
      </c>
      <c r="P33" s="20" t="inlineStr">
        <is>
          <t>軒天訴求を意識しつつ、記事テーマが一目で伝わる強めのアイキャッチにする。
読者が『この記事で何が分かるか』を瞬時に理解できる印象にする。</t>
        </is>
      </c>
      <c r="Q33" s="20" t="inlineStr">
        <is>
          <t xml:space="preserve">【対象記事】
No：031
指定KW：軒天雨漏り
記事タイトル：軒天の雨漏りは危険？シミ・剥がれの原因と補修方法
【画像に入れたい文字】
メインコピー：
軒天雨漏り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軒天訴求を意識しつつ、記事テーマが一目で伝わる強めのアイキャッチにする。
読者が『この記事で何が分かるか』を瞬時に理解できる印象にする。
</t>
        </is>
      </c>
      <c r="R3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No：031
指定KW：軒天雨漏り
記事タイトル：軒天の雨漏りは危険？シミ・剥がれの原因と補修方法
【画像に入れたい文字】
メインコピー：
軒天雨漏り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軒天訴求を意識しつつ、記事テーマが一目で伝わる強めのアイキャッチにする。
読者が『この記事で何が分かるか』を瞬時に理解できる印象にする。</t>
        </is>
      </c>
    </row>
    <row r="34" ht="90" customHeight="1" s="24">
      <c r="A34" s="19" t="inlineStr">
        <is>
          <t>032</t>
        </is>
      </c>
      <c r="B34" s="20" t="inlineStr">
        <is>
          <t>雨漏り火災保険</t>
        </is>
      </c>
      <c r="C34" s="20" t="inlineStr">
        <is>
          <t>雨漏り修理に火災保険は使える？対象条件と申請前の注意点</t>
        </is>
      </c>
      <c r="D34" s="20" t="inlineStr">
        <is>
          <t>雨漏り</t>
        </is>
      </c>
      <c r="E34" s="20" t="inlineStr">
        <is>
          <t>原因・症状型</t>
        </is>
      </c>
      <c r="F34" s="19" t="inlineStr">
        <is>
          <t>eyecatches/032.png</t>
        </is>
      </c>
      <c r="G34" s="20" t="inlineStr">
        <is>
          <t>雨漏り火災保険</t>
        </is>
      </c>
      <c r="H34" s="20" t="inlineStr">
        <is>
          <t>症状・費用・注意点を解説</t>
        </is>
      </c>
      <c r="I34" s="20" t="inlineStr">
        <is>
          <t>プロが分かりやすく解説</t>
        </is>
      </c>
      <c r="J34" s="20" t="inlineStr">
        <is>
          <t>・適用条件
・対象工事
・申請の流れ
・注意点</t>
        </is>
      </c>
      <c r="K34" s="20" t="inlineStr">
        <is>
          <t>住宅外観・劣化箇所</t>
        </is>
      </c>
      <c r="L34" s="20" t="inlineStr">
        <is>
          <t>職人</t>
        </is>
      </c>
      <c r="M34" s="20" t="inlineStr">
        <is>
          <t>松山市版</t>
        </is>
      </c>
      <c r="N34" s="20" t="inlineStr">
        <is>
          <t>汎用外装訴求</t>
        </is>
      </c>
      <c r="O34" s="20" t="inlineStr">
        <is>
          <t>住宅外観、劣化箇所が分かる背景にする。
職人が、住まいの状態を確認しながら、ポイントを説明している。
保険申請、書類、屋根被害のイメージを分かりやすく配置する。
「松山市版」の小さなラベルを入れる。</t>
        </is>
      </c>
      <c r="P34" s="20" t="inlineStr">
        <is>
          <t>汎用外装訴求を意識しつつ、記事テーマが一目で伝わる強めのアイキャッチにする。
読者が『この記事で何が分かるか』を瞬時に理解できる印象にする。</t>
        </is>
      </c>
      <c r="Q34" s="20" t="inlineStr">
        <is>
          <t xml:space="preserve">【対象記事】
No：032
指定KW：雨漏り火災保険
記事タイトル：雨漏り修理に火災保険は使える？対象条件と申請前の注意点
【画像に入れたい文字】
メインコピー：
雨漏り火災保険
サブコピー：
症状・費用・注意点を解説
補助コピー：
プロが分かりやすく解説
小見出し・チェック項目：
・適用条件
・対象工事
・申請の流れ
・注意点
【背景・構図】
住宅外観、劣化箇所が分かる背景にする。
職人が、住まいの状態を確認しながら、ポイントを説明している。
保険申請、書類、屋根被害のイメージを分かりやすく配置する。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
</t>
        </is>
      </c>
      <c r="R3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No：032
指定KW：雨漏り火災保険
記事タイトル：雨漏り修理に火災保険は使える？対象条件と申請前の注意点
【画像に入れたい文字】
メインコピー：
雨漏り火災保険
サブコピー：
症状・費用・注意点を解説
補助コピー：
プロが分かりやすく解説
小見出し・チェック項目：
・適用条件
・対象工事
・申請の流れ
・注意点
【背景・構図】
住宅外観、劣化箇所が分かる背景にする。
職人が、住まいの状態を確認しながら、ポイントを説明している。
保険申請、書類、屋根被害のイメージを分かりやすく配置する。
「松山市版」の小さなラベルを入れる。
【画像の印象】
汎用外装訴求を意識しつつ、記事テーマが一目で伝わる強めのアイキャッチにする。
読者が『この記事で何が分かるか』を瞬時に理解できる印象にする。</t>
        </is>
      </c>
    </row>
    <row r="35" ht="90" customHeight="1" s="24">
      <c r="A35" s="19" t="inlineStr">
        <is>
          <t>033</t>
        </is>
      </c>
      <c r="B35" s="20" t="inlineStr">
        <is>
          <t>コーキング劣化 雨漏り</t>
        </is>
      </c>
      <c r="C35" s="20" t="inlineStr">
        <is>
          <t>コーキング劣化で雨漏りする原因とは？補修時期と費用を解説</t>
        </is>
      </c>
      <c r="D35" s="20" t="inlineStr">
        <is>
          <t>防水・シーリング</t>
        </is>
      </c>
      <c r="E35" s="20" t="inlineStr">
        <is>
          <t>防水・シーリング型</t>
        </is>
      </c>
      <c r="F35" s="19" t="inlineStr">
        <is>
          <t>eyecatches/033.png</t>
        </is>
      </c>
      <c r="G35" s="20" t="inlineStr">
        <is>
          <t>コーキング劣化 雨漏り</t>
        </is>
      </c>
      <c r="H35" s="20" t="inlineStr">
        <is>
          <t>雨漏り前に防水状態をチェック</t>
        </is>
      </c>
      <c r="I35" s="20" t="inlineStr">
        <is>
          <t>費用・耐用年数を解説</t>
        </is>
      </c>
      <c r="J35" s="20" t="inlineStr">
        <is>
          <t>・劣化症状
・工法の違い
・費用相場
・メンテ時期</t>
        </is>
      </c>
      <c r="K35" s="20" t="inlineStr">
        <is>
          <t>ベランダ床・防水層・排水口</t>
        </is>
      </c>
      <c r="L35" s="20" t="inlineStr">
        <is>
          <t>点検する職人</t>
        </is>
      </c>
      <c r="M35" s="20" t="inlineStr">
        <is>
          <t>松山市版</t>
        </is>
      </c>
      <c r="N35" s="20" t="inlineStr">
        <is>
          <t>防水訴求</t>
        </is>
      </c>
      <c r="O35" s="20" t="inlineStr">
        <is>
          <t>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t>
        </is>
      </c>
      <c r="P35" s="20" t="inlineStr">
        <is>
          <t>防水やシーリングの重要性が一目で伝わる画像にする。
劣化症状、費用、工法の違いが分かる実用的な印象にする。</t>
        </is>
      </c>
      <c r="Q35" s="20" t="inlineStr">
        <is>
          <t xml:space="preserve">【対象記事】
No：033
指定KW：コーキング劣化 雨漏り
記事タイトル：コーキング劣化で雨漏りする原因とは？補修時期と費用を解説
【画像に入れたい文字】
メインコピー：
コーキング劣化 雨漏り
サブコピー：
雨漏り前に防水状態をチェック
補助コピー：
費用・耐用年数を解説
小見出し・チェック項目：
・劣化症状
・工法の違い
・費用相場
・メンテ時期
【背景・構図】
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防水やシーリングの重要性が一目で伝わる画像にする。
劣化症状、費用、工法の違いが分かる実用的な印象にする。
</t>
        </is>
      </c>
      <c r="R3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No：033
指定KW：コーキング劣化 雨漏り
記事タイトル：コーキング劣化で雨漏りする原因とは？補修時期と費用を解説
【画像に入れたい文字】
メインコピー：
コーキング劣化 雨漏り
サブコピー：
雨漏り前に防水状態をチェック
補助コピー：
費用・耐用年数を解説
小見出し・チェック項目：
・劣化症状
・工法の違い
・費用相場
・メンテ時期
【背景・構図】
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防水やシーリングの重要性が一目で伝わる画像にする。
劣化症状、費用、工法の違いが分かる実用的な印象にする。</t>
        </is>
      </c>
    </row>
    <row r="36" ht="90" customHeight="1" s="24">
      <c r="A36" s="19" t="inlineStr">
        <is>
          <t>034</t>
        </is>
      </c>
      <c r="B36" s="20" t="inlineStr">
        <is>
          <t>外壁ひび割れ 雨漏り</t>
        </is>
      </c>
      <c r="C36" s="20" t="inlineStr">
        <is>
          <t>外壁ひび割れで雨漏りする？危険な症状と補修方法を解説</t>
        </is>
      </c>
      <c r="D36" s="20" t="inlineStr">
        <is>
          <t>防水・シーリング</t>
        </is>
      </c>
      <c r="E36" s="20" t="inlineStr">
        <is>
          <t>防水・シーリング型</t>
        </is>
      </c>
      <c r="F36" s="19" t="inlineStr">
        <is>
          <t>eyecatches/034.png</t>
        </is>
      </c>
      <c r="G36" s="20" t="inlineStr">
        <is>
          <t>外壁ひび割れ 雨漏り</t>
        </is>
      </c>
      <c r="H36" s="20" t="inlineStr">
        <is>
          <t>雨漏り前に防水状態をチェック</t>
        </is>
      </c>
      <c r="I36" s="20" t="inlineStr">
        <is>
          <t>費用・耐用年数を解説</t>
        </is>
      </c>
      <c r="J36" s="20" t="inlineStr">
        <is>
          <t>・ベランダ床
・防水層
・排水口</t>
        </is>
      </c>
      <c r="K36" s="20" t="inlineStr">
        <is>
          <t>ベランダ床・防水層・排水口</t>
        </is>
      </c>
      <c r="L36" s="20" t="inlineStr">
        <is>
          <t>点検する職人</t>
        </is>
      </c>
      <c r="M36" s="20" t="inlineStr">
        <is>
          <t>松山市版</t>
        </is>
      </c>
      <c r="N36" s="20" t="inlineStr">
        <is>
          <t>防水訴求</t>
        </is>
      </c>
      <c r="O36" s="20" t="inlineStr">
        <is>
          <t>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t>
        </is>
      </c>
      <c r="P36" s="20" t="inlineStr">
        <is>
          <t>防水やシーリングの重要性が一目で伝わる画像にする。
劣化症状、費用、工法の違いが分かる実用的な印象にする。</t>
        </is>
      </c>
      <c r="Q36" s="20" t="inlineStr">
        <is>
          <t xml:space="preserve">【対象記事】
No：034
指定KW：外壁ひび割れ 雨漏り
記事タイトル：外壁ひび割れで雨漏りする？危険な症状と補修方法を解説
【画像に入れたい文字】
メインコピー：
外壁ひび割れ 雨漏り
サブコピー：
雨漏り前に防水状態をチェック
補助コピー：
費用・耐用年数を解説
小見出し・チェック項目：
・ベランダ床
・防水層
・排水口
【背景・構図】
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防水やシーリングの重要性が一目で伝わる画像にする。
劣化症状、費用、工法の違いが分かる実用的な印象にする。
</t>
        </is>
      </c>
      <c r="R3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No：034
指定KW：外壁ひび割れ 雨漏り
記事タイトル：外壁ひび割れで雨漏りする？危険な症状と補修方法を解説
【画像に入れたい文字】
メインコピー：
外壁ひび割れ 雨漏り
サブコピー：
雨漏り前に防水状態をチェック
補助コピー：
費用・耐用年数を解説
小見出し・チェック項目：
・ベランダ床
・防水層
・排水口
【背景・構図】
ベランダ床、防水層、排水口が分かる背景にする。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防水やシーリングの重要性が一目で伝わる画像にする。
劣化症状、費用、工法の違いが分かる実用的な印象にする。</t>
        </is>
      </c>
    </row>
    <row r="37" ht="90" customHeight="1" s="24">
      <c r="A37" s="19" t="inlineStr">
        <is>
          <t>035</t>
        </is>
      </c>
      <c r="B37" s="20" t="inlineStr">
        <is>
          <t>シーリング打ち替え 費用</t>
        </is>
      </c>
      <c r="C37" s="20" t="inlineStr">
        <is>
          <t>シーリング打ち替え費用はいくら？相場・内訳・注意点を解説</t>
        </is>
      </c>
      <c r="D37" s="20" t="inlineStr">
        <is>
          <t>防水・シーリング</t>
        </is>
      </c>
      <c r="E37" s="20" t="inlineStr">
        <is>
          <t>費用・相場型</t>
        </is>
      </c>
      <c r="F37" s="19" t="inlineStr">
        <is>
          <t>eyecatches/035.png</t>
        </is>
      </c>
      <c r="G37" s="20" t="inlineStr">
        <is>
          <t>シーリング打ち替え 費用</t>
        </is>
      </c>
      <c r="H37" s="20" t="inlineStr">
        <is>
          <t>雨漏り前に防水状態をチェック</t>
        </is>
      </c>
      <c r="I37" s="20" t="inlineStr">
        <is>
          <t>費用・耐用年数を解説</t>
        </is>
      </c>
      <c r="J37" s="20" t="inlineStr">
        <is>
          <t>・既存撤去
・打ち替え工程
・材料の違い
・費用相場</t>
        </is>
      </c>
      <c r="K37" s="20" t="inlineStr">
        <is>
          <t>ベランダ床・防水層・排水口</t>
        </is>
      </c>
      <c r="L37" s="20" t="inlineStr">
        <is>
          <t>点検する職人</t>
        </is>
      </c>
      <c r="M37" s="20" t="inlineStr">
        <is>
          <t>松山市版</t>
        </is>
      </c>
      <c r="N37" s="20" t="inlineStr">
        <is>
          <t>防水訴求</t>
        </is>
      </c>
      <c r="O37" s="20" t="inlineStr">
        <is>
          <t>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t>
        </is>
      </c>
      <c r="P37" s="20" t="inlineStr">
        <is>
          <t>費用への不安を持つ読者に向けて、相場や内訳が分かりやすい印象にする。
安売り感ではなく、無料見積りで納得して相談できる安心感を出す。</t>
        </is>
      </c>
      <c r="Q37" s="20" t="inlineStr">
        <is>
          <t xml:space="preserve">【対象記事】
No：035
指定KW：シーリング打ち替え 費用
記事タイトル：シーリング打ち替え費用はいくら？相場・内訳・注意点を解説
【画像に入れたい文字】
メインコピー：
シーリング打ち替え 費用
サブコピー：
雨漏り前に防水状態をチェック
補助コピー：
費用・耐用年数を解説
小見出し・チェック項目：
・既存撤去
・打ち替え工程
・材料の違い
・費用相場
【背景・構図】
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
</t>
        </is>
      </c>
      <c r="R3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No：035
指定KW：シーリング打ち替え 費用
記事タイトル：シーリング打ち替え費用はいくら？相場・内訳・注意点を解説
【画像に入れたい文字】
メインコピー：
シーリング打ち替え 費用
サブコピー：
雨漏り前に防水状態をチェック
補助コピー：
費用・耐用年数を解説
小見出し・チェック項目：
・既存撤去
・打ち替え工程
・材料の違い
・費用相場
【背景・構図】
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t>
        </is>
      </c>
    </row>
    <row r="38" ht="90" customHeight="1" s="24">
      <c r="A38" s="19" t="inlineStr">
        <is>
          <t>036</t>
        </is>
      </c>
      <c r="B38" s="20" t="inlineStr">
        <is>
          <t>オートンイクシード 費用</t>
        </is>
      </c>
      <c r="C38" s="20" t="inlineStr">
        <is>
          <t>オートンイクシードの費用は高い？特徴・相場・向いている住宅</t>
        </is>
      </c>
      <c r="D38" s="20" t="inlineStr">
        <is>
          <t>防水・シーリング</t>
        </is>
      </c>
      <c r="E38" s="20" t="inlineStr">
        <is>
          <t>費用・相場型</t>
        </is>
      </c>
      <c r="F38" s="19" t="inlineStr">
        <is>
          <t>eyecatches/036.png</t>
        </is>
      </c>
      <c r="G38" s="20" t="inlineStr">
        <is>
          <t>オートンイクシード 費用</t>
        </is>
      </c>
      <c r="H38" s="20" t="inlineStr">
        <is>
          <t>雨漏り前に防水状態をチェック</t>
        </is>
      </c>
      <c r="I38" s="20" t="inlineStr">
        <is>
          <t>費用・耐用年数を解説</t>
        </is>
      </c>
      <c r="J38" s="20" t="inlineStr">
        <is>
          <t>・高耐久シーリング
・耐久性
・費用相場
・選び方</t>
        </is>
      </c>
      <c r="K38" s="20" t="inlineStr">
        <is>
          <t>ベランダ床・防水層・排水口</t>
        </is>
      </c>
      <c r="L38" s="20" t="inlineStr">
        <is>
          <t>点検する職人</t>
        </is>
      </c>
      <c r="M38" s="20" t="inlineStr">
        <is>
          <t>松山市版</t>
        </is>
      </c>
      <c r="N38" s="20" t="inlineStr">
        <is>
          <t>防水訴求</t>
        </is>
      </c>
      <c r="O38" s="20" t="inlineStr">
        <is>
          <t>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t>
        </is>
      </c>
      <c r="P38" s="20" t="inlineStr">
        <is>
          <t>費用への不安を持つ読者に向けて、相場や内訳が分かりやすい印象にする。
安売り感ではなく、無料見積りで納得して相談できる安心感を出す。</t>
        </is>
      </c>
      <c r="Q38" s="20" t="inlineStr">
        <is>
          <t xml:space="preserve">【対象記事】
No：036
指定KW：オートンイクシード 費用
記事タイトル：オートンイクシードの費用は高い？特徴・相場・向いている住宅
【画像に入れたい文字】
メインコピー：
オートンイクシード 費用
サブコピー：
雨漏り前に防水状態をチェック
補助コピー：
費用・耐用年数を解説
小見出し・チェック項目：
・高耐久シーリング
・耐久性
・費用相場
・選び方
【背景・構図】
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
</t>
        </is>
      </c>
      <c r="R3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No：036
指定KW：オートンイクシード 費用
記事タイトル：オートンイクシードの費用は高い？特徴・相場・向いている住宅
【画像に入れたい文字】
メインコピー：
オートンイクシード 費用
サブコピー：
雨漏り前に防水状態をチェック
補助コピー：
費用・耐用年数を解説
小見出し・チェック項目：
・高耐久シーリング
・耐久性
・費用相場
・選び方
【背景・構図】
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t>
        </is>
      </c>
    </row>
    <row r="39" ht="90" customHeight="1" s="24">
      <c r="A39" s="19" t="inlineStr">
        <is>
          <t>037</t>
        </is>
      </c>
      <c r="B39" s="20" t="inlineStr">
        <is>
          <t>ベランダ防水 費用</t>
        </is>
      </c>
      <c r="C39" s="20" t="inlineStr">
        <is>
          <t>ベランダ防水の費用相場はいくら？工法別の違いと注意点</t>
        </is>
      </c>
      <c r="D39" s="20" t="inlineStr">
        <is>
          <t>防水・シーリング</t>
        </is>
      </c>
      <c r="E39" s="20" t="inlineStr">
        <is>
          <t>費用・相場型</t>
        </is>
      </c>
      <c r="F39" s="19" t="inlineStr">
        <is>
          <t>eyecatches/037.png</t>
        </is>
      </c>
      <c r="G39" s="20" t="inlineStr">
        <is>
          <t>ベランダ防水 費用</t>
        </is>
      </c>
      <c r="H39" s="20" t="inlineStr">
        <is>
          <t>雨漏り前に防水状態をチェック</t>
        </is>
      </c>
      <c r="I39" s="20" t="inlineStr">
        <is>
          <t>費用・耐用年数を解説</t>
        </is>
      </c>
      <c r="J39" s="20" t="inlineStr">
        <is>
          <t>・費用相場
・内訳
・工事内容
・見積りの見方</t>
        </is>
      </c>
      <c r="K39" s="20" t="inlineStr">
        <is>
          <t>ベランダ床・防水層・排水口</t>
        </is>
      </c>
      <c r="L39" s="20" t="inlineStr">
        <is>
          <t>点検する職人</t>
        </is>
      </c>
      <c r="M39" s="20" t="inlineStr">
        <is>
          <t>松山市版</t>
        </is>
      </c>
      <c r="N39" s="20" t="inlineStr">
        <is>
          <t>防水訴求</t>
        </is>
      </c>
      <c r="O39" s="20" t="inlineStr">
        <is>
          <t>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t>
        </is>
      </c>
      <c r="P39" s="20" t="inlineStr">
        <is>
          <t>費用への不安を持つ読者に向けて、相場や内訳が分かりやすい印象にする。
安売り感ではなく、無料見積りで納得して相談できる安心感を出す。</t>
        </is>
      </c>
      <c r="Q39" s="20" t="inlineStr">
        <is>
          <t xml:space="preserve">【対象記事】
No：037
指定KW：ベランダ防水 費用
記事タイトル：ベランダ防水の費用相場はいくら？工法別の違いと注意点
【画像に入れたい文字】
メインコピー：
ベランダ防水 費用
サブコピー：
雨漏り前に防水状態をチェック
補助コピー：
費用・耐用年数を解説
小見出し・チェック項目：
・費用相場
・内訳
・工事内容
・見積りの見方
【背景・構図】
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
</t>
        </is>
      </c>
      <c r="R3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No：037
指定KW：ベランダ防水 費用
記事タイトル：ベランダ防水の費用相場はいくら？工法別の違いと注意点
【画像に入れたい文字】
メインコピー：
ベランダ防水 費用
サブコピー：
雨漏り前に防水状態をチェック
補助コピー：
費用・耐用年数を解説
小見出し・チェック項目：
・費用相場
・内訳
・工事内容
・見積りの見方
【背景・構図】
ベランダ床、防水層、排水口が分かる背景にする。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t>
        </is>
      </c>
    </row>
    <row r="40" ht="90" customHeight="1" s="24">
      <c r="A40" s="19" t="inlineStr">
        <is>
          <t>038</t>
        </is>
      </c>
      <c r="B40" s="20" t="inlineStr">
        <is>
          <t>FRP防水 耐用年数</t>
        </is>
      </c>
      <c r="C40" s="20" t="inlineStr">
        <is>
          <t>FRP防水の耐用年数はどれくらい？劣化症状とメンテナンス時期</t>
        </is>
      </c>
      <c r="D40" s="20" t="inlineStr">
        <is>
          <t>防水・シーリング</t>
        </is>
      </c>
      <c r="E40" s="20" t="inlineStr">
        <is>
          <t>防水・シーリング型</t>
        </is>
      </c>
      <c r="F40" s="19" t="inlineStr">
        <is>
          <t>eyecatches/038.png</t>
        </is>
      </c>
      <c r="G40" s="20" t="inlineStr">
        <is>
          <t>FRP防水 耐用年数</t>
        </is>
      </c>
      <c r="H40" s="20" t="inlineStr">
        <is>
          <t>雨漏り前に防水状態をチェック</t>
        </is>
      </c>
      <c r="I40" s="20" t="inlineStr">
        <is>
          <t>費用・耐用年数を解説</t>
        </is>
      </c>
      <c r="J40" s="20" t="inlineStr">
        <is>
          <t>・耐用年数
・劣化サイン
・メンテ時期
・注意点</t>
        </is>
      </c>
      <c r="K40" s="20" t="inlineStr">
        <is>
          <t>ベランダ床・防水層・排水口</t>
        </is>
      </c>
      <c r="L40" s="20" t="inlineStr">
        <is>
          <t>点検する職人</t>
        </is>
      </c>
      <c r="M40" s="20" t="inlineStr">
        <is>
          <t>松山市版</t>
        </is>
      </c>
      <c r="N40" s="20" t="inlineStr">
        <is>
          <t>防水訴求</t>
        </is>
      </c>
      <c r="O40" s="20" t="inlineStr">
        <is>
          <t>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t>
        </is>
      </c>
      <c r="P40" s="20" t="inlineStr">
        <is>
          <t>防水やシーリングの重要性が一目で伝わる画像にする。
劣化症状、費用、工法の違いが分かる実用的な印象にする。</t>
        </is>
      </c>
      <c r="Q40" s="20" t="inlineStr">
        <is>
          <t xml:space="preserve">【対象記事】
No：038
指定KW：FRP防水 耐用年数
記事タイトル：FRP防水の耐用年数はどれくらい？劣化症状とメンテナンス時期
【画像に入れたい文字】
メインコピー：
FRP防水 耐用年数
サブコピー：
雨漏り前に防水状態をチェック
補助コピー：
費用・耐用年数を解説
小見出し・チェック項目：
・耐用年数
・劣化サイン
・メンテ時期
・注意点
【背景・構図】
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
【画像の印象】
防水やシーリングの重要性が一目で伝わる画像にする。
劣化症状、費用、工法の違いが分かる実用的な印象にする。
</t>
        </is>
      </c>
      <c r="R4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No：038
指定KW：FRP防水 耐用年数
記事タイトル：FRP防水の耐用年数はどれくらい？劣化症状とメンテナンス時期
【画像に入れたい文字】
メインコピー：
FRP防水 耐用年数
サブコピー：
雨漏り前に防水状態をチェック
補助コピー：
費用・耐用年数を解説
小見出し・チェック項目：
・耐用年数
・劣化サイン
・メンテ時期
・注意点
【背景・構図】
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
【画像の印象】
防水やシーリングの重要性が一目で伝わる画像にする。
劣化症状、費用、工法の違いが分かる実用的な印象にする。</t>
        </is>
      </c>
    </row>
    <row r="41" ht="90" customHeight="1" s="24">
      <c r="A41" s="19" t="inlineStr">
        <is>
          <t>039</t>
        </is>
      </c>
      <c r="B41" s="20" t="inlineStr">
        <is>
          <t>ウレタン防水 耐用年数</t>
        </is>
      </c>
      <c r="C41" s="20" t="inlineStr">
        <is>
          <t>ウレタン防水の耐用年数は？メリット・劣化症状・補修時期</t>
        </is>
      </c>
      <c r="D41" s="20" t="inlineStr">
        <is>
          <t>防水・シーリング</t>
        </is>
      </c>
      <c r="E41" s="20" t="inlineStr">
        <is>
          <t>防水・シーリング型</t>
        </is>
      </c>
      <c r="F41" s="19" t="inlineStr">
        <is>
          <t>eyecatches/039.png</t>
        </is>
      </c>
      <c r="G41" s="20" t="inlineStr">
        <is>
          <t>ウレタン防水 耐用年数</t>
        </is>
      </c>
      <c r="H41" s="20" t="inlineStr">
        <is>
          <t>雨漏り前に防水状態をチェック</t>
        </is>
      </c>
      <c r="I41" s="20" t="inlineStr">
        <is>
          <t>費用・耐用年数を解説</t>
        </is>
      </c>
      <c r="J41" s="20" t="inlineStr">
        <is>
          <t>・耐用年数
・劣化サイン
・メンテ時期
・注意点</t>
        </is>
      </c>
      <c r="K41" s="20" t="inlineStr">
        <is>
          <t>ベランダ床・防水層・排水口</t>
        </is>
      </c>
      <c r="L41" s="20" t="inlineStr">
        <is>
          <t>点検する職人</t>
        </is>
      </c>
      <c r="M41" s="20" t="inlineStr">
        <is>
          <t>松山市版</t>
        </is>
      </c>
      <c r="N41" s="20" t="inlineStr">
        <is>
          <t>防水訴求</t>
        </is>
      </c>
      <c r="O41" s="20" t="inlineStr">
        <is>
          <t>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t>
        </is>
      </c>
      <c r="P41" s="20" t="inlineStr">
        <is>
          <t>防水やシーリングの重要性が一目で伝わる画像にする。
劣化症状、費用、工法の違いが分かる実用的な印象にする。</t>
        </is>
      </c>
      <c r="Q41" s="20" t="inlineStr">
        <is>
          <t xml:space="preserve">【対象記事】
No：039
指定KW：ウレタン防水 耐用年数
記事タイトル：ウレタン防水の耐用年数は？メリット・劣化症状・補修時期
【画像に入れたい文字】
メインコピー：
ウレタン防水 耐用年数
サブコピー：
雨漏り前に防水状態をチェック
補助コピー：
費用・耐用年数を解説
小見出し・チェック項目：
・耐用年数
・劣化サイン
・メンテ時期
・注意点
【背景・構図】
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
【画像の印象】
防水やシーリングの重要性が一目で伝わる画像にする。
劣化症状、費用、工法の違いが分かる実用的な印象にする。
</t>
        </is>
      </c>
      <c r="R4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No：039
指定KW：ウレタン防水 耐用年数
記事タイトル：ウレタン防水の耐用年数は？メリット・劣化症状・補修時期
【画像に入れたい文字】
メインコピー：
ウレタン防水 耐用年数
サブコピー：
雨漏り前に防水状態をチェック
補助コピー：
費用・耐用年数を解説
小見出し・チェック項目：
・耐用年数
・劣化サイン
・メンテ時期
・注意点
【背景・構図】
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
【画像の印象】
防水やシーリングの重要性が一目で伝わる画像にする。
劣化症状、費用、工法の違いが分かる実用的な印象にする。</t>
        </is>
      </c>
    </row>
    <row r="42" ht="90" customHeight="1" s="24">
      <c r="A42" s="19" t="inlineStr">
        <is>
          <t>040</t>
        </is>
      </c>
      <c r="B42" s="20" t="inlineStr">
        <is>
          <t>塩ビシート防水 耐用年数</t>
        </is>
      </c>
      <c r="C42" s="20" t="inlineStr">
        <is>
          <t>塩ビシート防水の耐用年数は？特徴・劣化症状・注意点</t>
        </is>
      </c>
      <c r="D42" s="20" t="inlineStr">
        <is>
          <t>防水・シーリング</t>
        </is>
      </c>
      <c r="E42" s="20" t="inlineStr">
        <is>
          <t>防水・シーリング型</t>
        </is>
      </c>
      <c r="F42" s="19" t="inlineStr">
        <is>
          <t>eyecatches/040.png</t>
        </is>
      </c>
      <c r="G42" s="20" t="inlineStr">
        <is>
          <t>塩ビシート防水 耐用年数</t>
        </is>
      </c>
      <c r="H42" s="20" t="inlineStr">
        <is>
          <t>雨漏り前に防水状態をチェック</t>
        </is>
      </c>
      <c r="I42" s="20" t="inlineStr">
        <is>
          <t>費用・耐用年数を解説</t>
        </is>
      </c>
      <c r="J42" s="20" t="inlineStr">
        <is>
          <t>・耐用年数
・劣化サイン
・メンテ時期
・注意点</t>
        </is>
      </c>
      <c r="K42" s="20" t="inlineStr">
        <is>
          <t>ベランダ床・防水層・排水口</t>
        </is>
      </c>
      <c r="L42" s="20" t="inlineStr">
        <is>
          <t>点検する職人</t>
        </is>
      </c>
      <c r="M42" s="20" t="inlineStr">
        <is>
          <t>松山市版</t>
        </is>
      </c>
      <c r="N42" s="20" t="inlineStr">
        <is>
          <t>防水訴求</t>
        </is>
      </c>
      <c r="O42" s="20" t="inlineStr">
        <is>
          <t>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t>
        </is>
      </c>
      <c r="P42" s="20" t="inlineStr">
        <is>
          <t>防水やシーリングの重要性が一目で伝わる画像にする。
劣化症状、費用、工法の違いが分かる実用的な印象にする。</t>
        </is>
      </c>
      <c r="Q42" s="20" t="inlineStr">
        <is>
          <t xml:space="preserve">【対象記事】
No：040
指定KW：塩ビシート防水 耐用年数
記事タイトル：塩ビシート防水の耐用年数は？特徴・劣化症状・注意点
【画像に入れたい文字】
メインコピー：
塩ビシート防水 耐用年数
サブコピー：
雨漏り前に防水状態をチェック
補助コピー：
費用・耐用年数を解説
小見出し・チェック項目：
・耐用年数
・劣化サイン
・メンテ時期
・注意点
【背景・構図】
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
【画像の印象】
防水やシーリングの重要性が一目で伝わる画像にする。
劣化症状、費用、工法の違いが分かる実用的な印象にする。
</t>
        </is>
      </c>
      <c r="R4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No：040
指定KW：塩ビシート防水 耐用年数
記事タイトル：塩ビシート防水の耐用年数は？特徴・劣化症状・注意点
【画像に入れたい文字】
メインコピー：
塩ビシート防水 耐用年数
サブコピー：
雨漏り前に防水状態をチェック
補助コピー：
費用・耐用年数を解説
小見出し・チェック項目：
・耐用年数
・劣化サイン
・メンテ時期
・注意点
【背景・構図】
ベランダ床、防水層、排水口が分かる背景にする。
点検する職人が、住まいの状態を確認しながら、ポイントを説明している。
年数表示、劣化サイン、メンテナンス時期の要素を分かりやすく配置する。
「松山市版」の小さなラベルを入れる。
【画像の印象】
防水やシーリングの重要性が一目で伝わる画像にする。
劣化症状、費用、工法の違いが分かる実用的な印象にする。</t>
        </is>
      </c>
    </row>
    <row r="43" ht="90" customHeight="1" s="24">
      <c r="A43" s="19" t="inlineStr">
        <is>
          <t>041</t>
        </is>
      </c>
      <c r="B43" s="20" t="inlineStr">
        <is>
          <t>屋根カバー メリット</t>
        </is>
      </c>
      <c r="C43" s="20" t="inlineStr">
        <is>
          <t>屋根カバー工法のメリットとは？費用・注意点・向いている屋根</t>
        </is>
      </c>
      <c r="D43" s="20" t="inlineStr">
        <is>
          <t>屋根修理・屋根材</t>
        </is>
      </c>
      <c r="E43" s="20" t="inlineStr">
        <is>
          <t>地域サービス型</t>
        </is>
      </c>
      <c r="F43" s="19" t="inlineStr">
        <is>
          <t>eyecatches/041.png</t>
        </is>
      </c>
      <c r="G43" s="20" t="inlineStr">
        <is>
          <t>屋根カバー メリット</t>
        </is>
      </c>
      <c r="H43" s="20" t="inlineStr">
        <is>
          <t>雨漏り前に劣化を確認</t>
        </is>
      </c>
      <c r="I43" s="20" t="inlineStr">
        <is>
          <t>屋根点検・修理方法を解説</t>
        </is>
      </c>
      <c r="J43" s="20" t="inlineStr">
        <is>
          <t>・主なメリット
・向いている家
・注意点
・選び方</t>
        </is>
      </c>
      <c r="K43" s="20" t="inlineStr">
        <is>
          <t>屋根材・瓦・板金・雨空</t>
        </is>
      </c>
      <c r="L43" s="20" t="inlineStr">
        <is>
          <t>屋根を点検する職人</t>
        </is>
      </c>
      <c r="M43" s="20" t="inlineStr">
        <is>
          <t>松山市版</t>
        </is>
      </c>
      <c r="N43" s="20" t="inlineStr">
        <is>
          <t>屋根修理訴求</t>
        </is>
      </c>
      <c r="O43" s="20" t="inlineStr">
        <is>
          <t>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t>
        </is>
      </c>
      <c r="P43" s="20" t="inlineStr">
        <is>
          <t>屋根の劣化や修理の必要性がひと目で伝わる画像にする。
専門性を感じさせつつ、地域で相談できる安心感も出す。</t>
        </is>
      </c>
      <c r="Q43" s="20" t="inlineStr">
        <is>
          <t xml:space="preserve">【対象記事】
No：041
指定KW：屋根カバー メリット
記事タイトル：屋根カバー工法のメリットとは？費用・注意点・向いている屋根
【画像に入れたい文字】
メインコピー：
屋根カバー メリット
サブコピー：
雨漏り前に劣化を確認
補助コピー：
屋根点検・修理方法を解説
小見出し・チェック項目：
・主なメリット
・向いている家
・注意点
・選び方
【背景・構図】
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
【画像の印象】
屋根の劣化や修理の必要性がひと目で伝わる画像にする。
専門性を感じさせつつ、地域で相談できる安心感も出す。
</t>
        </is>
      </c>
      <c r="R4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No：041
指定KW：屋根カバー メリット
記事タイトル：屋根カバー工法のメリットとは？費用・注意点・向いている屋根
【画像に入れたい文字】
メインコピー：
屋根カバー メリット
サブコピー：
雨漏り前に劣化を確認
補助コピー：
屋根点検・修理方法を解説
小見出し・チェック項目：
・主なメリット
・向いている家
・注意点
・選び方
【背景・構図】
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
【画像の印象】
屋根の劣化や修理の必要性がひと目で伝わる画像にする。
専門性を感じさせつつ、地域で相談できる安心感も出す。</t>
        </is>
      </c>
    </row>
    <row r="44" ht="90" customHeight="1" s="24">
      <c r="A44" s="19" t="inlineStr">
        <is>
          <t>042</t>
        </is>
      </c>
      <c r="B44" s="20" t="inlineStr">
        <is>
          <t>ガルテクト デメリット</t>
        </is>
      </c>
      <c r="C44" s="20" t="inlineStr">
        <is>
          <t>ガルテクトのデメリットとは？屋根カバー前に知りたい注意点</t>
        </is>
      </c>
      <c r="D44" s="20" t="inlineStr">
        <is>
          <t>屋根修理・屋根材</t>
        </is>
      </c>
      <c r="E44" s="20" t="inlineStr">
        <is>
          <t>屋根材注意型</t>
        </is>
      </c>
      <c r="F44" s="19" t="inlineStr">
        <is>
          <t>eyecatches/042.png</t>
        </is>
      </c>
      <c r="G44" s="20" t="inlineStr">
        <is>
          <t>ガルテクト デメリット</t>
        </is>
      </c>
      <c r="H44" s="20" t="inlineStr">
        <is>
          <t>雨漏り前に劣化を確認</t>
        </is>
      </c>
      <c r="I44" s="20" t="inlineStr">
        <is>
          <t>屋根点検・修理方法を解説</t>
        </is>
      </c>
      <c r="J44" s="20" t="inlineStr">
        <is>
          <t>・主なメリット
・向いている家
・注意点
・選び方</t>
        </is>
      </c>
      <c r="K44" s="20" t="inlineStr">
        <is>
          <t>屋根材・瓦・板金・雨空</t>
        </is>
      </c>
      <c r="L44" s="20" t="inlineStr">
        <is>
          <t>屋根を点検する職人</t>
        </is>
      </c>
      <c r="M44" s="20" t="inlineStr">
        <is>
          <t>松山市版</t>
        </is>
      </c>
      <c r="N44" s="20" t="inlineStr">
        <is>
          <t>屋根修理訴求</t>
        </is>
      </c>
      <c r="O44" s="20" t="inlineStr">
        <is>
          <t>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t>
        </is>
      </c>
      <c r="P44" s="20" t="inlineStr">
        <is>
          <t>屋根の劣化や修理の必要性がひと目で伝わる画像にする。
専門性を感じさせつつ、地域で相談できる安心感も出す。</t>
        </is>
      </c>
      <c r="Q44" s="20" t="inlineStr">
        <is>
          <t xml:space="preserve">【対象記事】
No：042
指定KW：ガルテクト デメリット
記事タイトル：ガルテクトのデメリットとは？屋根カバー前に知りたい注意点
【画像に入れたい文字】
メインコピー：
ガルテクト デメリット
サブコピー：
雨漏り前に劣化を確認
補助コピー：
屋根点検・修理方法を解説
小見出し・チェック項目：
・主なメリット
・向いている家
・注意点
・選び方
【背景・構図】
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
【画像の印象】
屋根の劣化や修理の必要性がひと目で伝わる画像にする。
専門性を感じさせつつ、地域で相談できる安心感も出す。
</t>
        </is>
      </c>
      <c r="R4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No：042
指定KW：ガルテクト デメリット
記事タイトル：ガルテクトのデメリットとは？屋根カバー前に知りたい注意点
【画像に入れたい文字】
メインコピー：
ガルテクト デメリット
サブコピー：
雨漏り前に劣化を確認
補助コピー：
屋根点検・修理方法を解説
小見出し・チェック項目：
・主なメリット
・向いている家
・注意点
・選び方
【背景・構図】
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
【画像の印象】
屋根の劣化や修理の必要性がひと目で伝わる画像にする。
専門性を感じさせつつ、地域で相談できる安心感も出す。</t>
        </is>
      </c>
    </row>
    <row r="45" ht="90" customHeight="1" s="24">
      <c r="A45" s="19" t="inlineStr">
        <is>
          <t>043</t>
        </is>
      </c>
      <c r="B45" s="20" t="inlineStr">
        <is>
          <t>ヴェルウッド デメリット</t>
        </is>
      </c>
      <c r="C45" s="20" t="inlineStr">
        <is>
          <t>ヴェルウッドのデメリットとは？屋根材選びで確認したいポイント</t>
        </is>
      </c>
      <c r="D45" s="20" t="inlineStr">
        <is>
          <t>屋根修理・屋根材</t>
        </is>
      </c>
      <c r="E45" s="20" t="inlineStr">
        <is>
          <t>屋根材注意型</t>
        </is>
      </c>
      <c r="F45" s="19" t="inlineStr">
        <is>
          <t>eyecatches/043.png</t>
        </is>
      </c>
      <c r="G45" s="20" t="inlineStr">
        <is>
          <t>ヴェルウッド デメリット</t>
        </is>
      </c>
      <c r="H45" s="20" t="inlineStr">
        <is>
          <t>雨漏り前に劣化を確認</t>
        </is>
      </c>
      <c r="I45" s="20" t="inlineStr">
        <is>
          <t>屋根点検・修理方法を解説</t>
        </is>
      </c>
      <c r="J45" s="20" t="inlineStr">
        <is>
          <t>・主なメリット
・向いている家
・注意点
・選び方</t>
        </is>
      </c>
      <c r="K45" s="20" t="inlineStr">
        <is>
          <t>屋根材・瓦・板金・雨空</t>
        </is>
      </c>
      <c r="L45" s="20" t="inlineStr">
        <is>
          <t>屋根を点検する職人</t>
        </is>
      </c>
      <c r="M45" s="20" t="inlineStr">
        <is>
          <t>松山市版</t>
        </is>
      </c>
      <c r="N45" s="20" t="inlineStr">
        <is>
          <t>屋根修理訴求</t>
        </is>
      </c>
      <c r="O45" s="20" t="inlineStr">
        <is>
          <t>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t>
        </is>
      </c>
      <c r="P45" s="20" t="inlineStr">
        <is>
          <t>屋根の劣化や修理の必要性がひと目で伝わる画像にする。
専門性を感じさせつつ、地域で相談できる安心感も出す。</t>
        </is>
      </c>
      <c r="Q45" s="20" t="inlineStr">
        <is>
          <t xml:space="preserve">【対象記事】
No：043
指定KW：ヴェルウッド デメリット
記事タイトル：ヴェルウッドのデメリットとは？屋根材選びで確認したいポイント
【画像に入れたい文字】
メインコピー：
ヴェルウッド デメリット
サブコピー：
雨漏り前に劣化を確認
補助コピー：
屋根点検・修理方法を解説
小見出し・チェック項目：
・主なメリット
・向いている家
・注意点
・選び方
【背景・構図】
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
【画像の印象】
屋根の劣化や修理の必要性がひと目で伝わる画像にする。
専門性を感じさせつつ、地域で相談できる安心感も出す。
</t>
        </is>
      </c>
      <c r="R4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No：043
指定KW：ヴェルウッド デメリット
記事タイトル：ヴェルウッドのデメリットとは？屋根材選びで確認したいポイント
【画像に入れたい文字】
メインコピー：
ヴェルウッド デメリット
サブコピー：
雨漏り前に劣化を確認
補助コピー：
屋根点検・修理方法を解説
小見出し・チェック項目：
・主なメリット
・向いている家
・注意点
・選び方
【背景・構図】
屋根材、瓦、板金、雨空が分かる背景にする。
屋根を点検する職人が、住まいの状態を確認しながら、ポイントを説明している。
メリット・デメリットや注意点が直感的に伝わるラベルを配置する。
「松山市版」の小さなラベルを入れる。
【画像の印象】
屋根の劣化や修理の必要性がひと目で伝わる画像にする。
専門性を感じさせつつ、地域で相談できる安心感も出す。</t>
        </is>
      </c>
    </row>
    <row r="46" ht="90" customHeight="1" s="24">
      <c r="A46" s="19" t="inlineStr">
        <is>
          <t>044</t>
        </is>
      </c>
      <c r="B46" s="20" t="inlineStr">
        <is>
          <t>パミール 屋根 対策</t>
        </is>
      </c>
      <c r="C46" s="20" t="inlineStr">
        <is>
          <t>パミール屋根の対策とは？塗装できない理由と修理方法を解説</t>
        </is>
      </c>
      <c r="D46" s="20" t="inlineStr">
        <is>
          <t>屋根修理・屋根材</t>
        </is>
      </c>
      <c r="E46" s="20" t="inlineStr">
        <is>
          <t>屋根材注意型</t>
        </is>
      </c>
      <c r="F46" s="19" t="inlineStr">
        <is>
          <t>eyecatches/044.png</t>
        </is>
      </c>
      <c r="G46" s="20" t="inlineStr">
        <is>
          <t>パミール 屋根 対策</t>
        </is>
      </c>
      <c r="H46" s="20" t="inlineStr">
        <is>
          <t>雨漏り前に劣化を確認</t>
        </is>
      </c>
      <c r="I46" s="20" t="inlineStr">
        <is>
          <t>屋根点検・修理方法を解説</t>
        </is>
      </c>
      <c r="J46" s="20" t="inlineStr">
        <is>
          <t>・劣化症状
・原因
・補修方法
・再発防止</t>
        </is>
      </c>
      <c r="K46" s="20" t="inlineStr">
        <is>
          <t>屋根材・瓦・板金・雨空</t>
        </is>
      </c>
      <c r="L46" s="20" t="inlineStr">
        <is>
          <t>屋根を点検する職人</t>
        </is>
      </c>
      <c r="M46" s="20" t="inlineStr">
        <is>
          <t>松山市版</t>
        </is>
      </c>
      <c r="N46" s="20" t="inlineStr">
        <is>
          <t>屋根修理訴求</t>
        </is>
      </c>
      <c r="O46" s="20" t="inlineStr">
        <is>
          <t>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t>
        </is>
      </c>
      <c r="P46" s="20" t="inlineStr">
        <is>
          <t>屋根の劣化や修理の必要性がひと目で伝わる画像にする。
専門性を感じさせつつ、地域で相談できる安心感も出す。</t>
        </is>
      </c>
      <c r="Q46" s="20" t="inlineStr">
        <is>
          <t xml:space="preserve">【対象記事】
No：044
指定KW：パミール 屋根 対策
記事タイトル：パミール屋根の対策とは？塗装できない理由と修理方法を解説
【画像に入れたい文字】
メインコピー：
パミール 屋根 対策
サブコピー：
雨漏り前に劣化を確認
補助コピー：
屋根点検・修理方法を解説
小見出し・チェック項目：
・劣化症状
・原因
・補修方法
・再発防止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4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No：044
指定KW：パミール 屋根 対策
記事タイトル：パミール屋根の対策とは？塗装できない理由と修理方法を解説
【画像に入れたい文字】
メインコピー：
パミール 屋根 対策
サブコピー：
雨漏り前に劣化を確認
補助コピー：
屋根点検・修理方法を解説
小見出し・チェック項目：
・劣化症状
・原因
・補修方法
・再発防止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47" ht="90" customHeight="1" s="24">
      <c r="A47" s="19" t="inlineStr">
        <is>
          <t>045</t>
        </is>
      </c>
      <c r="B47" s="20" t="inlineStr">
        <is>
          <t>コロニアルNEO 雨漏り</t>
        </is>
      </c>
      <c r="C47" s="20" t="inlineStr">
        <is>
          <t>コロニアルNEOは雨漏りしやすい？劣化症状と対策を解説</t>
        </is>
      </c>
      <c r="D47" s="20" t="inlineStr">
        <is>
          <t>屋根修理・屋根材</t>
        </is>
      </c>
      <c r="E47" s="20" t="inlineStr">
        <is>
          <t>屋根材注意型</t>
        </is>
      </c>
      <c r="F47" s="19" t="inlineStr">
        <is>
          <t>eyecatches/045.png</t>
        </is>
      </c>
      <c r="G47" s="20" t="inlineStr">
        <is>
          <t>コロニアルNEO 雨漏り</t>
        </is>
      </c>
      <c r="H47" s="20" t="inlineStr">
        <is>
          <t>雨漏り前に劣化を確認</t>
        </is>
      </c>
      <c r="I47" s="20" t="inlineStr">
        <is>
          <t>屋根点検・修理方法を解説</t>
        </is>
      </c>
      <c r="J47" s="20" t="inlineStr">
        <is>
          <t>・屋根材の特徴
・注意点
・劣化症状
・対策</t>
        </is>
      </c>
      <c r="K47" s="20" t="inlineStr">
        <is>
          <t>屋根材・瓦・板金・雨空</t>
        </is>
      </c>
      <c r="L47" s="20" t="inlineStr">
        <is>
          <t>屋根を点検する職人</t>
        </is>
      </c>
      <c r="M47" s="20" t="inlineStr">
        <is>
          <t>松山市版</t>
        </is>
      </c>
      <c r="N47" s="20" t="inlineStr">
        <is>
          <t>屋根修理訴求</t>
        </is>
      </c>
      <c r="O47" s="20" t="inlineStr">
        <is>
          <t>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t>
        </is>
      </c>
      <c r="P47" s="20" t="inlineStr">
        <is>
          <t>屋根の劣化や修理の必要性がひと目で伝わる画像にする。
専門性を感じさせつつ、地域で相談できる安心感も出す。</t>
        </is>
      </c>
      <c r="Q47" s="20" t="inlineStr">
        <is>
          <t xml:space="preserve">【対象記事】
No：045
指定KW：コロニアルNEO 雨漏り
記事タイトル：コロニアルNEOは雨漏りしやすい？劣化症状と対策を解説
【画像に入れたい文字】
メインコピー：
コロニアルNEO 雨漏り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4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No：045
指定KW：コロニアルNEO 雨漏り
記事タイトル：コロニアルNEOは雨漏りしやすい？劣化症状と対策を解説
【画像に入れたい文字】
メインコピー：
コロニアルNEO 雨漏り
サブコピー：
雨漏り前に劣化を確認
補助コピー：
屋根点検・修理方法を解説
小見出し・チェック項目：
・屋根材の特徴
・注意点
・劣化症状
・対策
【背景・構図】
屋根材、瓦、板金、雨空が分かる背景にする。
屋根を点検する職人が、住まいの状態を確認しながら、ポイントを説明している。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48" ht="90" customHeight="1" s="24">
      <c r="A48" s="19" t="inlineStr">
        <is>
          <t>046</t>
        </is>
      </c>
      <c r="B48" s="20" t="inlineStr">
        <is>
          <t>アーバニー 屋根 修理</t>
        </is>
      </c>
      <c r="C48" s="20" t="inlineStr">
        <is>
          <t>アーバニー屋根の修理方法｜割れ・剥がれ・雨漏り対策</t>
        </is>
      </c>
      <c r="D48" s="20" t="inlineStr">
        <is>
          <t>屋根修理・屋根材</t>
        </is>
      </c>
      <c r="E48" s="20" t="inlineStr">
        <is>
          <t>屋根材注意型</t>
        </is>
      </c>
      <c r="F48" s="19" t="inlineStr">
        <is>
          <t>eyecatches/046.png</t>
        </is>
      </c>
      <c r="G48" s="20" t="inlineStr">
        <is>
          <t>アーバニー 屋根 修理</t>
        </is>
      </c>
      <c r="H48" s="20" t="inlineStr">
        <is>
          <t>雨漏り前に劣化を確認</t>
        </is>
      </c>
      <c r="I48" s="20" t="inlineStr">
        <is>
          <t>屋根点検・修理方法を解説</t>
        </is>
      </c>
      <c r="J48" s="20" t="inlineStr">
        <is>
          <t>・屋根材の特徴
・注意点
・劣化症状
・対策</t>
        </is>
      </c>
      <c r="K48" s="20" t="inlineStr">
        <is>
          <t>屋根材・瓦・板金・雨空</t>
        </is>
      </c>
      <c r="L48" s="20" t="inlineStr">
        <is>
          <t>屋根を点検する職人</t>
        </is>
      </c>
      <c r="M48" s="20" t="inlineStr">
        <is>
          <t>松山市版</t>
        </is>
      </c>
      <c r="N48" s="20" t="inlineStr">
        <is>
          <t>屋根修理訴求</t>
        </is>
      </c>
      <c r="O48"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48" s="20" t="inlineStr">
        <is>
          <t>屋根の劣化や修理の必要性がひと目で伝わる画像にする。
専門性を感じさせつつ、地域で相談できる安心感も出す。</t>
        </is>
      </c>
      <c r="Q48" s="20" t="inlineStr">
        <is>
          <t xml:space="preserve">【対象記事】
No：046
指定KW：アーバニー 屋根 修理
記事タイトル：アーバニー屋根の修理方法｜割れ・剥がれ・雨漏り対策
【画像に入れたい文字】
メインコピー：
アーバニー 屋根 修理
サブコピー：
雨漏り前に劣化を確認
補助コピー：
屋根点検・修理方法を解説
小見出し・チェック項目：
・屋根材の特徴
・注意点
・劣化症状
・対策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4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No：046
指定KW：アーバニー 屋根 修理
記事タイトル：アーバニー屋根の修理方法｜割れ・剥がれ・雨漏り対策
【画像に入れたい文字】
メインコピー：
アーバニー 屋根 修理
サブコピー：
雨漏り前に劣化を確認
補助コピー：
屋根点検・修理方法を解説
小見出し・チェック項目：
・屋根材の特徴
・注意点
・劣化症状
・対策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49" ht="90" customHeight="1" s="24">
      <c r="A49" s="19" t="inlineStr">
        <is>
          <t>047</t>
        </is>
      </c>
      <c r="B49" s="20" t="inlineStr">
        <is>
          <t>セキスイかわらU 修理</t>
        </is>
      </c>
      <c r="C49" s="20" t="inlineStr">
        <is>
          <t>セキスイかわらUの修理はどうする？塗装前に知るべき注意点</t>
        </is>
      </c>
      <c r="D49" s="20" t="inlineStr">
        <is>
          <t>屋根修理・屋根材</t>
        </is>
      </c>
      <c r="E49" s="20" t="inlineStr">
        <is>
          <t>屋根材注意型</t>
        </is>
      </c>
      <c r="F49" s="19" t="inlineStr">
        <is>
          <t>eyecatches/047.png</t>
        </is>
      </c>
      <c r="G49" s="20" t="inlineStr">
        <is>
          <t>セキスイかわらU 修理</t>
        </is>
      </c>
      <c r="H49" s="20" t="inlineStr">
        <is>
          <t>雨漏り前に劣化を確認</t>
        </is>
      </c>
      <c r="I49" s="20" t="inlineStr">
        <is>
          <t>屋根点検・修理方法を解説</t>
        </is>
      </c>
      <c r="J49" s="20" t="inlineStr">
        <is>
          <t>・屋根材の特徴
・注意点
・劣化症状
・対策</t>
        </is>
      </c>
      <c r="K49" s="20" t="inlineStr">
        <is>
          <t>屋根材・瓦・板金・雨空</t>
        </is>
      </c>
      <c r="L49" s="20" t="inlineStr">
        <is>
          <t>屋根を点検する職人</t>
        </is>
      </c>
      <c r="M49" s="20" t="inlineStr">
        <is>
          <t>松山市版</t>
        </is>
      </c>
      <c r="N49" s="20" t="inlineStr">
        <is>
          <t>屋根修理訴求</t>
        </is>
      </c>
      <c r="O49" s="20" t="inlineStr">
        <is>
          <t>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t>
        </is>
      </c>
      <c r="P49" s="20" t="inlineStr">
        <is>
          <t>屋根の劣化や修理の必要性がひと目で伝わる画像にする。
専門性を感じさせつつ、地域で相談できる安心感も出す。</t>
        </is>
      </c>
      <c r="Q49" s="20" t="inlineStr">
        <is>
          <t xml:space="preserve">【対象記事】
No：047
指定KW：セキスイかわらU 修理
記事タイトル：セキスイかわらUの修理はどうする？塗装前に知るべき注意点
【画像に入れたい文字】
メインコピー：
セキスイかわらU 修理
サブコピー：
雨漏り前に劣化を確認
補助コピー：
屋根点検・修理方法を解説
小見出し・チェック項目：
・屋根材の特徴
・注意点
・劣化症状
・対策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
</t>
        </is>
      </c>
      <c r="R4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No：047
指定KW：セキスイかわらU 修理
記事タイトル：セキスイかわらUの修理はどうする？塗装前に知るべき注意点
【画像に入れたい文字】
メインコピー：
セキスイかわらU 修理
サブコピー：
雨漏り前に劣化を確認
補助コピー：
屋根点検・修理方法を解説
小見出し・チェック項目：
・屋根材の特徴
・注意点
・劣化症状
・対策
【背景・構図】
屋根材、瓦、板金、雨空が分かる背景にする。
屋根を点検する職人が、修理箇所を確認しながら、必要な工事内容を説明している。
記事テーマがひと目で伝わるよう、劣化箇所や説明アイコンを分かりやすく配置する。
「松山市版」の小さなラベルを入れる。
【画像の印象】
屋根の劣化や修理の必要性がひと目で伝わる画像にする。
専門性を感じさせつつ、地域で相談できる安心感も出す。</t>
        </is>
      </c>
    </row>
    <row r="50" ht="90" customHeight="1" s="24">
      <c r="A50" s="19" t="inlineStr">
        <is>
          <t>048</t>
        </is>
      </c>
      <c r="B50" s="20" t="inlineStr">
        <is>
          <t>モニエル瓦 塗装</t>
        </is>
      </c>
      <c r="C50" s="20" t="inlineStr">
        <is>
          <t>モニエル瓦の塗装は難しい？特徴・注意点・業者選びを解説</t>
        </is>
      </c>
      <c r="D50" s="20" t="inlineStr">
        <is>
          <t>屋根修理・屋根材</t>
        </is>
      </c>
      <c r="E50" s="20" t="inlineStr">
        <is>
          <t>屋根材注意型</t>
        </is>
      </c>
      <c r="F50" s="19" t="inlineStr">
        <is>
          <t>eyecatches/048.png</t>
        </is>
      </c>
      <c r="G50" s="20" t="inlineStr">
        <is>
          <t>モニエル瓦 塗装</t>
        </is>
      </c>
      <c r="H50" s="20" t="inlineStr">
        <is>
          <t>雨漏り前に劣化を確認</t>
        </is>
      </c>
      <c r="I50" s="20" t="inlineStr">
        <is>
          <t>屋根点検・修理方法を解説</t>
        </is>
      </c>
      <c r="J50" s="20" t="inlineStr">
        <is>
          <t>・屋根材の特徴
・注意点
・劣化症状
・対策</t>
        </is>
      </c>
      <c r="K50" s="20" t="inlineStr">
        <is>
          <t>屋根材・瓦・板金・雨空</t>
        </is>
      </c>
      <c r="L50" s="20" t="inlineStr">
        <is>
          <t>屋根を点検する職人</t>
        </is>
      </c>
      <c r="M50" s="20" t="inlineStr">
        <is>
          <t>松山市版</t>
        </is>
      </c>
      <c r="N50" s="20" t="inlineStr">
        <is>
          <t>屋根修理訴求</t>
        </is>
      </c>
      <c r="O50" s="20" t="inlineStr">
        <is>
          <t>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t>
        </is>
      </c>
      <c r="P50" s="20" t="inlineStr">
        <is>
          <t>屋根の劣化や修理の必要性がひと目で伝わる画像にする。
専門性を感じさせつつ、地域で相談できる安心感も出す。</t>
        </is>
      </c>
      <c r="Q50" s="20" t="inlineStr">
        <is>
          <t xml:space="preserve">【対象記事】
No：048
指定KW：モニエル瓦 塗装
記事タイトル：モニエル瓦の塗装は難しい？特徴・注意点・業者選びを解説
【画像に入れたい文字】
メインコピー：
モニエル瓦 塗装
サブコピー：
雨漏り前に劣化を確認
補助コピー：
屋根点検・修理方法を解説
小見出し・チェック項目：
・屋根材の特徴
・注意点
・劣化症状
・対策
【背景・構図】
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
【画像の印象】
屋根の劣化や修理の必要性がひと目で伝わる画像にする。
専門性を感じさせつつ、地域で相談できる安心感も出す。
</t>
        </is>
      </c>
      <c r="R5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No：048
指定KW：モニエル瓦 塗装
記事タイトル：モニエル瓦の塗装は難しい？特徴・注意点・業者選びを解説
【画像に入れたい文字】
メインコピー：
モニエル瓦 塗装
サブコピー：
雨漏り前に劣化を確認
補助コピー：
屋根点検・修理方法を解説
小見出し・チェック項目：
・屋根材の特徴
・注意点
・劣化症状
・対策
【背景・構図】
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
【画像の印象】
屋根の劣化や修理の必要性がひと目で伝わる画像にする。
専門性を感じさせつつ、地域で相談できる安心感も出す。</t>
        </is>
      </c>
    </row>
    <row r="51" ht="90" customHeight="1" s="24">
      <c r="A51" s="19" t="inlineStr">
        <is>
          <t>049</t>
        </is>
      </c>
      <c r="B51" s="20" t="inlineStr">
        <is>
          <t>屋根塗装しない方がいい屋根</t>
        </is>
      </c>
      <c r="C51" s="20" t="inlineStr">
        <is>
          <t>屋根塗装しない方がいい屋根とは？塗装できない屋根材と対策</t>
        </is>
      </c>
      <c r="D51" s="20" t="inlineStr">
        <is>
          <t>屋根修理・屋根材</t>
        </is>
      </c>
      <c r="E51" s="20" t="inlineStr">
        <is>
          <t>屋根材注意型</t>
        </is>
      </c>
      <c r="F51" s="19" t="inlineStr">
        <is>
          <t>eyecatches/049.png</t>
        </is>
      </c>
      <c r="G51" s="20" t="inlineStr">
        <is>
          <t>屋根塗装しない方がいい屋根</t>
        </is>
      </c>
      <c r="H51" s="20" t="inlineStr">
        <is>
          <t>雨漏り前に劣化を確認</t>
        </is>
      </c>
      <c r="I51" s="20" t="inlineStr">
        <is>
          <t>屋根点検・修理方法を解説</t>
        </is>
      </c>
      <c r="J51" s="20" t="inlineStr">
        <is>
          <t>・塗装NGの屋根材
・劣化症状
・正しい対策
・注意点</t>
        </is>
      </c>
      <c r="K51" s="20" t="inlineStr">
        <is>
          <t>屋根材・瓦・板金・雨空</t>
        </is>
      </c>
      <c r="L51" s="20" t="inlineStr">
        <is>
          <t>屋根を点検する職人</t>
        </is>
      </c>
      <c r="M51" s="20" t="inlineStr">
        <is>
          <t>松山市版</t>
        </is>
      </c>
      <c r="N51" s="20" t="inlineStr">
        <is>
          <t>屋根修理訴求</t>
        </is>
      </c>
      <c r="O51" s="20" t="inlineStr">
        <is>
          <t>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t>
        </is>
      </c>
      <c r="P51" s="20" t="inlineStr">
        <is>
          <t>屋根の劣化や修理の必要性がひと目で伝わる画像にする。
専門性を感じさせつつ、地域で相談できる安心感も出す。</t>
        </is>
      </c>
      <c r="Q51" s="20" t="inlineStr">
        <is>
          <t xml:space="preserve">【対象記事】
No：049
指定KW：屋根塗装しない方がいい屋根
記事タイトル：屋根塗装しない方がいい屋根とは？塗装できない屋根材と対策
【画像に入れたい文字】
メインコピー：
屋根塗装しない方がいい屋根
サブコピー：
雨漏り前に劣化を確認
補助コピー：
屋根点検・修理方法を解説
小見出し・チェック項目：
・塗装NGの屋根材
・劣化症状
・正しい対策
・注意点
【背景・構図】
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
【画像の印象】
屋根の劣化や修理の必要性がひと目で伝わる画像にする。
専門性を感じさせつつ、地域で相談できる安心感も出す。
</t>
        </is>
      </c>
      <c r="R5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No：049
指定KW：屋根塗装しない方がいい屋根
記事タイトル：屋根塗装しない方がいい屋根とは？塗装できない屋根材と対策
【画像に入れたい文字】
メインコピー：
屋根塗装しない方がいい屋根
サブコピー：
雨漏り前に劣化を確認
補助コピー：
屋根点検・修理方法を解説
小見出し・チェック項目：
・塗装NGの屋根材
・劣化症状
・正しい対策
・注意点
【背景・構図】
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
【画像の印象】
屋根の劣化や修理の必要性がひと目で伝わる画像にする。
専門性を感じさせつつ、地域で相談できる安心感も出す。</t>
        </is>
      </c>
    </row>
    <row r="52" ht="90" customHeight="1" s="24">
      <c r="A52" s="19" t="inlineStr">
        <is>
          <t>050</t>
        </is>
      </c>
      <c r="B52" s="20" t="inlineStr">
        <is>
          <t>外壁塗装と防水工事</t>
        </is>
      </c>
      <c r="C52" s="20" t="inlineStr">
        <is>
          <t>外壁塗装と防水工事は同時にできる？違い・費用・注意点</t>
        </is>
      </c>
      <c r="D52" s="20" t="inlineStr">
        <is>
          <t>防水・シーリング</t>
        </is>
      </c>
      <c r="E52" s="20" t="inlineStr">
        <is>
          <t>防水・シーリング型</t>
        </is>
      </c>
      <c r="F52" s="19" t="inlineStr">
        <is>
          <t>eyecatches/050.png</t>
        </is>
      </c>
      <c r="G52" s="20" t="inlineStr">
        <is>
          <t>外壁塗装と防水工事</t>
        </is>
      </c>
      <c r="H52" s="20" t="inlineStr">
        <is>
          <t>雨漏り前に防水状態をチェック</t>
        </is>
      </c>
      <c r="I52" s="20" t="inlineStr">
        <is>
          <t>費用・耐用年数を解説</t>
        </is>
      </c>
      <c r="J52" s="20" t="inlineStr">
        <is>
          <t>・劣化症状
・工法の違い
・費用相場
・メンテ時期</t>
        </is>
      </c>
      <c r="K52" s="20" t="inlineStr">
        <is>
          <t>ベランダ床・防水層・排水口</t>
        </is>
      </c>
      <c r="L52" s="20" t="inlineStr">
        <is>
          <t>点検する職人</t>
        </is>
      </c>
      <c r="M52" s="20" t="inlineStr">
        <is>
          <t>松山市版</t>
        </is>
      </c>
      <c r="N52" s="20" t="inlineStr">
        <is>
          <t>防水訴求</t>
        </is>
      </c>
      <c r="O52" s="20" t="inlineStr">
        <is>
          <t>ベランダ床、防水層、排水口が分かる背景にする。
点検する職人が、塗装が必要な部分を示しながら、工事のポイントを説明している。
塗装前後の違いや劣化症状が分かる要素を配置する。
「松山市版」の小さなラベルを入れる。</t>
        </is>
      </c>
      <c r="P52" s="20" t="inlineStr">
        <is>
          <t>外壁塗装の必要性や注意点が分かる、強めで分かりやすい画像にする。
塗り替え時期や工事のポイントを知りたい読者に向けた印象にする。</t>
        </is>
      </c>
      <c r="Q52" s="20" t="inlineStr">
        <is>
          <t xml:space="preserve">【対象記事】
No：050
指定KW：外壁塗装と防水工事
記事タイトル：外壁塗装と防水工事は同時にできる？違い・費用・注意点
【画像に入れたい文字】
メインコピー：
外壁塗装と防水工事
サブコピー：
雨漏り前に防水状態をチェック
補助コピー：
費用・耐用年数を解説
小見出し・チェック項目：
・劣化症状
・工法の違い
・費用相場
・メンテ時期
【背景・構図】
ベランダ床、防水層、排水口が分かる背景にする。
点検する職人が、塗装が必要な部分を示しながら、工事のポイントを説明している。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5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No：050
指定KW：外壁塗装と防水工事
記事タイトル：外壁塗装と防水工事は同時にできる？違い・費用・注意点
【画像に入れたい文字】
メインコピー：
外壁塗装と防水工事
サブコピー：
雨漏り前に防水状態をチェック
補助コピー：
費用・耐用年数を解説
小見出し・チェック項目：
・劣化症状
・工法の違い
・費用相場
・メンテ時期
【背景・構図】
ベランダ床、防水層、排水口が分かる背景にする。
点検する職人が、塗装が必要な部分を示しながら、工事のポイントを説明している。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53" ht="90" customHeight="1" s="24">
      <c r="A53" s="19" t="inlineStr">
        <is>
          <t>051</t>
        </is>
      </c>
      <c r="B53" s="20" t="inlineStr">
        <is>
          <t>外壁塗装と屋根カバー</t>
        </is>
      </c>
      <c r="C53" s="20" t="inlineStr">
        <is>
          <t>屋根カバー工法のメリットとは？費用・注意点・向いている屋根</t>
        </is>
      </c>
      <c r="D53" s="20" t="inlineStr">
        <is>
          <t>屋根修理・屋根材</t>
        </is>
      </c>
      <c r="E53" s="20" t="inlineStr">
        <is>
          <t>地域サービス型</t>
        </is>
      </c>
      <c r="F53" s="19" t="inlineStr">
        <is>
          <t>eyecatches/051.png</t>
        </is>
      </c>
      <c r="G53" s="20" t="inlineStr">
        <is>
          <t>外壁塗装と屋根カバー</t>
        </is>
      </c>
      <c r="H53" s="20" t="inlineStr">
        <is>
          <t>雨漏り前に劣化を確認</t>
        </is>
      </c>
      <c r="I53" s="20" t="inlineStr">
        <is>
          <t>屋根点検・修理方法を解説</t>
        </is>
      </c>
      <c r="J53" s="20" t="inlineStr">
        <is>
          <t>・劣化症状
・修理方法
・費用相場
・放置リスク</t>
        </is>
      </c>
      <c r="K53" s="20" t="inlineStr">
        <is>
          <t>屋根材・瓦・板金・雨空</t>
        </is>
      </c>
      <c r="L53" s="20" t="inlineStr">
        <is>
          <t>屋根を点検する職人</t>
        </is>
      </c>
      <c r="M53" s="20" t="inlineStr">
        <is>
          <t>松山市版</t>
        </is>
      </c>
      <c r="N53" s="20" t="inlineStr">
        <is>
          <t>屋根修理訴求</t>
        </is>
      </c>
      <c r="O53" s="20" t="inlineStr">
        <is>
          <t>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t>
        </is>
      </c>
      <c r="P53" s="20" t="inlineStr">
        <is>
          <t>屋根の劣化や修理の必要性がひと目で伝わる画像にする。
専門性を感じさせつつ、地域で相談できる安心感も出す。</t>
        </is>
      </c>
      <c r="Q53" s="20" t="inlineStr">
        <is>
          <t xml:space="preserve">【対象記事】
No：051
指定KW：外壁塗装と屋根カバー
記事タイトル：屋根カバー工法のメリットとは？費用・注意点・向いている屋根
【画像に入れたい文字】
メインコピー：
外壁塗装と屋根カバー
サブコピー：
雨漏り前に劣化を確認
補助コピー：
屋根点検・修理方法を解説
小見出し・チェック項目：
・劣化症状
・修理方法
・費用相場
・放置リスク
【背景・構図】
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
【画像の印象】
屋根の劣化や修理の必要性がひと目で伝わる画像にする。
専門性を感じさせつつ、地域で相談できる安心感も出す。
</t>
        </is>
      </c>
      <c r="R5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No：051
指定KW：外壁塗装と屋根カバー
記事タイトル：屋根カバー工法のメリットとは？費用・注意点・向いている屋根
【画像に入れたい文字】
メインコピー：
外壁塗装と屋根カバー
サブコピー：
雨漏り前に劣化を確認
補助コピー：
屋根点検・修理方法を解説
小見出し・チェック項目：
・劣化症状
・修理方法
・費用相場
・放置リスク
【背景・構図】
屋根材、瓦、板金、雨空が分かる背景にする。
屋根を点検する職人が、塗装が必要な部分を示しながら、工事のポイントを説明している。
塗装前後の違いや劣化症状が分かる要素を配置する。
「松山市版」の小さなラベルを入れる。
【画像の印象】
屋根の劣化や修理の必要性がひと目で伝わる画像にする。
専門性を感じさせつつ、地域で相談できる安心感も出す。</t>
        </is>
      </c>
    </row>
    <row r="54" ht="90" customHeight="1" s="24">
      <c r="A54" s="19" t="inlineStr">
        <is>
          <t>052</t>
        </is>
      </c>
      <c r="B54" s="20" t="inlineStr">
        <is>
          <t>外壁塗装 雨の日</t>
        </is>
      </c>
      <c r="C54" s="20" t="inlineStr">
        <is>
          <t>外壁塗装は雨の日にできる？季節ごとの注意点を解説</t>
        </is>
      </c>
      <c r="D54" s="20" t="inlineStr">
        <is>
          <t>外壁塗装</t>
        </is>
      </c>
      <c r="E54" s="20" t="inlineStr">
        <is>
          <t>季節・時期型</t>
        </is>
      </c>
      <c r="F54" s="19" t="inlineStr">
        <is>
          <t>eyecatches/052.png</t>
        </is>
      </c>
      <c r="G54" s="20" t="inlineStr">
        <is>
          <t>外壁塗装 雨の日</t>
        </is>
      </c>
      <c r="H54" s="20" t="inlineStr">
        <is>
          <t>放置リスクと判断基準を解説</t>
        </is>
      </c>
      <c r="I54" s="20" t="inlineStr">
        <is>
          <t>無料診断で状態確認</t>
        </is>
      </c>
      <c r="J54" s="20" t="inlineStr">
        <is>
          <t>・施工できる？
・注意点
・メリット
・工期への影響</t>
        </is>
      </c>
      <c r="K54" s="20" t="inlineStr">
        <is>
          <t>外壁ひび割れ・チョーキング・住宅外観</t>
        </is>
      </c>
      <c r="L54" s="20" t="inlineStr">
        <is>
          <t>職人＋困った住人</t>
        </is>
      </c>
      <c r="M54" s="20" t="inlineStr">
        <is>
          <t>松山市版</t>
        </is>
      </c>
      <c r="N54" s="20" t="inlineStr">
        <is>
          <t>外壁塗装訴求</t>
        </is>
      </c>
      <c r="O54"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54" s="20" t="inlineStr">
        <is>
          <t>外壁塗装の必要性や注意点が分かる、強めで分かりやすい画像にする。
塗り替え時期や工事のポイントを知りたい読者に向けた印象にする。</t>
        </is>
      </c>
      <c r="Q54" s="20" t="inlineStr">
        <is>
          <t xml:space="preserve">【対象記事】
No：052
指定KW：外壁塗装 雨の日
記事タイトル：外壁塗装は雨の日にできる？季節ごとの注意点を解説
【画像に入れたい文字】
メインコピー：
外壁塗装 雨の日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5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No：052
指定KW：外壁塗装 雨の日
記事タイトル：外壁塗装は雨の日にできる？季節ごとの注意点を解説
【画像に入れたい文字】
メインコピー：
外壁塗装 雨の日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55" ht="90" customHeight="1" s="24">
      <c r="A55" s="19" t="inlineStr">
        <is>
          <t>053</t>
        </is>
      </c>
      <c r="B55" s="20" t="inlineStr">
        <is>
          <t>外壁塗装 梅雨</t>
        </is>
      </c>
      <c r="C55" s="20" t="inlineStr">
        <is>
          <t>外壁塗装は梅雨にできる？季節ごとの注意点を解説</t>
        </is>
      </c>
      <c r="D55" s="20" t="inlineStr">
        <is>
          <t>外壁塗装</t>
        </is>
      </c>
      <c r="E55" s="20" t="inlineStr">
        <is>
          <t>季節・時期型</t>
        </is>
      </c>
      <c r="F55" s="19" t="inlineStr">
        <is>
          <t>eyecatches/053.png</t>
        </is>
      </c>
      <c r="G55" s="20" t="inlineStr">
        <is>
          <t>外壁塗装 梅雨</t>
        </is>
      </c>
      <c r="H55" s="20" t="inlineStr">
        <is>
          <t>放置リスクと判断基準を解説</t>
        </is>
      </c>
      <c r="I55" s="20" t="inlineStr">
        <is>
          <t>無料診断で状態確認</t>
        </is>
      </c>
      <c r="J55" s="20" t="inlineStr">
        <is>
          <t>・施工できる？
・注意点
・メリット
・工期への影響</t>
        </is>
      </c>
      <c r="K55" s="20" t="inlineStr">
        <is>
          <t>外壁ひび割れ・チョーキング・住宅外観</t>
        </is>
      </c>
      <c r="L55" s="20" t="inlineStr">
        <is>
          <t>職人＋困った住人</t>
        </is>
      </c>
      <c r="M55" s="20" t="inlineStr">
        <is>
          <t>松山市版</t>
        </is>
      </c>
      <c r="N55" s="20" t="inlineStr">
        <is>
          <t>外壁塗装訴求</t>
        </is>
      </c>
      <c r="O55"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55" s="20" t="inlineStr">
        <is>
          <t>外壁塗装の必要性や注意点が分かる、強めで分かりやすい画像にする。
塗り替え時期や工事のポイントを知りたい読者に向けた印象にする。</t>
        </is>
      </c>
      <c r="Q55" s="20" t="inlineStr">
        <is>
          <t xml:space="preserve">【対象記事】
No：053
指定KW：外壁塗装 梅雨
記事タイトル：外壁塗装は梅雨にできる？季節ごとの注意点を解説
【画像に入れたい文字】
メインコピー：
外壁塗装 梅雨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5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No：053
指定KW：外壁塗装 梅雨
記事タイトル：外壁塗装は梅雨にできる？季節ごとの注意点を解説
【画像に入れたい文字】
メインコピー：
外壁塗装 梅雨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56" ht="90" customHeight="1" s="24">
      <c r="A56" s="19" t="inlineStr">
        <is>
          <t>054</t>
        </is>
      </c>
      <c r="B56" s="20" t="inlineStr">
        <is>
          <t>外壁塗装 台風前</t>
        </is>
      </c>
      <c r="C56" s="20" t="inlineStr">
        <is>
          <t>外壁塗装は台風前にできる？季節ごとの注意点を解説</t>
        </is>
      </c>
      <c r="D56" s="20" t="inlineStr">
        <is>
          <t>外壁塗装</t>
        </is>
      </c>
      <c r="E56" s="20" t="inlineStr">
        <is>
          <t>季節・時期型</t>
        </is>
      </c>
      <c r="F56" s="19" t="inlineStr">
        <is>
          <t>eyecatches/054.png</t>
        </is>
      </c>
      <c r="G56" s="20" t="inlineStr">
        <is>
          <t>外壁塗装 台風前</t>
        </is>
      </c>
      <c r="H56" s="20" t="inlineStr">
        <is>
          <t>放置リスクと判断基準を解説</t>
        </is>
      </c>
      <c r="I56" s="20" t="inlineStr">
        <is>
          <t>無料診断で状態確認</t>
        </is>
      </c>
      <c r="J56" s="20" t="inlineStr">
        <is>
          <t>・施工できる？
・注意点
・メリット
・工期への影響</t>
        </is>
      </c>
      <c r="K56" s="20" t="inlineStr">
        <is>
          <t>外壁ひび割れ・チョーキング・住宅外観</t>
        </is>
      </c>
      <c r="L56" s="20" t="inlineStr">
        <is>
          <t>職人＋困った住人</t>
        </is>
      </c>
      <c r="M56" s="20" t="inlineStr">
        <is>
          <t>松山市版</t>
        </is>
      </c>
      <c r="N56" s="20" t="inlineStr">
        <is>
          <t>外壁塗装訴求</t>
        </is>
      </c>
      <c r="O56"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56" s="20" t="inlineStr">
        <is>
          <t>外壁塗装の必要性や注意点が分かる、強めで分かりやすい画像にする。
塗り替え時期や工事のポイントを知りたい読者に向けた印象にする。</t>
        </is>
      </c>
      <c r="Q56" s="20" t="inlineStr">
        <is>
          <t xml:space="preserve">【対象記事】
No：054
指定KW：外壁塗装 台風前
記事タイトル：外壁塗装は台風前にできる？季節ごとの注意点を解説
【画像に入れたい文字】
メインコピー：
外壁塗装 台風前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5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No：054
指定KW：外壁塗装 台風前
記事タイトル：外壁塗装は台風前にできる？季節ごとの注意点を解説
【画像に入れたい文字】
メインコピー：
外壁塗装 台風前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57" ht="90" customHeight="1" s="24">
      <c r="A57" s="19" t="inlineStr">
        <is>
          <t>055</t>
        </is>
      </c>
      <c r="B57" s="20" t="inlineStr">
        <is>
          <t>外壁塗装 冬</t>
        </is>
      </c>
      <c r="C57" s="20" t="inlineStr">
        <is>
          <t>外壁塗装は冬にできる？季節ごとの注意点を解説</t>
        </is>
      </c>
      <c r="D57" s="20" t="inlineStr">
        <is>
          <t>外壁塗装</t>
        </is>
      </c>
      <c r="E57" s="20" t="inlineStr">
        <is>
          <t>季節・時期型</t>
        </is>
      </c>
      <c r="F57" s="19" t="inlineStr">
        <is>
          <t>eyecatches/055.png</t>
        </is>
      </c>
      <c r="G57" s="20" t="inlineStr">
        <is>
          <t>外壁塗装 冬</t>
        </is>
      </c>
      <c r="H57" s="20" t="inlineStr">
        <is>
          <t>放置リスクと判断基準を解説</t>
        </is>
      </c>
      <c r="I57" s="20" t="inlineStr">
        <is>
          <t>無料診断で状態確認</t>
        </is>
      </c>
      <c r="J57" s="20" t="inlineStr">
        <is>
          <t>・施工できる？
・注意点
・メリット
・工期への影響</t>
        </is>
      </c>
      <c r="K57" s="20" t="inlineStr">
        <is>
          <t>外壁ひび割れ・チョーキング・住宅外観</t>
        </is>
      </c>
      <c r="L57" s="20" t="inlineStr">
        <is>
          <t>職人＋困った住人</t>
        </is>
      </c>
      <c r="M57" s="20" t="inlineStr">
        <is>
          <t>松山市版</t>
        </is>
      </c>
      <c r="N57" s="20" t="inlineStr">
        <is>
          <t>外壁塗装訴求</t>
        </is>
      </c>
      <c r="O57"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57" s="20" t="inlineStr">
        <is>
          <t>外壁塗装の必要性や注意点が分かる、強めで分かりやすい画像にする。
塗り替え時期や工事のポイントを知りたい読者に向けた印象にする。</t>
        </is>
      </c>
      <c r="Q57" s="20" t="inlineStr">
        <is>
          <t xml:space="preserve">【対象記事】
No：055
指定KW：外壁塗装 冬
記事タイトル：外壁塗装は冬にできる？季節ごとの注意点を解説
【画像に入れたい文字】
メインコピー：
外壁塗装 冬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5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No：055
指定KW：外壁塗装 冬
記事タイトル：外壁塗装は冬にできる？季節ごとの注意点を解説
【画像に入れたい文字】
メインコピー：
外壁塗装 冬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58" ht="90" customHeight="1" s="24">
      <c r="A58" s="19" t="inlineStr">
        <is>
          <t>056</t>
        </is>
      </c>
      <c r="B58" s="20" t="inlineStr">
        <is>
          <t>外壁塗装 夏</t>
        </is>
      </c>
      <c r="C58" s="20" t="inlineStr">
        <is>
          <t>外壁塗装は夏にできる？季節ごとの注意点を解説</t>
        </is>
      </c>
      <c r="D58" s="20" t="inlineStr">
        <is>
          <t>外壁塗装</t>
        </is>
      </c>
      <c r="E58" s="20" t="inlineStr">
        <is>
          <t>季節・時期型</t>
        </is>
      </c>
      <c r="F58" s="19" t="inlineStr">
        <is>
          <t>eyecatches/056.png</t>
        </is>
      </c>
      <c r="G58" s="20" t="inlineStr">
        <is>
          <t>外壁塗装 夏</t>
        </is>
      </c>
      <c r="H58" s="20" t="inlineStr">
        <is>
          <t>放置リスクと判断基準を解説</t>
        </is>
      </c>
      <c r="I58" s="20" t="inlineStr">
        <is>
          <t>無料診断で状態確認</t>
        </is>
      </c>
      <c r="J58" s="20" t="inlineStr">
        <is>
          <t>・施工できる？
・注意点
・メリット
・工期への影響</t>
        </is>
      </c>
      <c r="K58" s="20" t="inlineStr">
        <is>
          <t>外壁ひび割れ・チョーキング・住宅外観</t>
        </is>
      </c>
      <c r="L58" s="20" t="inlineStr">
        <is>
          <t>職人＋困った住人</t>
        </is>
      </c>
      <c r="M58" s="20" t="inlineStr">
        <is>
          <t>松山市版</t>
        </is>
      </c>
      <c r="N58" s="20" t="inlineStr">
        <is>
          <t>外壁塗装訴求</t>
        </is>
      </c>
      <c r="O58"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58" s="20" t="inlineStr">
        <is>
          <t>外壁塗装の必要性や注意点が分かる、強めで分かりやすい画像にする。
塗り替え時期や工事のポイントを知りたい読者に向けた印象にする。</t>
        </is>
      </c>
      <c r="Q58" s="20" t="inlineStr">
        <is>
          <t xml:space="preserve">【対象記事】
No：056
指定KW：外壁塗装 夏
記事タイトル：外壁塗装は夏にできる？季節ごとの注意点を解説
【画像に入れたい文字】
メインコピー：
外壁塗装 夏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5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No：056
指定KW：外壁塗装 夏
記事タイトル：外壁塗装は夏にできる？季節ごとの注意点を解説
【画像に入れたい文字】
メインコピー：
外壁塗装 夏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59" ht="90" customHeight="1" s="24">
      <c r="A59" s="19" t="inlineStr">
        <is>
          <t>057</t>
        </is>
      </c>
      <c r="B59" s="20" t="inlineStr">
        <is>
          <t>外壁塗装 春</t>
        </is>
      </c>
      <c r="C59" s="20" t="inlineStr">
        <is>
          <t>外壁塗装は春にできる？季節ごとの注意点を解説</t>
        </is>
      </c>
      <c r="D59" s="20" t="inlineStr">
        <is>
          <t>外壁塗装</t>
        </is>
      </c>
      <c r="E59" s="20" t="inlineStr">
        <is>
          <t>季節・時期型</t>
        </is>
      </c>
      <c r="F59" s="19" t="inlineStr">
        <is>
          <t>eyecatches/057.png</t>
        </is>
      </c>
      <c r="G59" s="20" t="inlineStr">
        <is>
          <t>外壁塗装 春</t>
        </is>
      </c>
      <c r="H59" s="20" t="inlineStr">
        <is>
          <t>放置リスクと判断基準を解説</t>
        </is>
      </c>
      <c r="I59" s="20" t="inlineStr">
        <is>
          <t>無料診断で状態確認</t>
        </is>
      </c>
      <c r="J59" s="20" t="inlineStr">
        <is>
          <t>・施工できる？
・注意点
・メリット
・工期への影響</t>
        </is>
      </c>
      <c r="K59" s="20" t="inlineStr">
        <is>
          <t>外壁ひび割れ・チョーキング・住宅外観</t>
        </is>
      </c>
      <c r="L59" s="20" t="inlineStr">
        <is>
          <t>職人＋困った住人</t>
        </is>
      </c>
      <c r="M59" s="20" t="inlineStr">
        <is>
          <t>松山市版</t>
        </is>
      </c>
      <c r="N59" s="20" t="inlineStr">
        <is>
          <t>外壁塗装訴求</t>
        </is>
      </c>
      <c r="O59"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59" s="20" t="inlineStr">
        <is>
          <t>外壁塗装の必要性や注意点が分かる、強めで分かりやすい画像にする。
塗り替え時期や工事のポイントを知りたい読者に向けた印象にする。</t>
        </is>
      </c>
      <c r="Q59" s="20" t="inlineStr">
        <is>
          <t xml:space="preserve">【対象記事】
No：057
指定KW：外壁塗装 春
記事タイトル：外壁塗装は春にできる？季節ごとの注意点を解説
【画像に入れたい文字】
メインコピー：
外壁塗装 春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5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No：057
指定KW：外壁塗装 春
記事タイトル：外壁塗装は春にできる？季節ごとの注意点を解説
【画像に入れたい文字】
メインコピー：
外壁塗装 春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60" ht="90" customHeight="1" s="24">
      <c r="A60" s="19" t="inlineStr">
        <is>
          <t>058</t>
        </is>
      </c>
      <c r="B60" s="20" t="inlineStr">
        <is>
          <t>外壁塗装 秋</t>
        </is>
      </c>
      <c r="C60" s="20" t="inlineStr">
        <is>
          <t>外壁塗装は秋にできる？季節ごとの注意点を解説</t>
        </is>
      </c>
      <c r="D60" s="20" t="inlineStr">
        <is>
          <t>外壁塗装</t>
        </is>
      </c>
      <c r="E60" s="20" t="inlineStr">
        <is>
          <t>季節・時期型</t>
        </is>
      </c>
      <c r="F60" s="19" t="inlineStr">
        <is>
          <t>eyecatches/058.png</t>
        </is>
      </c>
      <c r="G60" s="20" t="inlineStr">
        <is>
          <t>外壁塗装 秋</t>
        </is>
      </c>
      <c r="H60" s="20" t="inlineStr">
        <is>
          <t>放置リスクと判断基準を解説</t>
        </is>
      </c>
      <c r="I60" s="20" t="inlineStr">
        <is>
          <t>無料診断で状態確認</t>
        </is>
      </c>
      <c r="J60" s="20" t="inlineStr">
        <is>
          <t>・施工できる？
・注意点
・メリット
・工期への影響</t>
        </is>
      </c>
      <c r="K60" s="20" t="inlineStr">
        <is>
          <t>外壁ひび割れ・チョーキング・住宅外観</t>
        </is>
      </c>
      <c r="L60" s="20" t="inlineStr">
        <is>
          <t>職人＋困った住人</t>
        </is>
      </c>
      <c r="M60" s="20" t="inlineStr">
        <is>
          <t>松山市版</t>
        </is>
      </c>
      <c r="N60" s="20" t="inlineStr">
        <is>
          <t>外壁塗装訴求</t>
        </is>
      </c>
      <c r="O60"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60" s="20" t="inlineStr">
        <is>
          <t>外壁塗装の必要性や注意点が分かる、強めで分かりやすい画像にする。
塗り替え時期や工事のポイントを知りたい読者に向けた印象にする。</t>
        </is>
      </c>
      <c r="Q60" s="20" t="inlineStr">
        <is>
          <t xml:space="preserve">【対象記事】
No：058
指定KW：外壁塗装 秋
記事タイトル：外壁塗装は秋にできる？季節ごとの注意点を解説
【画像に入れたい文字】
メインコピー：
外壁塗装 秋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6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No：058
指定KW：外壁塗装 秋
記事タイトル：外壁塗装は秋にできる？季節ごとの注意点を解説
【画像に入れたい文字】
メインコピー：
外壁塗装 秋
サブコピー：
放置リスクと判断基準を解説
補助コピー：
無料診断で状態確認
小見出し・チェック項目：
・施工できる？
・注意点
・メリット
・工期への影響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61" ht="90" customHeight="1" s="24">
      <c r="A61" s="19" t="inlineStr">
        <is>
          <t>059</t>
        </is>
      </c>
      <c r="B61" s="20" t="inlineStr">
        <is>
          <t>外壁塗装 工期</t>
        </is>
      </c>
      <c r="C61" s="20" t="inlineStr">
        <is>
          <t>外壁塗装の工期はどれくらい？工程・日数・遅れる原因を解説</t>
        </is>
      </c>
      <c r="D61" s="20" t="inlineStr">
        <is>
          <t>外壁塗装</t>
        </is>
      </c>
      <c r="E61" s="20" t="inlineStr">
        <is>
          <t>季節・時期型</t>
        </is>
      </c>
      <c r="F61" s="19" t="inlineStr">
        <is>
          <t>eyecatches/059.png</t>
        </is>
      </c>
      <c r="G61" s="20" t="inlineStr">
        <is>
          <t>外壁塗装 工期</t>
        </is>
      </c>
      <c r="H61" s="20" t="inlineStr">
        <is>
          <t>放置リスクと判断基準を解説</t>
        </is>
      </c>
      <c r="I61" s="20" t="inlineStr">
        <is>
          <t>無料診断で状態確認</t>
        </is>
      </c>
      <c r="J61" s="20" t="inlineStr">
        <is>
          <t>・工程の流れ
・日数の目安
・遅れる要因
・事前準備</t>
        </is>
      </c>
      <c r="K61" s="20" t="inlineStr">
        <is>
          <t>外壁ひび割れ・チョーキング・住宅外観</t>
        </is>
      </c>
      <c r="L61" s="20" t="inlineStr">
        <is>
          <t>職人＋困った住人</t>
        </is>
      </c>
      <c r="M61" s="20" t="inlineStr">
        <is>
          <t>松山市版</t>
        </is>
      </c>
      <c r="N61" s="20" t="inlineStr">
        <is>
          <t>外壁塗装訴求</t>
        </is>
      </c>
      <c r="O61"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61" s="20" t="inlineStr">
        <is>
          <t>外壁塗装の必要性や注意点が分かる、強めで分かりやすい画像にする。
塗り替え時期や工事のポイントを知りたい読者に向けた印象にする。</t>
        </is>
      </c>
      <c r="Q61" s="20" t="inlineStr">
        <is>
          <t xml:space="preserve">【対象記事】
No：059
指定KW：外壁塗装 工期
記事タイトル：外壁塗装の工期はどれくらい？工程・日数・遅れる原因を解説
【画像に入れたい文字】
メインコピー：
外壁塗装 工期
サブコピー：
放置リスクと判断基準を解説
補助コピー：
無料診断で状態確認
小見出し・チェック項目：
・工程の流れ
・日数の目安
・遅れる要因
・事前準備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6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No：059
指定KW：外壁塗装 工期
記事タイトル：外壁塗装の工期はどれくらい？工程・日数・遅れる原因を解説
【画像に入れたい文字】
メインコピー：
外壁塗装 工期
サブコピー：
放置リスクと判断基準を解説
補助コピー：
無料診断で状態確認
小見出し・チェック項目：
・工程の流れ
・日数の目安
・遅れる要因
・事前準備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62" ht="90" customHeight="1" s="24">
      <c r="A62" s="19" t="inlineStr">
        <is>
          <t>060</t>
        </is>
      </c>
      <c r="B62" s="20" t="inlineStr">
        <is>
          <t>外壁塗装 足場代</t>
        </is>
      </c>
      <c r="C62" s="20" t="inlineStr">
        <is>
          <t>外壁塗装の足場代はいくら？費用相場と節約の考え方</t>
        </is>
      </c>
      <c r="D62" s="20" t="inlineStr">
        <is>
          <t>外壁塗装</t>
        </is>
      </c>
      <c r="E62" s="20" t="inlineStr">
        <is>
          <t>費用・相場型</t>
        </is>
      </c>
      <c r="F62" s="19" t="inlineStr">
        <is>
          <t>eyecatches/060.png</t>
        </is>
      </c>
      <c r="G62" s="20" t="inlineStr">
        <is>
          <t>外壁塗装 足場代</t>
        </is>
      </c>
      <c r="H62" s="20" t="inlineStr">
        <is>
          <t>放置リスクと判断基準を解説</t>
        </is>
      </c>
      <c r="I62" s="20" t="inlineStr">
        <is>
          <t>無料診断で状態確認</t>
        </is>
      </c>
      <c r="J62" s="20" t="inlineStr">
        <is>
          <t>・工事内容
・メリット
・注意点
・選び方</t>
        </is>
      </c>
      <c r="K62" s="20" t="inlineStr">
        <is>
          <t>外壁ひび割れ・チョーキング・住宅外観</t>
        </is>
      </c>
      <c r="L62" s="20" t="inlineStr">
        <is>
          <t>職人＋困った住人</t>
        </is>
      </c>
      <c r="M62" s="20" t="inlineStr">
        <is>
          <t>松山市版</t>
        </is>
      </c>
      <c r="N62" s="20" t="inlineStr">
        <is>
          <t>外壁塗装訴求</t>
        </is>
      </c>
      <c r="O62" s="20" t="inlineStr">
        <is>
          <t>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t>
        </is>
      </c>
      <c r="P62" s="20" t="inlineStr">
        <is>
          <t>外壁塗装の必要性や注意点が分かる、強めで分かりやすい画像にする。
塗り替え時期や工事のポイントを知りたい読者に向けた印象にする。</t>
        </is>
      </c>
      <c r="Q62" s="20" t="inlineStr">
        <is>
          <t xml:space="preserve">【対象記事】
No：060
指定KW：外壁塗装 足場代
記事タイトル：外壁塗装の足場代はいくら？費用相場と節約の考え方
【画像に入れたい文字】
メインコピー：
外壁塗装 足場代
サブコピー：
放置リスクと判断基準を解説
補助コピー：
無料診断で状態確認
小見出し・チェック項目：
・工事内容
・メリット
・注意点
・選び方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
</t>
        </is>
      </c>
      <c r="R6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No：060
指定KW：外壁塗装 足場代
記事タイトル：外壁塗装の足場代はいくら？費用相場と節約の考え方
【画像に入れたい文字】
メインコピー：
外壁塗装 足場代
サブコピー：
放置リスクと判断基準を解説
補助コピー：
無料診断で状態確認
小見出し・チェック項目：
・工事内容
・メリット
・注意点
・選び方
【背景・構図】
外壁ひび割れ、チョーキング、住宅外観が分かる背景にする。
職人＋困った住人が、塗装が必要な部分を示しながら、工事のポイントを説明している。
塗装前後の違いや劣化症状が分かる要素を配置する。
「松山市版」の小さなラベルを入れる。
【画像の印象】
外壁塗装の必要性や注意点が分かる、強めで分かりやすい画像にする。
塗り替え時期や工事のポイントを知りたい読者に向けた印象にする。</t>
        </is>
      </c>
    </row>
    <row r="63" ht="90" customHeight="1" s="24">
      <c r="A63" s="19" t="inlineStr">
        <is>
          <t>061</t>
        </is>
      </c>
      <c r="B63" s="20" t="inlineStr">
        <is>
          <t>樋 塗装 松山市</t>
        </is>
      </c>
      <c r="C63" s="20" t="inlineStr">
        <is>
          <t>松山市の雨樋塗装は必要？費用・劣化症状・塗り替え時期を解説</t>
        </is>
      </c>
      <c r="D63" s="20" t="inlineStr">
        <is>
          <t>付帯部</t>
        </is>
      </c>
      <c r="E63" s="20" t="inlineStr">
        <is>
          <t>付帯部型</t>
        </is>
      </c>
      <c r="F63" s="19" t="inlineStr">
        <is>
          <t>eyecatches/061.png</t>
        </is>
      </c>
      <c r="G63" s="20" t="inlineStr">
        <is>
          <t>樋 塗装 松山市</t>
        </is>
      </c>
      <c r="H63" s="20" t="inlineStr">
        <is>
          <t>割れ・外れ・劣化を放置NG</t>
        </is>
      </c>
      <c r="I63" s="20" t="inlineStr">
        <is>
          <t>交換と塗装の判断ポイント</t>
        </is>
      </c>
      <c r="J63" s="20" t="inlineStr">
        <is>
          <t>・劣化症状
・塗装・修理方法
・費用相場
・放置リスク</t>
        </is>
      </c>
      <c r="K63" s="20" t="inlineStr">
        <is>
          <t>雨樋の割れ・外れ・雨水</t>
        </is>
      </c>
      <c r="L63" s="20" t="inlineStr">
        <is>
          <t>点検する職人</t>
        </is>
      </c>
      <c r="M63" s="20" t="inlineStr">
        <is>
          <t>松山市版</t>
        </is>
      </c>
      <c r="N63" s="20" t="inlineStr">
        <is>
          <t>付帯部訴求</t>
        </is>
      </c>
      <c r="O63" s="20" t="inlineStr">
        <is>
          <t>雨樋の割れ、外れ、雨水が分かる背景にする。
点検する職人が、塗装が必要な部分を示しながら、工事のポイントを説明している。
塗装前後の違いや劣化症状が分かる要素を配置する。
「松山市版」の小さなラベルを入れる。</t>
        </is>
      </c>
      <c r="P63" s="20" t="inlineStr">
        <is>
          <t>部位ごとの劣化症状やメンテナンスの必要性が直感的に伝わる画像にする。
小さな部位でも放置しない大切さが分かる印象にする。</t>
        </is>
      </c>
      <c r="Q63" s="20" t="inlineStr">
        <is>
          <t xml:space="preserve">【対象記事】
No：061
指定KW：樋 塗装 松山市
記事タイトル：松山市の雨樋塗装は必要？費用・劣化症状・塗り替え時期を解説
【画像に入れたい文字】
メインコピー：
樋 塗装 松山市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点検する職人が、塗装が必要な部分を示しながら、工事のポイントを説明している。
塗装前後の違いや劣化症状が分かる要素を配置する。
「松山市版」の小さなラベルを入れる。
【画像の印象】
部位ごとの劣化症状やメンテナンスの必要性が直感的に伝わる画像にする。
小さな部位でも放置しない大切さが分かる印象にする。
</t>
        </is>
      </c>
      <c r="R6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No：061
指定KW：樋 塗装 松山市
記事タイトル：松山市の雨樋塗装は必要？費用・劣化症状・塗り替え時期を解説
【画像に入れたい文字】
メインコピー：
樋 塗装 松山市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点検する職人が、塗装が必要な部分を示しながら、工事のポイントを説明している。
塗装前後の違いや劣化症状が分かる要素を配置する。
「松山市版」の小さなラベルを入れる。
【画像の印象】
部位ごとの劣化症状やメンテナンスの必要性が直感的に伝わる画像にする。
小さな部位でも放置しない大切さが分かる印象にする。</t>
        </is>
      </c>
    </row>
    <row r="64" ht="90" customHeight="1" s="24">
      <c r="A64" s="19" t="inlineStr">
        <is>
          <t>062</t>
        </is>
      </c>
      <c r="B64" s="20" t="inlineStr">
        <is>
          <t>雨樋 交換 松山市</t>
        </is>
      </c>
      <c r="C64" s="20" t="inlineStr">
        <is>
          <t>松山市の雨樋交換はいつ必要？費用・修理との違いを解説</t>
        </is>
      </c>
      <c r="D64" s="20" t="inlineStr">
        <is>
          <t>付帯部</t>
        </is>
      </c>
      <c r="E64" s="20" t="inlineStr">
        <is>
          <t>付帯部型</t>
        </is>
      </c>
      <c r="F64" s="19" t="inlineStr">
        <is>
          <t>eyecatches/062.png</t>
        </is>
      </c>
      <c r="G64" s="20" t="inlineStr">
        <is>
          <t>雨樋 交換 松山市</t>
        </is>
      </c>
      <c r="H64" s="20" t="inlineStr">
        <is>
          <t>割れ・外れ・劣化を放置NG</t>
        </is>
      </c>
      <c r="I64" s="20" t="inlineStr">
        <is>
          <t>交換と塗装の判断ポイント</t>
        </is>
      </c>
      <c r="J64" s="20" t="inlineStr">
        <is>
          <t>・劣化症状
・塗装・修理方法
・費用相場
・放置リスク</t>
        </is>
      </c>
      <c r="K64" s="20" t="inlineStr">
        <is>
          <t>雨樋の割れ・外れ・雨水</t>
        </is>
      </c>
      <c r="L64" s="20" t="inlineStr">
        <is>
          <t>点検する職人</t>
        </is>
      </c>
      <c r="M64" s="20" t="inlineStr">
        <is>
          <t>松山市版</t>
        </is>
      </c>
      <c r="N64" s="20" t="inlineStr">
        <is>
          <t>付帯部訴求</t>
        </is>
      </c>
      <c r="O64" s="20" t="inlineStr">
        <is>
          <t>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t>
        </is>
      </c>
      <c r="P64" s="20" t="inlineStr">
        <is>
          <t>部位ごとの劣化症状やメンテナンスの必要性が直感的に伝わる画像にする。
小さな部位でも放置しない大切さが分かる印象にする。</t>
        </is>
      </c>
      <c r="Q64" s="20" t="inlineStr">
        <is>
          <t xml:space="preserve">【対象記事】
No：062
指定KW：雨樋 交換 松山市
記事タイトル：松山市の雨樋交換はいつ必要？費用・修理との違いを解説
【画像に入れたい文字】
メインコピー：
雨樋 交換 松山市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6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No：062
指定KW：雨樋 交換 松山市
記事タイトル：松山市の雨樋交換はいつ必要？費用・修理との違いを解説
【画像に入れたい文字】
メインコピー：
雨樋 交換 松山市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65" ht="90" customHeight="1" s="24">
      <c r="A65" s="19" t="inlineStr">
        <is>
          <t>063</t>
        </is>
      </c>
      <c r="B65" s="20" t="inlineStr">
        <is>
          <t>雨樋 色あせ</t>
        </is>
      </c>
      <c r="C65" s="20" t="inlineStr">
        <is>
          <t>雨樋の色あせは塗装すべき？劣化サインとメンテナンス方法</t>
        </is>
      </c>
      <c r="D65" s="20" t="inlineStr">
        <is>
          <t>付帯部</t>
        </is>
      </c>
      <c r="E65" s="20" t="inlineStr">
        <is>
          <t>付帯部型</t>
        </is>
      </c>
      <c r="F65" s="19" t="inlineStr">
        <is>
          <t>eyecatches/063.png</t>
        </is>
      </c>
      <c r="G65" s="20" t="inlineStr">
        <is>
          <t>雨樋 色あせ</t>
        </is>
      </c>
      <c r="H65" s="20" t="inlineStr">
        <is>
          <t>割れ・外れ・劣化を放置NG</t>
        </is>
      </c>
      <c r="I65" s="20" t="inlineStr">
        <is>
          <t>交換と塗装の判断ポイント</t>
        </is>
      </c>
      <c r="J65" s="20" t="inlineStr">
        <is>
          <t>・劣化症状
・塗装・修理方法
・費用相場
・放置リスク</t>
        </is>
      </c>
      <c r="K65" s="20" t="inlineStr">
        <is>
          <t>雨樋の割れ・外れ・雨水</t>
        </is>
      </c>
      <c r="L65" s="20" t="inlineStr">
        <is>
          <t>点検する職人</t>
        </is>
      </c>
      <c r="M65" s="20" t="inlineStr">
        <is>
          <t>松山市版</t>
        </is>
      </c>
      <c r="N65" s="20" t="inlineStr">
        <is>
          <t>付帯部訴求</t>
        </is>
      </c>
      <c r="O65" s="20" t="inlineStr">
        <is>
          <t>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t>
        </is>
      </c>
      <c r="P65" s="20" t="inlineStr">
        <is>
          <t>部位ごとの劣化症状やメンテナンスの必要性が直感的に伝わる画像にする。
小さな部位でも放置しない大切さが分かる印象にする。</t>
        </is>
      </c>
      <c r="Q65" s="20" t="inlineStr">
        <is>
          <t xml:space="preserve">【対象記事】
No：063
指定KW：雨樋 色あせ
記事タイトル：雨樋の色あせは塗装すべき？劣化サインとメンテナンス方法
【画像に入れたい文字】
メインコピー：
雨樋 色あせ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6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No：063
指定KW：雨樋 色あせ
記事タイトル：雨樋の色あせは塗装すべき？劣化サインとメンテナンス方法
【画像に入れたい文字】
メインコピー：
雨樋 色あせ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66" ht="90" customHeight="1" s="24">
      <c r="A66" s="19" t="inlineStr">
        <is>
          <t>064</t>
        </is>
      </c>
      <c r="B66" s="20" t="inlineStr">
        <is>
          <t>雨樋 塗装 必要</t>
        </is>
      </c>
      <c r="C66" s="20" t="inlineStr">
        <is>
          <t>雨樋塗装は必要？塗り替えの目的・不要なケースも解説</t>
        </is>
      </c>
      <c r="D66" s="20" t="inlineStr">
        <is>
          <t>付帯部</t>
        </is>
      </c>
      <c r="E66" s="20" t="inlineStr">
        <is>
          <t>付帯部型</t>
        </is>
      </c>
      <c r="F66" s="19" t="inlineStr">
        <is>
          <t>eyecatches/064.png</t>
        </is>
      </c>
      <c r="G66" s="20" t="inlineStr">
        <is>
          <t>雨樋 塗装 必要</t>
        </is>
      </c>
      <c r="H66" s="20" t="inlineStr">
        <is>
          <t>割れ・外れ・劣化を放置NG</t>
        </is>
      </c>
      <c r="I66" s="20" t="inlineStr">
        <is>
          <t>交換と塗装の判断ポイント</t>
        </is>
      </c>
      <c r="J66" s="20" t="inlineStr">
        <is>
          <t>・劣化症状
・塗装・修理方法
・費用相場
・放置リスク</t>
        </is>
      </c>
      <c r="K66" s="20" t="inlineStr">
        <is>
          <t>雨樋の割れ・外れ・雨水</t>
        </is>
      </c>
      <c r="L66" s="20" t="inlineStr">
        <is>
          <t>点検する職人</t>
        </is>
      </c>
      <c r="M66" s="20" t="inlineStr">
        <is>
          <t>松山市版</t>
        </is>
      </c>
      <c r="N66" s="20" t="inlineStr">
        <is>
          <t>付帯部訴求</t>
        </is>
      </c>
      <c r="O66" s="20" t="inlineStr">
        <is>
          <t>雨樋の割れ、外れ、雨水が分かる背景にする。
点検する職人が、塗装が必要な部分を示しながら、工事のポイントを説明している。
塗装前後の違いや劣化症状が分かる要素を配置する。
「松山市版」の小さなラベルを入れる。</t>
        </is>
      </c>
      <c r="P66" s="20" t="inlineStr">
        <is>
          <t>部位ごとの劣化症状やメンテナンスの必要性が直感的に伝わる画像にする。
小さな部位でも放置しない大切さが分かる印象にする。</t>
        </is>
      </c>
      <c r="Q66" s="20" t="inlineStr">
        <is>
          <t xml:space="preserve">【対象記事】
No：064
指定KW：雨樋 塗装 必要
記事タイトル：雨樋塗装は必要？塗り替えの目的・不要なケースも解説
【画像に入れたい文字】
メインコピー：
雨樋 塗装 必要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点検する職人が、塗装が必要な部分を示しながら、工事のポイントを説明している。
塗装前後の違いや劣化症状が分かる要素を配置する。
「松山市版」の小さなラベルを入れる。
【画像の印象】
部位ごとの劣化症状やメンテナンスの必要性が直感的に伝わる画像にする。
小さな部位でも放置しない大切さが分かる印象にする。
</t>
        </is>
      </c>
      <c r="R6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No：064
指定KW：雨樋 塗装 必要
記事タイトル：雨樋塗装は必要？塗り替えの目的・不要なケースも解説
【画像に入れたい文字】
メインコピー：
雨樋 塗装 必要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点検する職人が、塗装が必要な部分を示しながら、工事のポイントを説明している。
塗装前後の違いや劣化症状が分かる要素を配置する。
「松山市版」の小さなラベルを入れる。
【画像の印象】
部位ごとの劣化症状やメンテナンスの必要性が直感的に伝わる画像にする。
小さな部位でも放置しない大切さが分かる印象にする。</t>
        </is>
      </c>
    </row>
    <row r="67" ht="90" customHeight="1" s="24">
      <c r="A67" s="19" t="inlineStr">
        <is>
          <t>065</t>
        </is>
      </c>
      <c r="B67" s="20" t="inlineStr">
        <is>
          <t>雨樋 塗装 費用</t>
        </is>
      </c>
      <c r="C67" s="20" t="inlineStr">
        <is>
          <t>雨樋塗装の費用相場はいくら？単価・足場代・注意点を解説</t>
        </is>
      </c>
      <c r="D67" s="20" t="inlineStr">
        <is>
          <t>付帯部</t>
        </is>
      </c>
      <c r="E67" s="20" t="inlineStr">
        <is>
          <t>費用・相場型</t>
        </is>
      </c>
      <c r="F67" s="19" t="inlineStr">
        <is>
          <t>eyecatches/065.png</t>
        </is>
      </c>
      <c r="G67" s="20" t="inlineStr">
        <is>
          <t>雨樋 塗装 費用</t>
        </is>
      </c>
      <c r="H67" s="20" t="inlineStr">
        <is>
          <t>割れ・外れ・劣化を放置NG</t>
        </is>
      </c>
      <c r="I67" s="20" t="inlineStr">
        <is>
          <t>交換と塗装の判断ポイント</t>
        </is>
      </c>
      <c r="J67" s="20" t="inlineStr">
        <is>
          <t>・費用相場
・内訳
・工事内容
・見積りの見方</t>
        </is>
      </c>
      <c r="K67" s="20" t="inlineStr">
        <is>
          <t>雨樋の割れ・外れ・雨水</t>
        </is>
      </c>
      <c r="L67" s="20" t="inlineStr">
        <is>
          <t>点検する職人</t>
        </is>
      </c>
      <c r="M67" s="20" t="inlineStr">
        <is>
          <t>松山市版</t>
        </is>
      </c>
      <c r="N67" s="20" t="inlineStr">
        <is>
          <t>付帯部訴求</t>
        </is>
      </c>
      <c r="O67" s="20" t="inlineStr">
        <is>
          <t>雨樋の割れ、外れ、雨水が分かる背景にする。
点検する職人が、見積書や工事内容を示しながら費用の違いを説明している。
見積書、金額ラベル、費用内訳のアイコンなどを分かりやすく配置する。
「松山市版」の小さなラベルを入れる。</t>
        </is>
      </c>
      <c r="P67" s="20" t="inlineStr">
        <is>
          <t>費用への不安を持つ読者に向けて、相場や内訳が分かりやすい印象にする。
安売り感ではなく、無料見積りで納得して相談できる安心感を出す。</t>
        </is>
      </c>
      <c r="Q67" s="20" t="inlineStr">
        <is>
          <t xml:space="preserve">【対象記事】
No：065
指定KW：雨樋 塗装 費用
記事タイトル：雨樋塗装の費用相場はいくら？単価・足場代・注意点を解説
【画像に入れたい文字】
メインコピー：
雨樋 塗装 費用
サブコピー：
割れ・外れ・劣化を放置NG
補助コピー：
交換と塗装の判断ポイント
小見出し・チェック項目：
・費用相場
・内訳
・工事内容
・見積りの見方
【背景・構図】
雨樋の割れ、外れ、雨水が分かる背景にする。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
</t>
        </is>
      </c>
      <c r="R6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No：065
指定KW：雨樋 塗装 費用
記事タイトル：雨樋塗装の費用相場はいくら？単価・足場代・注意点を解説
【画像に入れたい文字】
メインコピー：
雨樋 塗装 費用
サブコピー：
割れ・外れ・劣化を放置NG
補助コピー：
交換と塗装の判断ポイント
小見出し・チェック項目：
・費用相場
・内訳
・工事内容
・見積りの見方
【背景・構図】
雨樋の割れ、外れ、雨水が分かる背景にする。
点検する職人が、見積書や工事内容を示しながら費用の違いを説明している。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t>
        </is>
      </c>
    </row>
    <row r="68" ht="90" customHeight="1" s="24">
      <c r="A68" s="19" t="inlineStr">
        <is>
          <t>066</t>
        </is>
      </c>
      <c r="B68" s="20" t="inlineStr">
        <is>
          <t>雨樋 割れ 補修</t>
        </is>
      </c>
      <c r="C68" s="20" t="inlineStr">
        <is>
          <t>雨樋の割れは補修できる？修理・交換の判断ポイント</t>
        </is>
      </c>
      <c r="D68" s="20" t="inlineStr">
        <is>
          <t>付帯部</t>
        </is>
      </c>
      <c r="E68" s="20" t="inlineStr">
        <is>
          <t>付帯部型</t>
        </is>
      </c>
      <c r="F68" s="19" t="inlineStr">
        <is>
          <t>eyecatches/066.png</t>
        </is>
      </c>
      <c r="G68" s="20" t="inlineStr">
        <is>
          <t>雨樋 割れ 補修</t>
        </is>
      </c>
      <c r="H68" s="20" t="inlineStr">
        <is>
          <t>割れ・外れ・劣化を放置NG</t>
        </is>
      </c>
      <c r="I68" s="20" t="inlineStr">
        <is>
          <t>交換と塗装の判断ポイント</t>
        </is>
      </c>
      <c r="J68" s="20" t="inlineStr">
        <is>
          <t>・劣化症状
・塗装・修理方法
・費用相場
・放置リスク</t>
        </is>
      </c>
      <c r="K68" s="20" t="inlineStr">
        <is>
          <t>雨樋の割れ・外れ・雨水</t>
        </is>
      </c>
      <c r="L68" s="20" t="inlineStr">
        <is>
          <t>点検する職人</t>
        </is>
      </c>
      <c r="M68" s="20" t="inlineStr">
        <is>
          <t>松山市版</t>
        </is>
      </c>
      <c r="N68" s="20" t="inlineStr">
        <is>
          <t>付帯部訴求</t>
        </is>
      </c>
      <c r="O68" s="20" t="inlineStr">
        <is>
          <t>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t>
        </is>
      </c>
      <c r="P68" s="20" t="inlineStr">
        <is>
          <t>部位ごとの劣化症状やメンテナンスの必要性が直感的に伝わる画像にする。
小さな部位でも放置しない大切さが分かる印象にする。</t>
        </is>
      </c>
      <c r="Q68" s="20" t="inlineStr">
        <is>
          <t xml:space="preserve">【対象記事】
No：066
指定KW：雨樋 割れ 補修
記事タイトル：雨樋の割れは補修できる？修理・交換の判断ポイント
【画像に入れたい文字】
メインコピー：
雨樋 割れ 補修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6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No：066
指定KW：雨樋 割れ 補修
記事タイトル：雨樋の割れは補修できる？修理・交換の判断ポイント
【画像に入れたい文字】
メインコピー：
雨樋 割れ 補修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69" ht="90" customHeight="1" s="24">
      <c r="A69" s="19" t="inlineStr">
        <is>
          <t>067</t>
        </is>
      </c>
      <c r="B69" s="20" t="inlineStr">
        <is>
          <t>雨樋 外れ 修理</t>
        </is>
      </c>
      <c r="C69" s="20" t="inlineStr">
        <is>
          <t>雨樋が外れたときの修理方法｜原因・費用・放置リスク</t>
        </is>
      </c>
      <c r="D69" s="20" t="inlineStr">
        <is>
          <t>付帯部</t>
        </is>
      </c>
      <c r="E69" s="20" t="inlineStr">
        <is>
          <t>付帯部型</t>
        </is>
      </c>
      <c r="F69" s="19" t="inlineStr">
        <is>
          <t>eyecatches/067.png</t>
        </is>
      </c>
      <c r="G69" s="20" t="inlineStr">
        <is>
          <t>雨樋 外れ 修理</t>
        </is>
      </c>
      <c r="H69" s="20" t="inlineStr">
        <is>
          <t>割れ・外れ・劣化を放置NG</t>
        </is>
      </c>
      <c r="I69" s="20" t="inlineStr">
        <is>
          <t>交換と塗装の判断ポイント</t>
        </is>
      </c>
      <c r="J69" s="20" t="inlineStr">
        <is>
          <t>・劣化症状
・塗装・修理方法
・費用相場
・放置リスク</t>
        </is>
      </c>
      <c r="K69" s="20" t="inlineStr">
        <is>
          <t>雨樋の割れ・外れ・雨水</t>
        </is>
      </c>
      <c r="L69" s="20" t="inlineStr">
        <is>
          <t>点検する職人</t>
        </is>
      </c>
      <c r="M69" s="20" t="inlineStr">
        <is>
          <t>松山市版</t>
        </is>
      </c>
      <c r="N69" s="20" t="inlineStr">
        <is>
          <t>付帯部訴求</t>
        </is>
      </c>
      <c r="O69" s="20" t="inlineStr">
        <is>
          <t>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t>
        </is>
      </c>
      <c r="P69" s="20" t="inlineStr">
        <is>
          <t>部位ごとの劣化症状やメンテナンスの必要性が直感的に伝わる画像にする。
小さな部位でも放置しない大切さが分かる印象にする。</t>
        </is>
      </c>
      <c r="Q69" s="20" t="inlineStr">
        <is>
          <t xml:space="preserve">【対象記事】
No：067
指定KW：雨樋 外れ 修理
記事タイトル：雨樋が外れたときの修理方法｜原因・費用・放置リスク
【画像に入れたい文字】
メインコピー：
雨樋 外れ 修理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6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No：067
指定KW：雨樋 外れ 修理
記事タイトル：雨樋が外れたときの修理方法｜原因・費用・放置リスク
【画像に入れたい文字】
メインコピー：
雨樋 外れ 修理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0" ht="90" customHeight="1" s="24">
      <c r="A70" s="19" t="inlineStr">
        <is>
          <t>068</t>
        </is>
      </c>
      <c r="B70" s="20" t="inlineStr">
        <is>
          <t>雨樋 劣化 症状</t>
        </is>
      </c>
      <c r="C70" s="20" t="inlineStr">
        <is>
          <t>雨樋の劣化症状とは？塗装・補修・交換の判断基準</t>
        </is>
      </c>
      <c r="D70" s="20" t="inlineStr">
        <is>
          <t>付帯部</t>
        </is>
      </c>
      <c r="E70" s="20" t="inlineStr">
        <is>
          <t>付帯部型</t>
        </is>
      </c>
      <c r="F70" s="19" t="inlineStr">
        <is>
          <t>eyecatches/068.png</t>
        </is>
      </c>
      <c r="G70" s="20" t="inlineStr">
        <is>
          <t>雨樋 劣化 症状</t>
        </is>
      </c>
      <c r="H70" s="20" t="inlineStr">
        <is>
          <t>割れ・外れ・劣化を放置NG</t>
        </is>
      </c>
      <c r="I70" s="20" t="inlineStr">
        <is>
          <t>交換と塗装の判断ポイント</t>
        </is>
      </c>
      <c r="J70" s="20" t="inlineStr">
        <is>
          <t>・劣化症状
・塗装・修理方法
・費用相場
・放置リスク</t>
        </is>
      </c>
      <c r="K70" s="20" t="inlineStr">
        <is>
          <t>雨樋の割れ・外れ・雨水</t>
        </is>
      </c>
      <c r="L70" s="20" t="inlineStr">
        <is>
          <t>点検する職人</t>
        </is>
      </c>
      <c r="M70" s="20" t="inlineStr">
        <is>
          <t>松山市版</t>
        </is>
      </c>
      <c r="N70" s="20" t="inlineStr">
        <is>
          <t>付帯部訴求</t>
        </is>
      </c>
      <c r="O70" s="20" t="inlineStr">
        <is>
          <t>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t>
        </is>
      </c>
      <c r="P70" s="20" t="inlineStr">
        <is>
          <t>部位ごとの劣化症状やメンテナンスの必要性が直感的に伝わる画像にする。
小さな部位でも放置しない大切さが分かる印象にする。</t>
        </is>
      </c>
      <c r="Q70" s="20" t="inlineStr">
        <is>
          <t xml:space="preserve">【対象記事】
No：068
指定KW：雨樋 劣化 症状
記事タイトル：雨樋の劣化症状とは？塗装・補修・交換の判断基準
【画像に入れたい文字】
メインコピー：
雨樋 劣化 症状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No：068
指定KW：雨樋 劣化 症状
記事タイトル：雨樋の劣化症状とは？塗装・補修・交換の判断基準
【画像に入れたい文字】
メインコピー：
雨樋 劣化 症状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1" ht="90" customHeight="1" s="24">
      <c r="A71" s="19" t="inlineStr">
        <is>
          <t>069</t>
        </is>
      </c>
      <c r="B71" s="20" t="inlineStr">
        <is>
          <t>雨樋 チョーキング</t>
        </is>
      </c>
      <c r="C71" s="20" t="inlineStr">
        <is>
          <t>雨樋のチョーキングとは？塗装時期と劣化の見分け方</t>
        </is>
      </c>
      <c r="D71" s="20" t="inlineStr">
        <is>
          <t>付帯部</t>
        </is>
      </c>
      <c r="E71" s="20" t="inlineStr">
        <is>
          <t>付帯部型</t>
        </is>
      </c>
      <c r="F71" s="19" t="inlineStr">
        <is>
          <t>eyecatches/069.png</t>
        </is>
      </c>
      <c r="G71" s="20" t="inlineStr">
        <is>
          <t>雨樋 チョーキング</t>
        </is>
      </c>
      <c r="H71" s="20" t="inlineStr">
        <is>
          <t>割れ・外れ・劣化を放置NG</t>
        </is>
      </c>
      <c r="I71" s="20" t="inlineStr">
        <is>
          <t>交換と塗装の判断ポイント</t>
        </is>
      </c>
      <c r="J71" s="20" t="inlineStr">
        <is>
          <t>・劣化症状
・塗装・修理方法
・費用相場
・放置リスク</t>
        </is>
      </c>
      <c r="K71" s="20" t="inlineStr">
        <is>
          <t>雨樋の割れ・外れ・雨水</t>
        </is>
      </c>
      <c r="L71" s="20" t="inlineStr">
        <is>
          <t>点検する職人</t>
        </is>
      </c>
      <c r="M71" s="20" t="inlineStr">
        <is>
          <t>松山市版</t>
        </is>
      </c>
      <c r="N71" s="20" t="inlineStr">
        <is>
          <t>付帯部訴求</t>
        </is>
      </c>
      <c r="O71" s="20" t="inlineStr">
        <is>
          <t>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t>
        </is>
      </c>
      <c r="P71" s="20" t="inlineStr">
        <is>
          <t>部位ごとの劣化症状やメンテナンスの必要性が直感的に伝わる画像にする。
小さな部位でも放置しない大切さが分かる印象にする。</t>
        </is>
      </c>
      <c r="Q71" s="20" t="inlineStr">
        <is>
          <t xml:space="preserve">【対象記事】
No：069
指定KW：雨樋 チョーキング
記事タイトル：雨樋のチョーキングとは？塗装時期と劣化の見分け方
【画像に入れたい文字】
メインコピー：
雨樋 チョーキング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No：069
指定KW：雨樋 チョーキング
記事タイトル：雨樋のチョーキングとは？塗装時期と劣化の見分け方
【画像に入れたい文字】
メインコピー：
雨樋 チョーキング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2" ht="90" customHeight="1" s="24">
      <c r="A72" s="19" t="inlineStr">
        <is>
          <t>070</t>
        </is>
      </c>
      <c r="B72" s="20" t="inlineStr">
        <is>
          <t>雨樋 塗り替え時期</t>
        </is>
      </c>
      <c r="C72" s="20" t="inlineStr">
        <is>
          <t>雨樋の塗り替え時期はいつ？劣化サインと費用目安</t>
        </is>
      </c>
      <c r="D72" s="20" t="inlineStr">
        <is>
          <t>付帯部</t>
        </is>
      </c>
      <c r="E72" s="20" t="inlineStr">
        <is>
          <t>付帯部型</t>
        </is>
      </c>
      <c r="F72" s="19" t="inlineStr">
        <is>
          <t>eyecatches/070.png</t>
        </is>
      </c>
      <c r="G72" s="20" t="inlineStr">
        <is>
          <t>雨樋 塗り替え時期</t>
        </is>
      </c>
      <c r="H72" s="20" t="inlineStr">
        <is>
          <t>割れ・外れ・劣化を放置NG</t>
        </is>
      </c>
      <c r="I72" s="20" t="inlineStr">
        <is>
          <t>交換と塗装の判断ポイント</t>
        </is>
      </c>
      <c r="J72" s="20" t="inlineStr">
        <is>
          <t>・劣化症状
・塗装・修理方法
・費用相場
・放置リスク</t>
        </is>
      </c>
      <c r="K72" s="20" t="inlineStr">
        <is>
          <t>雨樋の割れ・外れ・雨水</t>
        </is>
      </c>
      <c r="L72" s="20" t="inlineStr">
        <is>
          <t>点検する職人</t>
        </is>
      </c>
      <c r="M72" s="20" t="inlineStr">
        <is>
          <t>松山市版</t>
        </is>
      </c>
      <c r="N72" s="20" t="inlineStr">
        <is>
          <t>付帯部訴求</t>
        </is>
      </c>
      <c r="O72" s="20" t="inlineStr">
        <is>
          <t>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t>
        </is>
      </c>
      <c r="P72" s="20" t="inlineStr">
        <is>
          <t>部位ごとの劣化症状やメンテナンスの必要性が直感的に伝わる画像にする。
小さな部位でも放置しない大切さが分かる印象にする。</t>
        </is>
      </c>
      <c r="Q72" s="20" t="inlineStr">
        <is>
          <t xml:space="preserve">【対象記事】
No：070
指定KW：雨樋 塗り替え時期
記事タイトル：雨樋の塗り替え時期はいつ？劣化サインと費用目安
【画像に入れたい文字】
メインコピー：
雨樋 塗り替え時期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No：070
指定KW：雨樋 塗り替え時期
記事タイトル：雨樋の塗り替え時期はいつ？劣化サインと費用目安
【画像に入れたい文字】
メインコピー：
雨樋 塗り替え時期
サブコピー：
割れ・外れ・劣化を放置NG
補助コピー：
交換と塗装の判断ポイント
小見出し・チェック項目：
・劣化症状
・塗装・修理方法
・費用相場
・放置リスク
【背景・構図】
雨樋の割れ、外れ、雨水が分かる背景にする。
点検する職人が、住まいの状態を確認しながら、ポイントを説明している。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3" ht="90" customHeight="1" s="24">
      <c r="A73" s="19" t="inlineStr">
        <is>
          <t>071</t>
        </is>
      </c>
      <c r="B73" s="20" t="inlineStr">
        <is>
          <t>軒天 塗装 松山市</t>
        </is>
      </c>
      <c r="C73" s="20" t="inlineStr">
        <is>
          <t>松山市の軒天塗装はいつ必要？費用・劣化症状・注意点</t>
        </is>
      </c>
      <c r="D73" s="20" t="inlineStr">
        <is>
          <t>付帯部</t>
        </is>
      </c>
      <c r="E73" s="20" t="inlineStr">
        <is>
          <t>付帯部型</t>
        </is>
      </c>
      <c r="F73" s="19" t="inlineStr">
        <is>
          <t>eyecatches/071.png</t>
        </is>
      </c>
      <c r="G73" s="20" t="inlineStr">
        <is>
          <t>軒天 塗装 松山市</t>
        </is>
      </c>
      <c r="H73" s="20" t="inlineStr">
        <is>
          <t>シミ・黒ずみ・剥がれは要注意</t>
        </is>
      </c>
      <c r="I73" s="20" t="inlineStr">
        <is>
          <t>補修と塗装の判断ポイント</t>
        </is>
      </c>
      <c r="J73" s="20" t="inlineStr">
        <is>
          <t>・劣化症状
・原因
・補修・塗装方法
・費用相場</t>
        </is>
      </c>
      <c r="K73" s="20" t="inlineStr">
        <is>
          <t>軒天シミ・黒ずみ・住宅軒下</t>
        </is>
      </c>
      <c r="L73" s="20" t="inlineStr">
        <is>
          <t>見上げる住人＋職人</t>
        </is>
      </c>
      <c r="M73" s="20" t="inlineStr">
        <is>
          <t>松山市版</t>
        </is>
      </c>
      <c r="N73" s="20" t="inlineStr">
        <is>
          <t>軒天訴求</t>
        </is>
      </c>
      <c r="O73" s="20" t="inlineStr">
        <is>
          <t>軒天シミ、黒ずみ、住宅軒下が分かる背景にする。
見上げる住人＋職人が、塗装が必要な部分を示しながら、工事のポイントを説明している。
塗装前後の違いや劣化症状が分かる要素を配置する。
「松山市版」の小さなラベルを入れる。</t>
        </is>
      </c>
      <c r="P73" s="20" t="inlineStr">
        <is>
          <t>部位ごとの劣化症状やメンテナンスの必要性が直感的に伝わる画像にする。
小さな部位でも放置しない大切さが分かる印象にする。</t>
        </is>
      </c>
      <c r="Q73" s="20" t="inlineStr">
        <is>
          <t xml:space="preserve">【対象記事】
No：071
指定KW：軒天 塗装 松山市
記事タイトル：松山市の軒天塗装はいつ必要？費用・劣化症状・注意点
【画像に入れたい文字】
メインコピー：
軒天 塗装 松山市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見上げる住人＋職人が、塗装が必要な部分を示しながら、工事のポイントを説明している。
塗装前後の違いや劣化症状が分かる要素を配置する。
「松山市版」の小さなラベルを入れる。
【画像の印象】
部位ごとの劣化症状やメンテナンスの必要性が直感的に伝わる画像にする。
小さな部位でも放置しない大切さが分かる印象にする。
</t>
        </is>
      </c>
      <c r="R73"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No：071
指定KW：軒天 塗装 松山市
記事タイトル：松山市の軒天塗装はいつ必要？費用・劣化症状・注意点
【画像に入れたい文字】
メインコピー：
軒天 塗装 松山市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見上げる住人＋職人が、塗装が必要な部分を示しながら、工事のポイントを説明している。
塗装前後の違いや劣化症状が分かる要素を配置する。
「松山市版」の小さなラベルを入れる。
【画像の印象】
部位ごとの劣化症状やメンテナンスの必要性が直感的に伝わる画像にする。
小さな部位でも放置しない大切さが分かる印象にする。</t>
        </is>
      </c>
    </row>
    <row r="74" ht="90" customHeight="1" s="24">
      <c r="A74" s="19" t="inlineStr">
        <is>
          <t>072</t>
        </is>
      </c>
      <c r="B74" s="20" t="inlineStr">
        <is>
          <t>軒天 シミ 原因</t>
        </is>
      </c>
      <c r="C74" s="20" t="inlineStr">
        <is>
          <t>軒天のシミの原因とは？雨漏りとの関係と補修方法</t>
        </is>
      </c>
      <c r="D74" s="20" t="inlineStr">
        <is>
          <t>付帯部</t>
        </is>
      </c>
      <c r="E74" s="20" t="inlineStr">
        <is>
          <t>付帯部型</t>
        </is>
      </c>
      <c r="F74" s="19" t="inlineStr">
        <is>
          <t>eyecatches/072.png</t>
        </is>
      </c>
      <c r="G74" s="20" t="inlineStr">
        <is>
          <t>軒天 シミ 原因の原因は？</t>
        </is>
      </c>
      <c r="H74" s="20" t="inlineStr">
        <is>
          <t>放置リスクと対処法を解説</t>
        </is>
      </c>
      <c r="I74" s="20" t="inlineStr">
        <is>
          <t>早めの確認が大切</t>
        </is>
      </c>
      <c r="J74" s="20" t="inlineStr">
        <is>
          <t>・劣化症状
・原因
・補修・塗装方法
・費用相場</t>
        </is>
      </c>
      <c r="K74" s="20" t="inlineStr">
        <is>
          <t>劣化箇所の拡大・雨染み・ひび割れ</t>
        </is>
      </c>
      <c r="L74" s="20" t="inlineStr">
        <is>
          <t>職人</t>
        </is>
      </c>
      <c r="M74" s="20" t="inlineStr">
        <is>
          <t>松山市版</t>
        </is>
      </c>
      <c r="N74" s="20" t="inlineStr">
        <is>
          <t>原因解説訴求</t>
        </is>
      </c>
      <c r="O74" s="20" t="inlineStr">
        <is>
          <t>劣化箇所の拡大、雨染み、ひび割れが分かる背景にする。
職人が、雨漏りや劣化の原因箇所を指さして説明している。
ひび割れ、コーキング、雨染みなど原因箇所が分かる要素を配置する。
「松山市版」の小さなラベルを入れる。</t>
        </is>
      </c>
      <c r="P74" s="20" t="inlineStr">
        <is>
          <t>原因や症状が一目で伝わる、分かりやすい解説型の画像にする。
放置リスクと早めの対策の大切さが伝わる印象にする。</t>
        </is>
      </c>
      <c r="Q74" s="20" t="inlineStr">
        <is>
          <t xml:space="preserve">【対象記事】
No：072
指定KW：軒天 シミ 原因
記事タイトル：軒天のシミの原因とは？雨漏りとの関係と補修方法
【画像に入れたい文字】
メインコピー：
軒天 シミ 原因の原因は？
サブコピー：
放置リスクと対処法を解説
補助コピー：
早めの確認が大切
小見出し・チェック項目：
・劣化症状
・原因
・補修・塗装方法
・費用相場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
</t>
        </is>
      </c>
      <c r="R74"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No：072
指定KW：軒天 シミ 原因
記事タイトル：軒天のシミの原因とは？雨漏りとの関係と補修方法
【画像に入れたい文字】
メインコピー：
軒天 シミ 原因の原因は？
サブコピー：
放置リスクと対処法を解説
補助コピー：
早めの確認が大切
小見出し・チェック項目：
・劣化症状
・原因
・補修・塗装方法
・費用相場
【背景・構図】
劣化箇所の拡大、雨染み、ひび割れが分かる背景にする。
職人が、雨漏りや劣化の原因箇所を指さして説明している。
ひび割れ、コーキング、雨染みなど原因箇所が分かる要素を配置する。
「松山市版」の小さなラベルを入れる。
【画像の印象】
原因や症状が一目で伝わる、分かりやすい解説型の画像にする。
放置リスクと早めの対策の大切さが伝わる印象にする。</t>
        </is>
      </c>
    </row>
    <row r="75" ht="90" customHeight="1" s="24">
      <c r="A75" s="19" t="inlineStr">
        <is>
          <t>073</t>
        </is>
      </c>
      <c r="B75" s="20" t="inlineStr">
        <is>
          <t>軒天 黒ずみ</t>
        </is>
      </c>
      <c r="C75" s="20" t="inlineStr">
        <is>
          <t>軒天の黒ずみは放置して大丈夫？原因・掃除・塗装の判断</t>
        </is>
      </c>
      <c r="D75" s="20" t="inlineStr">
        <is>
          <t>付帯部</t>
        </is>
      </c>
      <c r="E75" s="20" t="inlineStr">
        <is>
          <t>付帯部型</t>
        </is>
      </c>
      <c r="F75" s="19" t="inlineStr">
        <is>
          <t>eyecatches/073.png</t>
        </is>
      </c>
      <c r="G75" s="20" t="inlineStr">
        <is>
          <t>軒天 黒ずみ</t>
        </is>
      </c>
      <c r="H75" s="20" t="inlineStr">
        <is>
          <t>シミ・黒ずみ・剥がれは要注意</t>
        </is>
      </c>
      <c r="I75" s="20" t="inlineStr">
        <is>
          <t>補修と塗装の判断ポイント</t>
        </is>
      </c>
      <c r="J75" s="20" t="inlineStr">
        <is>
          <t>・劣化症状
・原因
・補修・塗装方法
・費用相場</t>
        </is>
      </c>
      <c r="K75" s="20" t="inlineStr">
        <is>
          <t>軒天シミ・黒ずみ・住宅軒下</t>
        </is>
      </c>
      <c r="L75" s="20" t="inlineStr">
        <is>
          <t>見上げる住人＋職人</t>
        </is>
      </c>
      <c r="M75" s="20" t="inlineStr">
        <is>
          <t>松山市版</t>
        </is>
      </c>
      <c r="N75" s="20" t="inlineStr">
        <is>
          <t>軒天訴求</t>
        </is>
      </c>
      <c r="O75" s="20" t="inlineStr">
        <is>
          <t>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t>
        </is>
      </c>
      <c r="P75" s="20" t="inlineStr">
        <is>
          <t>部位ごとの劣化症状やメンテナンスの必要性が直感的に伝わる画像にする。
小さな部位でも放置しない大切さが分かる印象にする。</t>
        </is>
      </c>
      <c r="Q75" s="20" t="inlineStr">
        <is>
          <t xml:space="preserve">【対象記事】
No：073
指定KW：軒天 黒ずみ
記事タイトル：軒天の黒ずみは放置して大丈夫？原因・掃除・塗装の判断
【画像に入れたい文字】
メインコピー：
軒天 黒ずみ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5"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No：073
指定KW：軒天 黒ずみ
記事タイトル：軒天の黒ずみは放置して大丈夫？原因・掃除・塗装の判断
【画像に入れたい文字】
メインコピー：
軒天 黒ずみ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6" ht="90" customHeight="1" s="24">
      <c r="A76" s="19" t="inlineStr">
        <is>
          <t>074</t>
        </is>
      </c>
      <c r="B76" s="20" t="inlineStr">
        <is>
          <t>軒天 カビ</t>
        </is>
      </c>
      <c r="C76" s="20" t="inlineStr">
        <is>
          <t>軒天のカビの原因とは？雨漏りリスクと補修方法を解説</t>
        </is>
      </c>
      <c r="D76" s="20" t="inlineStr">
        <is>
          <t>付帯部</t>
        </is>
      </c>
      <c r="E76" s="20" t="inlineStr">
        <is>
          <t>付帯部型</t>
        </is>
      </c>
      <c r="F76" s="19" t="inlineStr">
        <is>
          <t>eyecatches/074.png</t>
        </is>
      </c>
      <c r="G76" s="20" t="inlineStr">
        <is>
          <t>軒天 カビ</t>
        </is>
      </c>
      <c r="H76" s="20" t="inlineStr">
        <is>
          <t>シミ・黒ずみ・剥がれは要注意</t>
        </is>
      </c>
      <c r="I76" s="20" t="inlineStr">
        <is>
          <t>補修と塗装の判断ポイント</t>
        </is>
      </c>
      <c r="J76" s="20" t="inlineStr">
        <is>
          <t>・劣化症状
・原因
・補修・塗装方法
・費用相場</t>
        </is>
      </c>
      <c r="K76" s="20" t="inlineStr">
        <is>
          <t>軒天シミ・黒ずみ・住宅軒下</t>
        </is>
      </c>
      <c r="L76" s="20" t="inlineStr">
        <is>
          <t>見上げる住人＋職人</t>
        </is>
      </c>
      <c r="M76" s="20" t="inlineStr">
        <is>
          <t>松山市版</t>
        </is>
      </c>
      <c r="N76" s="20" t="inlineStr">
        <is>
          <t>軒天訴求</t>
        </is>
      </c>
      <c r="O76" s="20" t="inlineStr">
        <is>
          <t>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t>
        </is>
      </c>
      <c r="P76" s="20" t="inlineStr">
        <is>
          <t>部位ごとの劣化症状やメンテナンスの必要性が直感的に伝わる画像にする。
小さな部位でも放置しない大切さが分かる印象にする。</t>
        </is>
      </c>
      <c r="Q76" s="20" t="inlineStr">
        <is>
          <t xml:space="preserve">【対象記事】
No：074
指定KW：軒天 カビ
記事タイトル：軒天のカビの原因とは？雨漏りリスクと補修方法を解説
【画像に入れたい文字】
メインコピー：
軒天 カビ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6"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No：074
指定KW：軒天 カビ
記事タイトル：軒天のカビの原因とは？雨漏りリスクと補修方法を解説
【画像に入れたい文字】
メインコピー：
軒天 カビ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7" ht="90" customHeight="1" s="24">
      <c r="A77" s="19" t="inlineStr">
        <is>
          <t>075</t>
        </is>
      </c>
      <c r="B77" s="20" t="inlineStr">
        <is>
          <t>軒天 剥がれ</t>
        </is>
      </c>
      <c r="C77" s="20" t="inlineStr">
        <is>
          <t>軒天の剥がれは補修が必要？原因・費用・放置リスク</t>
        </is>
      </c>
      <c r="D77" s="20" t="inlineStr">
        <is>
          <t>付帯部</t>
        </is>
      </c>
      <c r="E77" s="20" t="inlineStr">
        <is>
          <t>付帯部型</t>
        </is>
      </c>
      <c r="F77" s="19" t="inlineStr">
        <is>
          <t>eyecatches/075.png</t>
        </is>
      </c>
      <c r="G77" s="20" t="inlineStr">
        <is>
          <t>軒天 剥がれ</t>
        </is>
      </c>
      <c r="H77" s="20" t="inlineStr">
        <is>
          <t>シミ・黒ずみ・剥がれは要注意</t>
        </is>
      </c>
      <c r="I77" s="20" t="inlineStr">
        <is>
          <t>補修と塗装の判断ポイント</t>
        </is>
      </c>
      <c r="J77" s="20" t="inlineStr">
        <is>
          <t>・劣化症状
・原因
・補修・塗装方法
・費用相場</t>
        </is>
      </c>
      <c r="K77" s="20" t="inlineStr">
        <is>
          <t>軒天シミ・黒ずみ・住宅軒下</t>
        </is>
      </c>
      <c r="L77" s="20" t="inlineStr">
        <is>
          <t>見上げる住人＋職人</t>
        </is>
      </c>
      <c r="M77" s="20" t="inlineStr">
        <is>
          <t>松山市版</t>
        </is>
      </c>
      <c r="N77" s="20" t="inlineStr">
        <is>
          <t>軒天訴求</t>
        </is>
      </c>
      <c r="O77" s="20" t="inlineStr">
        <is>
          <t>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t>
        </is>
      </c>
      <c r="P77" s="20" t="inlineStr">
        <is>
          <t>部位ごとの劣化症状やメンテナンスの必要性が直感的に伝わる画像にする。
小さな部位でも放置しない大切さが分かる印象にする。</t>
        </is>
      </c>
      <c r="Q77" s="20" t="inlineStr">
        <is>
          <t xml:space="preserve">【対象記事】
No：075
指定KW：軒天 剥がれ
記事タイトル：軒天の剥がれは補修が必要？原因・費用・放置リスク
【画像に入れたい文字】
メインコピー：
軒天 剥がれ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7"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No：075
指定KW：軒天 剥がれ
記事タイトル：軒天の剥がれは補修が必要？原因・費用・放置リスク
【画像に入れたい文字】
メインコピー：
軒天 剥がれ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8" ht="90" customHeight="1" s="24">
      <c r="A78" s="19" t="inlineStr">
        <is>
          <t>076</t>
        </is>
      </c>
      <c r="B78" s="20" t="inlineStr">
        <is>
          <t>軒天 ベニヤ 張り替え</t>
        </is>
      </c>
      <c r="C78" s="20" t="inlineStr">
        <is>
          <t>軒天ベニヤの張り替えはいつ必要？費用・材料・注意点</t>
        </is>
      </c>
      <c r="D78" s="20" t="inlineStr">
        <is>
          <t>付帯部</t>
        </is>
      </c>
      <c r="E78" s="20" t="inlineStr">
        <is>
          <t>付帯部型</t>
        </is>
      </c>
      <c r="F78" s="19" t="inlineStr">
        <is>
          <t>eyecatches/076.png</t>
        </is>
      </c>
      <c r="G78" s="20" t="inlineStr">
        <is>
          <t>軒天 ベニヤ 張り替え</t>
        </is>
      </c>
      <c r="H78" s="20" t="inlineStr">
        <is>
          <t>シミ・黒ずみ・剥がれは要注意</t>
        </is>
      </c>
      <c r="I78" s="20" t="inlineStr">
        <is>
          <t>補修と塗装の判断ポイント</t>
        </is>
      </c>
      <c r="J78" s="20" t="inlineStr">
        <is>
          <t>・劣化症状
・原因
・補修・塗装方法
・費用相場</t>
        </is>
      </c>
      <c r="K78" s="20" t="inlineStr">
        <is>
          <t>軒天シミ・黒ずみ・住宅軒下</t>
        </is>
      </c>
      <c r="L78" s="20" t="inlineStr">
        <is>
          <t>見上げる住人＋職人</t>
        </is>
      </c>
      <c r="M78" s="20" t="inlineStr">
        <is>
          <t>松山市版</t>
        </is>
      </c>
      <c r="N78" s="20" t="inlineStr">
        <is>
          <t>軒天訴求</t>
        </is>
      </c>
      <c r="O78" s="20" t="inlineStr">
        <is>
          <t>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t>
        </is>
      </c>
      <c r="P78" s="20" t="inlineStr">
        <is>
          <t>部位ごとの劣化症状やメンテナンスの必要性が直感的に伝わる画像にする。
小さな部位でも放置しない大切さが分かる印象にする。</t>
        </is>
      </c>
      <c r="Q78" s="20" t="inlineStr">
        <is>
          <t xml:space="preserve">【対象記事】
No：076
指定KW：軒天 ベニヤ 張り替え
記事タイトル：軒天ベニヤの張り替えはいつ必要？費用・材料・注意点
【画像に入れたい文字】
メインコピー：
軒天 ベニヤ 張り替え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8"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No：076
指定KW：軒天 ベニヤ 張り替え
記事タイトル：軒天ベニヤの張り替えはいつ必要？費用・材料・注意点
【画像に入れたい文字】
メインコピー：
軒天 ベニヤ 張り替え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79" ht="90" customHeight="1" s="24">
      <c r="A79" s="19" t="inlineStr">
        <is>
          <t>077</t>
        </is>
      </c>
      <c r="B79" s="20" t="inlineStr">
        <is>
          <t>軒天 雨漏り</t>
        </is>
      </c>
      <c r="C79" s="20" t="inlineStr">
        <is>
          <t>軒天の雨漏りはどこから？原因調査と補修方法を解説</t>
        </is>
      </c>
      <c r="D79" s="20" t="inlineStr">
        <is>
          <t>付帯部</t>
        </is>
      </c>
      <c r="E79" s="20" t="inlineStr">
        <is>
          <t>付帯部型</t>
        </is>
      </c>
      <c r="F79" s="19" t="inlineStr">
        <is>
          <t>eyecatches/077.png</t>
        </is>
      </c>
      <c r="G79" s="20" t="inlineStr">
        <is>
          <t>軒天 雨漏り</t>
        </is>
      </c>
      <c r="H79" s="20" t="inlineStr">
        <is>
          <t>シミ・黒ずみ・剥がれは要注意</t>
        </is>
      </c>
      <c r="I79" s="20" t="inlineStr">
        <is>
          <t>補修と塗装の判断ポイント</t>
        </is>
      </c>
      <c r="J79" s="20" t="inlineStr">
        <is>
          <t>・劣化症状
・原因
・補修・塗装方法
・費用相場</t>
        </is>
      </c>
      <c r="K79" s="20" t="inlineStr">
        <is>
          <t>軒天シミ・黒ずみ・住宅軒下</t>
        </is>
      </c>
      <c r="L79" s="20" t="inlineStr">
        <is>
          <t>見上げる住人＋職人</t>
        </is>
      </c>
      <c r="M79" s="20" t="inlineStr">
        <is>
          <t>松山市版</t>
        </is>
      </c>
      <c r="N79" s="20" t="inlineStr">
        <is>
          <t>軒天訴求</t>
        </is>
      </c>
      <c r="O79" s="20" t="inlineStr">
        <is>
          <t>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t>
        </is>
      </c>
      <c r="P79" s="20" t="inlineStr">
        <is>
          <t>部位ごとの劣化症状やメンテナンスの必要性が直感的に伝わる画像にする。
小さな部位でも放置しない大切さが分かる印象にする。</t>
        </is>
      </c>
      <c r="Q79" s="20" t="inlineStr">
        <is>
          <t xml:space="preserve">【対象記事】
No：077
指定KW：軒天 雨漏り
記事タイトル：軒天の雨漏りはどこから？原因調査と補修方法を解説
【画像に入れたい文字】
メインコピー：
軒天 雨漏り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79"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No：077
指定KW：軒天 雨漏り
記事タイトル：軒天の雨漏りはどこから？原因調査と補修方法を解説
【画像に入れたい文字】
メインコピー：
軒天 雨漏り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80" ht="90" customHeight="1" s="24">
      <c r="A80" s="19" t="inlineStr">
        <is>
          <t>078</t>
        </is>
      </c>
      <c r="B80" s="20" t="inlineStr">
        <is>
          <t>軒天 塗装 費用</t>
        </is>
      </c>
      <c r="C80" s="20" t="inlineStr">
        <is>
          <t>軒天塗装の費用相場はいくら？単価・足場代・注意点</t>
        </is>
      </c>
      <c r="D80" s="20" t="inlineStr">
        <is>
          <t>付帯部</t>
        </is>
      </c>
      <c r="E80" s="20" t="inlineStr">
        <is>
          <t>費用・相場型</t>
        </is>
      </c>
      <c r="F80" s="19" t="inlineStr">
        <is>
          <t>eyecatches/078.png</t>
        </is>
      </c>
      <c r="G80" s="20" t="inlineStr">
        <is>
          <t>軒天 塗装 費用</t>
        </is>
      </c>
      <c r="H80" s="20" t="inlineStr">
        <is>
          <t>シミ・黒ずみ・剥がれは要注意</t>
        </is>
      </c>
      <c r="I80" s="20" t="inlineStr">
        <is>
          <t>補修と塗装の判断ポイント</t>
        </is>
      </c>
      <c r="J80" s="20" t="inlineStr">
        <is>
          <t>・費用相場
・内訳
・工事内容
・見積りの見方</t>
        </is>
      </c>
      <c r="K80" s="20" t="inlineStr">
        <is>
          <t>軒天シミ・黒ずみ・住宅軒下</t>
        </is>
      </c>
      <c r="L80" s="20" t="inlineStr">
        <is>
          <t>見上げる住人＋職人</t>
        </is>
      </c>
      <c r="M80" s="20" t="inlineStr">
        <is>
          <t>松山市版</t>
        </is>
      </c>
      <c r="N80" s="20" t="inlineStr">
        <is>
          <t>軒天訴求</t>
        </is>
      </c>
      <c r="O80" s="20" t="inlineStr">
        <is>
          <t>軒天シミ、黒ずみ、住宅軒下が分かる背景にする。
見上げる住人＋職人が、見積書や工事内容を示しながら費用の違いを説明している。
見積書、金額ラベル、費用内訳のアイコンなどを分かりやすく配置する。
「松山市版」の小さなラベルを入れる。</t>
        </is>
      </c>
      <c r="P80" s="20" t="inlineStr">
        <is>
          <t>費用への不安を持つ読者に向けて、相場や内訳が分かりやすい印象にする。
安売り感ではなく、無料見積りで納得して相談できる安心感を出す。</t>
        </is>
      </c>
      <c r="Q80" s="20" t="inlineStr">
        <is>
          <t xml:space="preserve">【対象記事】
No：078
指定KW：軒天 塗装 費用
記事タイトル：軒天塗装の費用相場はいくら？単価・足場代・注意点
【画像に入れたい文字】
メインコピー：
軒天 塗装 費用
サブコピー：
シミ・黒ずみ・剥がれは要注意
補助コピー：
補修と塗装の判断ポイント
小見出し・チェック項目：
・費用相場
・内訳
・工事内容
・見積りの見方
【背景・構図】
軒天シミ、黒ずみ、住宅軒下が分かる背景にする。
見上げる住人＋職人が、見積書や工事内容を示しながら費用の違いを説明している。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
</t>
        </is>
      </c>
      <c r="R80"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No：078
指定KW：軒天 塗装 費用
記事タイトル：軒天塗装の費用相場はいくら？単価・足場代・注意点
【画像に入れたい文字】
メインコピー：
軒天 塗装 費用
サブコピー：
シミ・黒ずみ・剥がれは要注意
補助コピー：
補修と塗装の判断ポイント
小見出し・チェック項目：
・費用相場
・内訳
・工事内容
・見積りの見方
【背景・構図】
軒天シミ、黒ずみ、住宅軒下が分かる背景にする。
見上げる住人＋職人が、見積書や工事内容を示しながら費用の違いを説明している。
見積書、金額ラベル、費用内訳のアイコンなどを分かりやすく配置する。
「松山市版」の小さなラベルを入れる。
【画像の印象】
費用への不安を持つ読者に向けて、相場や内訳が分かりやすい印象にする。
安売り感ではなく、無料見積りで納得して相談できる安心感を出す。</t>
        </is>
      </c>
    </row>
    <row r="81" ht="90" customHeight="1" s="24">
      <c r="A81" s="19" t="inlineStr">
        <is>
          <t>079</t>
        </is>
      </c>
      <c r="B81" s="20" t="inlineStr">
        <is>
          <t>軒天 補修</t>
        </is>
      </c>
      <c r="C81" s="20" t="inlineStr">
        <is>
          <t>軒天補修の方法とは？剥がれ・シミ・雨漏り症状別に解説</t>
        </is>
      </c>
      <c r="D81" s="20" t="inlineStr">
        <is>
          <t>付帯部</t>
        </is>
      </c>
      <c r="E81" s="20" t="inlineStr">
        <is>
          <t>付帯部型</t>
        </is>
      </c>
      <c r="F81" s="19" t="inlineStr">
        <is>
          <t>eyecatches/079.png</t>
        </is>
      </c>
      <c r="G81" s="20" t="inlineStr">
        <is>
          <t>軒天 補修</t>
        </is>
      </c>
      <c r="H81" s="20" t="inlineStr">
        <is>
          <t>シミ・黒ずみ・剥がれは要注意</t>
        </is>
      </c>
      <c r="I81" s="20" t="inlineStr">
        <is>
          <t>補修と塗装の判断ポイント</t>
        </is>
      </c>
      <c r="J81" s="20" t="inlineStr">
        <is>
          <t>・劣化症状
・原因
・補修・塗装方法
・費用相場</t>
        </is>
      </c>
      <c r="K81" s="20" t="inlineStr">
        <is>
          <t>軒天シミ・黒ずみ・住宅軒下</t>
        </is>
      </c>
      <c r="L81" s="20" t="inlineStr">
        <is>
          <t>見上げる住人＋職人</t>
        </is>
      </c>
      <c r="M81" s="20" t="inlineStr">
        <is>
          <t>松山市版</t>
        </is>
      </c>
      <c r="N81" s="20" t="inlineStr">
        <is>
          <t>軒天訴求</t>
        </is>
      </c>
      <c r="O81" s="20" t="inlineStr">
        <is>
          <t>軒天シミ、黒ずみ、住宅軒下が分かる背景にする。
見上げる住人＋職人が、修理箇所を確認しながら、必要な工事内容を説明している。
記事テーマがひと目で伝わるよう、劣化箇所や説明アイコンを分かりやすく配置する。
「松山市版」の小さなラベルを入れる。</t>
        </is>
      </c>
      <c r="P81" s="20" t="inlineStr">
        <is>
          <t>部位ごとの劣化症状やメンテナンスの必要性が直感的に伝わる画像にする。
小さな部位でも放置しない大切さが分かる印象にする。</t>
        </is>
      </c>
      <c r="Q81" s="20" t="inlineStr">
        <is>
          <t xml:space="preserve">【対象記事】
No：079
指定KW：軒天 補修
記事タイトル：軒天補修の方法とは？剥がれ・シミ・雨漏り症状別に解説
【画像に入れたい文字】
メインコピー：
軒天 補修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81"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No：079
指定KW：軒天 補修
記事タイトル：軒天補修の方法とは？剥がれ・シミ・雨漏り症状別に解説
【画像に入れたい文字】
メインコピー：
軒天 補修
サブコピー：
シミ・黒ずみ・剥がれは要注意
補助コピー：
補修と塗装の判断ポイント
小見出し・チェック項目：
・劣化症状
・原因
・補修・塗装方法
・費用相場
【背景・構図】
軒天シミ、黒ずみ、住宅軒下が分かる背景にする。
見上げる住人＋職人が、修理箇所を確認しながら、必要な工事内容を説明している。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row r="82" ht="90" customHeight="1" s="24">
      <c r="A82" s="19" t="inlineStr">
        <is>
          <t>080</t>
        </is>
      </c>
      <c r="B82" s="20" t="inlineStr">
        <is>
          <t>軒天 材料 種類</t>
        </is>
      </c>
      <c r="C82" s="20" t="inlineStr">
        <is>
          <t>軒天の材料には何がある？種類・特徴・選び方を解説</t>
        </is>
      </c>
      <c r="D82" s="20" t="inlineStr">
        <is>
          <t>付帯部</t>
        </is>
      </c>
      <c r="E82" s="20" t="inlineStr">
        <is>
          <t>付帯部型</t>
        </is>
      </c>
      <c r="F82" s="19" t="inlineStr">
        <is>
          <t>eyecatches/080.png</t>
        </is>
      </c>
      <c r="G82" s="20" t="inlineStr">
        <is>
          <t>軒天 材料 種類</t>
        </is>
      </c>
      <c r="H82" s="20" t="inlineStr">
        <is>
          <t>シミ・黒ずみ・剥がれは要注意</t>
        </is>
      </c>
      <c r="I82" s="20" t="inlineStr">
        <is>
          <t>補修と塗装の判断ポイント</t>
        </is>
      </c>
      <c r="J82" s="20" t="inlineStr">
        <is>
          <t>・材料の種類
・特徴
・選び方
・注意点</t>
        </is>
      </c>
      <c r="K82" s="20" t="inlineStr">
        <is>
          <t>軒天シミ・黒ずみ・住宅軒下</t>
        </is>
      </c>
      <c r="L82" s="20" t="inlineStr">
        <is>
          <t>見上げる住人＋職人</t>
        </is>
      </c>
      <c r="M82" s="20" t="inlineStr">
        <is>
          <t>松山市版</t>
        </is>
      </c>
      <c r="N82" s="20" t="inlineStr">
        <is>
          <t>軒天訴求</t>
        </is>
      </c>
      <c r="O82" s="20" t="inlineStr">
        <is>
          <t>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t>
        </is>
      </c>
      <c r="P82" s="20" t="inlineStr">
        <is>
          <t>部位ごとの劣化症状やメンテナンスの必要性が直感的に伝わる画像にする。
小さな部位でも放置しない大切さが分かる印象にする。</t>
        </is>
      </c>
      <c r="Q82" s="20" t="inlineStr">
        <is>
          <t xml:space="preserve">【対象記事】
No：080
指定KW：軒天 材料 種類
記事タイトル：軒天の材料には何がある？種類・特徴・選び方を解説
【画像に入れたい文字】
メインコピー：
軒天 材料 種類
サブコピー：
シミ・黒ずみ・剥がれは要注意
補助コピー：
補修と塗装の判断ポイント
小見出し・チェック項目：
・材料の種類
・特徴
・選び方
・注意点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
</t>
        </is>
      </c>
      <c r="R82" s="20" t="inlineStr">
        <is>
          <t>SEO・GEO記事のアイキャッチ画像を1枚だけ生成してください。
【絶対条件】
・1枚の画像として生成する
・複数画像のコラージュ、グリッド、一覧、分割レイアウトにしない
・左上に「001」「002」などの番号は入れない
・3:2比率
・PNG形式で保存する想定
・記事アイキャッチとして使える完成度にする
・フォントは Noto Sans JP を想定する
・日本語文字は大きく、読みやすく、崩れないようにする
・実写写真ベースでもよいが、見せ方は「ブログ記事サムネイル」「YouTubeサムネイル風」「SEO記事アイキャッチ風」にする
・背景、人物、訴求内容は記事テーマに合わせる
・松山市版の地域感を入れる
・過度にシンプルにしない
・余白を残しすぎない
・文字が切れないようにする
・企業ロゴを勝手に作らない
・会社名ロゴ風の表記は入れない
・ただし「無料点検」「無料見積り」「写真付き診断」などの訴求は入れてよい
【デザイン方向性】
・参考画像のような強めのアイキャッチ
・濃紺、赤、黄色、白、緑を使った高コントラスト
・大きなメインコピー
・補助コピーを帯やラベルで配置
・チェック項目、吹き出し、ラベルを適度に配置
・職人、住人、住宅外観、劣化箇所などを記事内容に合わせて配置
・「松山市版」の小さなラベルを入れる
・読み手が「この記事で何が分かるか」を一目で理解できる構成にする
【運用ルール】
・画像生成トークでは、1回につき1記事分だけ依頼する
・完成プロンプト列をそのまま貼り付けて使う
・保存名は eyecatches/001.png のように管理する
【対象記事】
No：080
指定KW：軒天 材料 種類
記事タイトル：軒天の材料には何がある？種類・特徴・選び方を解説
【画像に入れたい文字】
メインコピー：
軒天 材料 種類
サブコピー：
シミ・黒ずみ・剥がれは要注意
補助コピー：
補修と塗装の判断ポイント
小見出し・チェック項目：
・材料の種類
・特徴
・選び方
・注意点
【背景・構図】
軒天シミ、黒ずみ、住宅軒下が分かる背景にする。
見上げる住人＋職人が、住まいの状態を確認しながら、ポイントを説明している。
記事テーマがひと目で伝わるよう、劣化箇所や説明アイコンを分かりやすく配置する。
「松山市版」の小さなラベルを入れる。
【画像の印象】
部位ごとの劣化症状やメンテナンスの必要性が直感的に伝わる画像にする。
小さな部位でも放置しない大切さが分かる印象にする。</t>
        </is>
      </c>
    </row>
  </sheetData>
  <mergeCells count="1">
    <mergeCell ref="B2:R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2026-06-26T11:20:37Z</dcterms:created>
  <dcterms:modified xsi:type="dcterms:W3CDTF">2026-07-18T03:40:42Z</dcterms:modified>
  <cp:lastModifiedBy>田邉 まどか</cp:lastModifiedBy>
</cp:coreProperties>
</file>